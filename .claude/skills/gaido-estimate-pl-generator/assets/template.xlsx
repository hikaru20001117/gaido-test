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mc:AlternateContent xmlns:mc="http://schemas.openxmlformats.org/markup-compatibility/2006">
    <mc:Choice Requires="x15">
      <x15ac:absPath xmlns:x15ac="http://schemas.microsoft.com/office/spreadsheetml/2010/11/ac" url="https://ctcg-my.sharepoint.com/personal/z5j7466_intra_ctc-g_co_jp/Documents/デスクトップ/AIP-解除/"/>
    </mc:Choice>
  </mc:AlternateContent>
  <xr:revisionPtr revIDLastSave="0" documentId="13_ncr:1_{DB8E03F3-E33A-4079-9DCE-9E99BB1593B9}" xr6:coauthVersionLast="47" xr6:coauthVersionMax="47" xr10:uidLastSave="{00000000-0000-0000-0000-000000000000}"/>
  <bookViews>
    <workbookView xWindow="-120" yWindow="-120" windowWidth="29040" windowHeight="15720" xr2:uid="{00000000-000D-0000-FFFF-FFFF00000000}"/>
  </bookViews>
  <sheets>
    <sheet name="見積サマリー" sheetId="2" r:id="rId1"/>
    <sheet name="パターン①" sheetId="5" r:id="rId2"/>
    <sheet name="パターン②" sheetId="6" r:id="rId3"/>
  </sheets>
  <externalReferences>
    <externalReference r:id="rId4"/>
    <externalReference r:id="rId5"/>
    <externalReference r:id="rId6"/>
  </externalReferences>
  <definedNames>
    <definedName name="all">#REF!</definedName>
    <definedName name="_xlnm.Print_Area" localSheetId="1">パターン①!$A$1:$K$22</definedName>
    <definedName name="_xlnm.Print_Area" localSheetId="2">パターン②!$A$1:$K$22</definedName>
    <definedName name="_xlnm.Print_Area" localSheetId="0">見積サマリー!$A$1:$I$39</definedName>
    <definedName name="_xlnm.Print_Area">#REF!</definedName>
    <definedName name="rate">[1]計算式!$B$5</definedName>
    <definedName name="スコープ定義">#REF!</definedName>
    <definedName name="ドライブ種別">[2]Sheet1!$A$2:$A$12</definedName>
    <definedName name="商品データ">[3]備考!$A:$C</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9" i="5" l="1"/>
  <c r="R19" i="6"/>
  <c r="I13" i="6"/>
  <c r="I13" i="5"/>
  <c r="R12" i="6"/>
  <c r="P12" i="6"/>
  <c r="I12" i="6"/>
  <c r="G12" i="6"/>
  <c r="R12" i="5"/>
  <c r="P12" i="5"/>
  <c r="I12" i="5"/>
  <c r="S12" i="5" s="1"/>
  <c r="T12" i="5" s="1"/>
  <c r="G12" i="5"/>
  <c r="R16" i="6"/>
  <c r="P16" i="6"/>
  <c r="I16" i="6"/>
  <c r="I17" i="6" s="1"/>
  <c r="G16" i="6"/>
  <c r="R11" i="6"/>
  <c r="P11" i="6"/>
  <c r="I11" i="6"/>
  <c r="S11" i="6" s="1"/>
  <c r="T11" i="6" s="1"/>
  <c r="G11" i="6"/>
  <c r="I7" i="6"/>
  <c r="I8" i="6" s="1"/>
  <c r="R16" i="5"/>
  <c r="P16" i="5"/>
  <c r="I16" i="5"/>
  <c r="I17" i="5" s="1"/>
  <c r="G16" i="5"/>
  <c r="R11" i="5"/>
  <c r="P11" i="5"/>
  <c r="I11" i="5"/>
  <c r="G11" i="5"/>
  <c r="I7" i="5"/>
  <c r="I1" i="2"/>
  <c r="S12" i="6" l="1"/>
  <c r="T12" i="6" s="1"/>
  <c r="S16" i="5"/>
  <c r="T16" i="5" s="1"/>
  <c r="I20" i="6"/>
  <c r="I15" i="2" s="1"/>
  <c r="S7" i="6"/>
  <c r="T7" i="6" s="1"/>
  <c r="S16" i="6"/>
  <c r="T16" i="6" s="1"/>
  <c r="S11" i="5"/>
  <c r="T11" i="5" s="1"/>
  <c r="S7" i="5"/>
  <c r="T7" i="5" s="1"/>
  <c r="I8" i="5"/>
  <c r="I20" i="5" s="1"/>
  <c r="S19" i="6" l="1"/>
  <c r="T19" i="6" s="1"/>
  <c r="I14" i="2"/>
  <c r="S19" i="5"/>
  <c r="T19" i="5" s="1"/>
</calcChain>
</file>

<file path=xl/sharedStrings.xml><?xml version="1.0" encoding="utf-8"?>
<sst xmlns="http://schemas.openxmlformats.org/spreadsheetml/2006/main" count="185" uniqueCount="75">
  <si>
    <t>原価</t>
    <rPh sb="0" eb="2">
      <t>ゲンカ</t>
    </rPh>
    <phoneticPr fontId="3"/>
  </si>
  <si>
    <t>粗利</t>
    <rPh sb="0" eb="2">
      <t>アラリ</t>
    </rPh>
    <phoneticPr fontId="3"/>
  </si>
  <si>
    <t>数量</t>
    <rPh sb="0" eb="2">
      <t>スウリョウ</t>
    </rPh>
    <phoneticPr fontId="3"/>
  </si>
  <si>
    <t>粗利計</t>
    <rPh sb="0" eb="2">
      <t>アラリ</t>
    </rPh>
    <rPh sb="2" eb="3">
      <t>ケイ</t>
    </rPh>
    <phoneticPr fontId="3"/>
  </si>
  <si>
    <t>御見積有効期限：</t>
    <rPh sb="0" eb="3">
      <t>オミツモリ</t>
    </rPh>
    <rPh sb="3" eb="7">
      <t>ユウコウキゲン</t>
    </rPh>
    <phoneticPr fontId="9"/>
  </si>
  <si>
    <r>
      <t xml:space="preserve">東京都港区虎ノ門4-1-1 神谷町トラストタワー
</t>
    </r>
    <r>
      <rPr>
        <b/>
        <sz val="9"/>
        <rFont val="メイリオ"/>
        <family val="3"/>
        <charset val="128"/>
      </rPr>
      <t>伊藤忠テクノソリューションズ株式会社</t>
    </r>
    <r>
      <rPr>
        <sz val="9"/>
        <rFont val="メイリオ"/>
        <family val="3"/>
        <charset val="128"/>
      </rPr>
      <t xml:space="preserve">
情報通信第3本部
営業第2部
石田　真秀</t>
    </r>
    <rPh sb="59" eb="61">
      <t>イシダ</t>
    </rPh>
    <rPh sb="62" eb="64">
      <t>マホ</t>
    </rPh>
    <phoneticPr fontId="7"/>
  </si>
  <si>
    <t>TEL：080-7942-1408</t>
    <phoneticPr fontId="7"/>
  </si>
  <si>
    <t>本部長</t>
    <rPh sb="0" eb="2">
      <t>ホンブ</t>
    </rPh>
    <rPh sb="2" eb="3">
      <t>チョウ</t>
    </rPh>
    <phoneticPr fontId="7"/>
  </si>
  <si>
    <t>部長</t>
    <rPh sb="0" eb="2">
      <t>ブチョウ</t>
    </rPh>
    <phoneticPr fontId="7"/>
  </si>
  <si>
    <t>課長</t>
    <rPh sb="0" eb="2">
      <t>カチョウ</t>
    </rPh>
    <phoneticPr fontId="7"/>
  </si>
  <si>
    <t>担当</t>
    <rPh sb="0" eb="2">
      <t>タントウ</t>
    </rPh>
    <phoneticPr fontId="7"/>
  </si>
  <si>
    <t>項番</t>
    <rPh sb="0" eb="2">
      <t>コウバン</t>
    </rPh>
    <phoneticPr fontId="7"/>
  </si>
  <si>
    <t>概要</t>
    <rPh sb="0" eb="2">
      <t>ガイヨウ</t>
    </rPh>
    <phoneticPr fontId="7"/>
  </si>
  <si>
    <t>ご提供価格</t>
    <rPh sb="1" eb="3">
      <t>テイキョウ</t>
    </rPh>
    <rPh sb="3" eb="5">
      <t>カカク</t>
    </rPh>
    <phoneticPr fontId="7"/>
  </si>
  <si>
    <t>＃消費税は含まれません。</t>
    <rPh sb="1" eb="4">
      <t>ショウヒゼイ</t>
    </rPh>
    <rPh sb="5" eb="6">
      <t>フク</t>
    </rPh>
    <phoneticPr fontId="7"/>
  </si>
  <si>
    <t>■御見積条件</t>
    <rPh sb="1" eb="2">
      <t>オ</t>
    </rPh>
    <rPh sb="2" eb="4">
      <t>ミツモリ</t>
    </rPh>
    <rPh sb="4" eb="6">
      <t>ジョウケン</t>
    </rPh>
    <phoneticPr fontId="7"/>
  </si>
  <si>
    <t>・消費税金額は請求時点において施行されている消費税法等（税制抜本改革関係法を含む）に基づき算定し、別途請求書に明記のうえ御請求致します。</t>
    <rPh sb="63" eb="64">
      <t>イタ</t>
    </rPh>
    <phoneticPr fontId="7"/>
  </si>
  <si>
    <t>率</t>
    <rPh sb="0" eb="1">
      <t>リツ</t>
    </rPh>
    <phoneticPr fontId="3"/>
  </si>
  <si>
    <t>項</t>
    <rPh sb="0" eb="1">
      <t>コウ</t>
    </rPh>
    <phoneticPr fontId="3"/>
  </si>
  <si>
    <t>型番</t>
    <rPh sb="0" eb="2">
      <t>カタバン</t>
    </rPh>
    <phoneticPr fontId="3"/>
  </si>
  <si>
    <t>摘要</t>
    <rPh sb="0" eb="2">
      <t>テキヨウ</t>
    </rPh>
    <phoneticPr fontId="3"/>
  </si>
  <si>
    <t>定価単価</t>
    <rPh sb="0" eb="2">
      <t>テイカ</t>
    </rPh>
    <rPh sb="2" eb="4">
      <t>タンカ</t>
    </rPh>
    <phoneticPr fontId="3"/>
  </si>
  <si>
    <t>仕切</t>
    <rPh sb="0" eb="2">
      <t>シキリ</t>
    </rPh>
    <phoneticPr fontId="3"/>
  </si>
  <si>
    <t>ご提供単価</t>
    <rPh sb="1" eb="3">
      <t>テイキョウ</t>
    </rPh>
    <rPh sb="3" eb="5">
      <t>タンカ</t>
    </rPh>
    <phoneticPr fontId="3"/>
  </si>
  <si>
    <t>ご提供合計</t>
    <rPh sb="1" eb="3">
      <t>テイキョウ</t>
    </rPh>
    <rPh sb="3" eb="5">
      <t>ゴウケイ</t>
    </rPh>
    <phoneticPr fontId="3"/>
  </si>
  <si>
    <t>備考</t>
    <rPh sb="0" eb="2">
      <t>ビコウ</t>
    </rPh>
    <phoneticPr fontId="3"/>
  </si>
  <si>
    <t>1</t>
    <phoneticPr fontId="3"/>
  </si>
  <si>
    <t>仕切り</t>
    <rPh sb="0" eb="2">
      <t>シキ</t>
    </rPh>
    <phoneticPr fontId="3"/>
  </si>
  <si>
    <t>原価合計</t>
    <rPh sb="0" eb="2">
      <t>ゲンカ</t>
    </rPh>
    <rPh sb="2" eb="4">
      <t>ゴウケイ</t>
    </rPh>
    <phoneticPr fontId="3"/>
  </si>
  <si>
    <t>出精値引き</t>
    <rPh sb="0" eb="4">
      <t>シュッセイネビ</t>
    </rPh>
    <phoneticPr fontId="3"/>
  </si>
  <si>
    <t>合計</t>
    <rPh sb="0" eb="2">
      <t>ゴウケイ</t>
    </rPh>
    <phoneticPr fontId="3"/>
  </si>
  <si>
    <t>原価計</t>
    <rPh sb="0" eb="2">
      <t>ゲンカ</t>
    </rPh>
    <rPh sb="2" eb="3">
      <t>ケイ</t>
    </rPh>
    <phoneticPr fontId="3"/>
  </si>
  <si>
    <t>ご提供価格</t>
    <rPh sb="1" eb="3">
      <t>テイキョウ</t>
    </rPh>
    <rPh sb="3" eb="5">
      <t>カカク</t>
    </rPh>
    <phoneticPr fontId="3"/>
  </si>
  <si>
    <t>機器</t>
    <rPh sb="0" eb="2">
      <t>キキ</t>
    </rPh>
    <phoneticPr fontId="3"/>
  </si>
  <si>
    <t>ソフトバンク株式会社　御中</t>
    <rPh sb="6" eb="10">
      <t>カブシキガイシャ</t>
    </rPh>
    <rPh sb="11" eb="13">
      <t>オンチュウ</t>
    </rPh>
    <phoneticPr fontId="7"/>
  </si>
  <si>
    <t>ノーリツ様向けA10リプレース</t>
    <rPh sb="4" eb="6">
      <t>サマム</t>
    </rPh>
    <phoneticPr fontId="15"/>
  </si>
  <si>
    <t>TH1060S-0010-ADC-M</t>
    <phoneticPr fontId="3"/>
  </si>
  <si>
    <t>Modular Perpetual ADC SKU - Thunder1060S ADC, 1U, 1CPU, 7x1GC, 2x25/10GF,4x10/1GF, 32GB, 1SSD, No LOM, No FTA,
no S+R ASIC, SSL Builtin, Screwless railkit, 2AC PSU</t>
    <phoneticPr fontId="3"/>
  </si>
  <si>
    <t>費用明細</t>
    <rPh sb="0" eb="2">
      <t>ヒヨウ</t>
    </rPh>
    <rPh sb="2" eb="4">
      <t>メイサイ</t>
    </rPh>
    <phoneticPr fontId="3"/>
  </si>
  <si>
    <t>保守</t>
    <rPh sb="0" eb="2">
      <t>ホシュ</t>
    </rPh>
    <phoneticPr fontId="3"/>
  </si>
  <si>
    <t>SI</t>
    <phoneticPr fontId="3"/>
  </si>
  <si>
    <t>ー</t>
    <phoneticPr fontId="3"/>
  </si>
  <si>
    <t>-</t>
    <phoneticPr fontId="3"/>
  </si>
  <si>
    <t>^</t>
    <phoneticPr fontId="3"/>
  </si>
  <si>
    <t>パターン②</t>
    <phoneticPr fontId="7"/>
  </si>
  <si>
    <t>パターン①</t>
    <phoneticPr fontId="7"/>
  </si>
  <si>
    <t>2026/3/31までにメーカー発注可能な場合</t>
    <rPh sb="18" eb="20">
      <t>カノウ</t>
    </rPh>
    <phoneticPr fontId="3"/>
  </si>
  <si>
    <t>2026/3/31以降にメーカー発注となる場合</t>
    <rPh sb="16" eb="18">
      <t>ハッチュウ</t>
    </rPh>
    <phoneticPr fontId="3"/>
  </si>
  <si>
    <t>数量（台）</t>
    <rPh sb="0" eb="2">
      <t>スウリョウ</t>
    </rPh>
    <rPh sb="3" eb="4">
      <t>ダイ</t>
    </rPh>
    <phoneticPr fontId="3"/>
  </si>
  <si>
    <t>数量（人月）</t>
    <rPh sb="0" eb="2">
      <t>スウリョウ</t>
    </rPh>
    <rPh sb="3" eb="5">
      <t>ニンゲツ</t>
    </rPh>
    <phoneticPr fontId="3"/>
  </si>
  <si>
    <t>【対応内容】
・設計（該当部分を更新）
・構築
・テスト（単体、結合、性能）
【成果物】
・NW基本設計書
・NW構成図
・設定シート
・config
・監視パラメータ
・ベンダー試験結果報告書
・作業手順書</t>
    <rPh sb="1" eb="5">
      <t>タイオウナイヨウ</t>
    </rPh>
    <rPh sb="8" eb="10">
      <t>セッケイ</t>
    </rPh>
    <rPh sb="11" eb="13">
      <t>ガイトウ</t>
    </rPh>
    <rPh sb="13" eb="15">
      <t>ブブン</t>
    </rPh>
    <rPh sb="16" eb="18">
      <t>コウシン</t>
    </rPh>
    <rPh sb="21" eb="23">
      <t>コウチク</t>
    </rPh>
    <rPh sb="29" eb="31">
      <t>タンタイ</t>
    </rPh>
    <rPh sb="32" eb="34">
      <t>ケツゴウ</t>
    </rPh>
    <rPh sb="35" eb="37">
      <t>セイノウ</t>
    </rPh>
    <rPh sb="41" eb="44">
      <t>セイカブツ</t>
    </rPh>
    <phoneticPr fontId="3"/>
  </si>
  <si>
    <t>・東京第4データセンター（新砂）への設置を前提としております</t>
    <rPh sb="1" eb="3">
      <t>トウキョウ</t>
    </rPh>
    <rPh sb="3" eb="4">
      <t>ダイ</t>
    </rPh>
    <rPh sb="13" eb="15">
      <t>シンスナ</t>
    </rPh>
    <rPh sb="18" eb="20">
      <t>セッチ</t>
    </rPh>
    <rPh sb="21" eb="23">
      <t>ゼンテイ</t>
    </rPh>
    <phoneticPr fontId="3"/>
  </si>
  <si>
    <t>・請負契約を想定しております</t>
    <rPh sb="1" eb="3">
      <t>ウケオイ</t>
    </rPh>
    <rPh sb="3" eb="5">
      <t>ケイヤク</t>
    </rPh>
    <rPh sb="6" eb="8">
      <t>ソウテイ</t>
    </rPh>
    <phoneticPr fontId="3"/>
  </si>
  <si>
    <t>・SSLインスペクションは実施いたしません</t>
  </si>
  <si>
    <t>・以下はCTC作業対象外といたします</t>
  </si>
  <si>
    <t>・アプリ側影響確認</t>
    <phoneticPr fontId="3"/>
  </si>
  <si>
    <t>　　・商用試験結果</t>
    <phoneticPr fontId="3"/>
  </si>
  <si>
    <t>・DNS書き換え作業</t>
    <phoneticPr fontId="3"/>
  </si>
  <si>
    <t>・パターン①の場合は、弊社からメーカーへ発注に1週間程度リードタイムが必要なため、3/24までに弊社宛にご注文書をお願いいたします</t>
    <rPh sb="7" eb="9">
      <t>バアイ</t>
    </rPh>
    <rPh sb="11" eb="13">
      <t>ヘイシャ</t>
    </rPh>
    <rPh sb="20" eb="22">
      <t>ハッチュウ</t>
    </rPh>
    <rPh sb="24" eb="28">
      <t>シュウカンテイド</t>
    </rPh>
    <rPh sb="35" eb="37">
      <t>ヒツヨウ</t>
    </rPh>
    <rPh sb="48" eb="50">
      <t>ヘイシャ</t>
    </rPh>
    <rPh sb="50" eb="51">
      <t>アテ</t>
    </rPh>
    <rPh sb="53" eb="56">
      <t>チュウモンショ</t>
    </rPh>
    <rPh sb="58" eb="59">
      <t>ネガ</t>
    </rPh>
    <phoneticPr fontId="3"/>
  </si>
  <si>
    <t xml:space="preserve">御見積番号： </t>
    <rPh sb="0" eb="3">
      <t>オミツモリ</t>
    </rPh>
    <rPh sb="3" eb="5">
      <t>バンゴウ</t>
    </rPh>
    <phoneticPr fontId="7"/>
  </si>
  <si>
    <t>・打ち合わせはレビューのタイミングで３回ほどを想定し週次では行いません。</t>
    <rPh sb="23" eb="25">
      <t>ソウテイ</t>
    </rPh>
    <phoneticPr fontId="3"/>
  </si>
  <si>
    <t>・連絡および資料の更新についてのご連絡はメールベースを前提とします。</t>
    <rPh sb="6" eb="8">
      <t>シリョウ</t>
    </rPh>
    <rPh sb="9" eb="11">
      <t>コウシン</t>
    </rPh>
    <rPh sb="17" eb="19">
      <t>レンラク</t>
    </rPh>
    <rPh sb="27" eb="29">
      <t>ゼンテイ</t>
    </rPh>
    <phoneticPr fontId="3"/>
  </si>
  <si>
    <t>・機能試験は、本機能に特化した機能確認とします。ベースとなる機能（IF、ルーティング、監視系など）の確認は含みません。</t>
    <phoneticPr fontId="3"/>
  </si>
  <si>
    <t>・障害試験は、当該装置周辺リンク、筐体障害とします。EXは用意いたしません。</t>
    <phoneticPr fontId="3"/>
  </si>
  <si>
    <t>・商用模擬トラフィック量は流しません。</t>
    <phoneticPr fontId="3"/>
  </si>
  <si>
    <t>・性能試験、連続稼動試験、未来日試験は含みません</t>
    <phoneticPr fontId="3"/>
  </si>
  <si>
    <t>・作業手順書は作成いたします。ただし、接続作業を手順化したもののみ。SB内緊急連絡体制はSB様側にて作成で、当資料には反映いたしません（別資料）。</t>
    <rPh sb="46" eb="47">
      <t>サマ</t>
    </rPh>
    <phoneticPr fontId="3"/>
  </si>
  <si>
    <t>・作業は１回日中（休日含む）。予備１回といたします</t>
    <phoneticPr fontId="3"/>
  </si>
  <si>
    <t>・待機は１日までといたします。</t>
    <phoneticPr fontId="3"/>
  </si>
  <si>
    <t>・EX4400での試験をご要望の場合、検証機をお貸出いただきます。</t>
    <phoneticPr fontId="3"/>
  </si>
  <si>
    <t>見積参考資料</t>
    <rPh sb="0" eb="2">
      <t>ミツモリ</t>
    </rPh>
    <rPh sb="2" eb="4">
      <t>サンコウ</t>
    </rPh>
    <rPh sb="4" eb="6">
      <t>シリョウ</t>
    </rPh>
    <phoneticPr fontId="7"/>
  </si>
  <si>
    <t>2</t>
    <phoneticPr fontId="3"/>
  </si>
  <si>
    <t>10 Gig SFP+ Fiber transceiver - Short Range</t>
  </si>
  <si>
    <t>AXSK-SFP+ SR</t>
  </si>
  <si>
    <t>CTC自営保守（24/365 オンサイト対応）
期間：5年
SPFも保守対象となります</t>
    <rPh sb="3" eb="7">
      <t>ジエイホシュ</t>
    </rPh>
    <rPh sb="20" eb="22">
      <t>タイオウ</t>
    </rPh>
    <rPh sb="24" eb="26">
      <t>キカン</t>
    </rPh>
    <rPh sb="28" eb="29">
      <t>ネン</t>
    </rPh>
    <rPh sb="34" eb="36">
      <t>ホシュ</t>
    </rPh>
    <rPh sb="36" eb="38">
      <t>タイショウ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</si>
</sst>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quot;¥&quot;\-#,##0"/>
    <numFmt numFmtId="6" formatCode="&quot;¥&quot;#,##0;[Red]&quot;¥&quot;\-#,##0"/>
    <numFmt numFmtId="8" formatCode="&quot;¥&quot;#,##0.00;[Red]&quot;¥&quot;\-#,##0.00"/>
    <numFmt numFmtId="176" formatCode="[$-F800]dddd\,\ mmmm\ dd\,\ yyyy"/>
    <numFmt numFmtId="177" formatCode="[$-411]ggge&quot;年&quot;m&quot;月&quot;d&quot;日&quot;;@"/>
    <numFmt numFmtId="178" formatCode="&quot;US$&quot;#,##0.00_);[Red]\(&quot;US$&quot;#,##0.00\)"/>
    <numFmt numFmtId="179" formatCode="0.0%"/>
  </numFmts>
  <fonts count="34" x14ac:knownFonts="1">
    <font>
      <sz val="11"/>
      <color theme="1"/>
      <name val="游ゴシック"/>
      <family val="2"/>
      <scheme val="minor"/>
    </font>
    <font>
      <sz val="11"/>
      <color theme="1"/>
      <name val="游ゴシック"/>
      <family val="2"/>
      <scheme val="minor"/>
    </font>
    <font>
      <sz val="11"/>
      <color theme="1"/>
      <name val="游ゴシック"/>
      <family val="3"/>
      <charset val="128"/>
      <scheme val="minor"/>
    </font>
    <font>
      <sz val="6"/>
      <name val="游ゴシック"/>
      <family val="3"/>
      <charset val="128"/>
      <scheme val="minor"/>
    </font>
    <font>
      <sz val="11"/>
      <name val="ＭＳ Ｐゴシック"/>
      <family val="3"/>
      <charset val="128"/>
    </font>
    <font>
      <sz val="9"/>
      <name val="メイリオ"/>
      <family val="3"/>
      <charset val="128"/>
    </font>
    <font>
      <b/>
      <sz val="11"/>
      <name val="メイリオ"/>
      <family val="3"/>
      <charset val="128"/>
    </font>
    <font>
      <sz val="6"/>
      <name val="ＭＳ Ｐゴシック"/>
      <family val="3"/>
      <charset val="128"/>
    </font>
    <font>
      <sz val="11"/>
      <name val="メイリオ"/>
      <family val="3"/>
      <charset val="128"/>
    </font>
    <font>
      <sz val="6"/>
      <name val="游ゴシック"/>
      <family val="2"/>
      <charset val="128"/>
      <scheme val="minor"/>
    </font>
    <font>
      <sz val="12"/>
      <name val="メイリオ"/>
      <family val="3"/>
      <charset val="128"/>
    </font>
    <font>
      <b/>
      <sz val="18"/>
      <name val="メイリオ"/>
      <family val="3"/>
      <charset val="128"/>
    </font>
    <font>
      <b/>
      <sz val="9"/>
      <name val="メイリオ"/>
      <family val="3"/>
      <charset val="128"/>
    </font>
    <font>
      <sz val="10"/>
      <name val="メイリオ"/>
      <family val="3"/>
      <charset val="128"/>
    </font>
    <font>
      <u/>
      <sz val="11"/>
      <color indexed="8"/>
      <name val="メイリオ"/>
      <family val="3"/>
      <charset val="128"/>
    </font>
    <font>
      <sz val="6"/>
      <name val="ＭＳ Ｐゴシック"/>
      <family val="2"/>
      <charset val="128"/>
    </font>
    <font>
      <sz val="11"/>
      <color theme="1"/>
      <name val="ＭＳ Ｐゴシック"/>
      <family val="2"/>
      <charset val="128"/>
    </font>
    <font>
      <b/>
      <sz val="10"/>
      <name val="メイリオ"/>
      <family val="3"/>
      <charset val="128"/>
    </font>
    <font>
      <sz val="16"/>
      <color theme="1"/>
      <name val="游ゴシック"/>
      <family val="2"/>
      <scheme val="minor"/>
    </font>
    <font>
      <b/>
      <sz val="18"/>
      <color theme="1"/>
      <name val="游ゴシック"/>
      <family val="3"/>
      <charset val="128"/>
      <scheme val="minor"/>
    </font>
    <font>
      <sz val="14"/>
      <color theme="1"/>
      <name val="游ゴシック"/>
      <family val="2"/>
      <scheme val="minor"/>
    </font>
    <font>
      <b/>
      <u val="double"/>
      <sz val="16"/>
      <color theme="1"/>
      <name val="游ゴシック"/>
      <family val="3"/>
      <charset val="128"/>
      <scheme val="minor"/>
    </font>
    <font>
      <b/>
      <u val="double"/>
      <sz val="14"/>
      <color theme="1"/>
      <name val="游ゴシック"/>
      <family val="3"/>
      <charset val="128"/>
      <scheme val="minor"/>
    </font>
    <font>
      <b/>
      <sz val="14"/>
      <color theme="0"/>
      <name val="游ゴシック"/>
      <family val="3"/>
      <charset val="128"/>
      <scheme val="minor"/>
    </font>
    <font>
      <sz val="12"/>
      <color theme="1"/>
      <name val="游ゴシック"/>
      <family val="2"/>
      <scheme val="minor"/>
    </font>
    <font>
      <sz val="12"/>
      <color theme="1"/>
      <name val="游ゴシック"/>
      <family val="3"/>
      <charset val="128"/>
      <scheme val="minor"/>
    </font>
    <font>
      <b/>
      <sz val="14"/>
      <color theme="1"/>
      <name val="游ゴシック"/>
      <family val="3"/>
      <charset val="128"/>
      <scheme val="minor"/>
    </font>
    <font>
      <b/>
      <sz val="16"/>
      <color theme="1"/>
      <name val="游ゴシック"/>
      <family val="3"/>
      <charset val="128"/>
      <scheme val="minor"/>
    </font>
    <font>
      <sz val="14"/>
      <name val="メイリオ"/>
      <family val="3"/>
      <charset val="128"/>
    </font>
    <font>
      <sz val="14"/>
      <color theme="0"/>
      <name val="メイリオ"/>
      <family val="3"/>
      <charset val="128"/>
    </font>
    <font>
      <b/>
      <sz val="14"/>
      <color theme="0"/>
      <name val="メイリオ"/>
      <family val="3"/>
      <charset val="128"/>
    </font>
    <font>
      <sz val="10"/>
      <color theme="1"/>
      <name val="メイリオ"/>
      <family val="3"/>
      <charset val="128"/>
    </font>
    <font>
      <sz val="10"/>
      <color rgb="FFFF0000"/>
      <name val="メイリオ"/>
      <family val="3"/>
      <charset val="128"/>
    </font>
    <font>
      <sz val="10"/>
      <color theme="0"/>
      <name val="メイリオ"/>
      <family val="3"/>
      <charset val="128"/>
    </font>
  </fonts>
  <fills count="6">
    <fill>
      <patternFill patternType="none"/>
    </fill>
    <fill>
      <patternFill patternType="gray125"/>
    </fill>
    <fill>
      <patternFill patternType="solid">
        <fgColor theme="5" tint="0.7999816888943144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rgb="FF0070C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9" fontId="1" fillId="0" borderId="0" applyFont="0" applyFill="0" applyBorder="0" applyAlignment="0" applyProtection="0">
      <alignment vertical="center"/>
    </xf>
    <xf numFmtId="6" fontId="1" fillId="0" borderId="0" applyFont="0" applyFill="0" applyBorder="0" applyAlignment="0" applyProtection="0">
      <alignment vertical="center"/>
    </xf>
    <xf numFmtId="0" fontId="4" fillId="0" borderId="0" applyNumberFormat="0" applyFill="0" applyBorder="0" applyAlignment="0" applyProtection="0"/>
    <xf numFmtId="38" fontId="4" fillId="0" borderId="0" applyFont="0" applyFill="0" applyBorder="0" applyAlignment="0" applyProtection="0">
      <alignment vertical="center"/>
    </xf>
    <xf numFmtId="6" fontId="4" fillId="0" borderId="0" applyFont="0" applyFill="0" applyBorder="0" applyAlignment="0" applyProtection="0">
      <alignment vertical="center"/>
    </xf>
    <xf numFmtId="6" fontId="16" fillId="0" borderId="0" applyFont="0" applyFill="0" applyBorder="0" applyAlignment="0" applyProtection="0">
      <alignment vertical="center"/>
    </xf>
  </cellStyleXfs>
  <cellXfs count="109">
    <xf numFmtId="0" fontId="0" fillId="0" borderId="0" xfId="0"/>
    <xf numFmtId="6" fontId="0" fillId="0" borderId="0" xfId="0" applyNumberFormat="1"/>
    <xf numFmtId="0" fontId="5" fillId="0" borderId="0" xfId="3" applyFont="1" applyAlignment="1">
      <alignment vertical="center"/>
    </xf>
    <xf numFmtId="38" fontId="5" fillId="0" borderId="0" xfId="4" applyFont="1" applyAlignment="1"/>
    <xf numFmtId="0" fontId="5" fillId="0" borderId="0" xfId="3" applyFont="1" applyAlignment="1">
      <alignment horizontal="right" vertical="center"/>
    </xf>
    <xf numFmtId="176" fontId="5" fillId="0" borderId="0" xfId="3" applyNumberFormat="1" applyFont="1" applyAlignment="1">
      <alignment horizontal="right" vertical="center"/>
    </xf>
    <xf numFmtId="0" fontId="8" fillId="0" borderId="0" xfId="3" applyFont="1" applyAlignment="1">
      <alignment vertical="center"/>
    </xf>
    <xf numFmtId="0" fontId="10" fillId="0" borderId="0" xfId="3" applyFont="1" applyAlignment="1">
      <alignment vertical="center"/>
    </xf>
    <xf numFmtId="38" fontId="5" fillId="0" borderId="0" xfId="4" applyFont="1" applyAlignment="1">
      <alignment horizontal="right" vertical="center"/>
    </xf>
    <xf numFmtId="38" fontId="5" fillId="0" borderId="0" xfId="4" applyFont="1" applyAlignment="1">
      <alignment horizontal="right" wrapText="1"/>
    </xf>
    <xf numFmtId="38" fontId="5" fillId="0" borderId="0" xfId="4" applyFont="1" applyAlignment="1">
      <alignment horizontal="right"/>
    </xf>
    <xf numFmtId="0" fontId="10" fillId="0" borderId="0" xfId="3" applyFont="1" applyAlignment="1">
      <alignment horizontal="center" vertical="center"/>
    </xf>
    <xf numFmtId="0" fontId="5" fillId="0" borderId="0" xfId="3" applyFont="1" applyAlignment="1">
      <alignment horizontal="center" vertical="center"/>
    </xf>
    <xf numFmtId="0" fontId="14" fillId="0" borderId="0" xfId="3" applyFont="1" applyAlignment="1">
      <alignment horizontal="left"/>
    </xf>
    <xf numFmtId="38" fontId="8" fillId="0" borderId="0" xfId="4" applyFont="1">
      <alignment vertical="center"/>
    </xf>
    <xf numFmtId="0" fontId="13" fillId="0" borderId="0" xfId="3" applyFont="1" applyAlignment="1">
      <alignment vertical="center"/>
    </xf>
    <xf numFmtId="0" fontId="13" fillId="0" borderId="0" xfId="3" applyFont="1" applyAlignment="1">
      <alignment horizontal="center" vertical="center"/>
    </xf>
    <xf numFmtId="0" fontId="17" fillId="0" borderId="0" xfId="3" applyFont="1" applyAlignment="1">
      <alignment vertical="center"/>
    </xf>
    <xf numFmtId="8" fontId="17" fillId="0" borderId="0" xfId="3" applyNumberFormat="1" applyFont="1" applyAlignment="1">
      <alignment vertical="center"/>
    </xf>
    <xf numFmtId="0" fontId="18" fillId="0" borderId="0" xfId="0" applyFont="1"/>
    <xf numFmtId="0" fontId="19" fillId="0" borderId="0" xfId="0" applyFont="1"/>
    <xf numFmtId="14" fontId="0" fillId="0" borderId="0" xfId="0" applyNumberFormat="1"/>
    <xf numFmtId="0" fontId="0" fillId="0" borderId="0" xfId="0" applyAlignment="1">
      <alignment horizontal="right"/>
    </xf>
    <xf numFmtId="0" fontId="0" fillId="0" borderId="1" xfId="0" applyBorder="1"/>
    <xf numFmtId="0" fontId="20" fillId="0" borderId="0" xfId="0" applyFont="1"/>
    <xf numFmtId="6" fontId="0" fillId="0" borderId="1" xfId="0" applyNumberFormat="1" applyBorder="1"/>
    <xf numFmtId="10" fontId="0" fillId="0" borderId="1" xfId="1" applyNumberFormat="1" applyFont="1" applyBorder="1" applyAlignment="1"/>
    <xf numFmtId="6" fontId="0" fillId="0" borderId="0" xfId="2" applyFont="1" applyAlignment="1"/>
    <xf numFmtId="0" fontId="20" fillId="0" borderId="0" xfId="0" applyFont="1" applyAlignment="1">
      <alignment horizontal="right" vertical="center"/>
    </xf>
    <xf numFmtId="6" fontId="21" fillId="0" borderId="0" xfId="0" applyNumberFormat="1" applyFont="1" applyAlignment="1">
      <alignment horizontal="left"/>
    </xf>
    <xf numFmtId="6" fontId="22" fillId="0" borderId="0" xfId="0" applyNumberFormat="1" applyFont="1" applyAlignment="1">
      <alignment horizontal="left"/>
    </xf>
    <xf numFmtId="6" fontId="0" fillId="0" borderId="0" xfId="2" applyFont="1" applyBorder="1" applyAlignment="1"/>
    <xf numFmtId="10" fontId="0" fillId="0" borderId="0" xfId="1" applyNumberFormat="1" applyFont="1" applyBorder="1" applyAlignment="1"/>
    <xf numFmtId="0" fontId="20" fillId="3" borderId="6" xfId="0" applyFont="1" applyFill="1" applyBorder="1"/>
    <xf numFmtId="0" fontId="23" fillId="3" borderId="7" xfId="0" applyFont="1" applyFill="1" applyBorder="1"/>
    <xf numFmtId="0" fontId="0" fillId="3" borderId="7" xfId="0" applyFill="1" applyBorder="1"/>
    <xf numFmtId="0" fontId="0" fillId="3" borderId="8" xfId="0" applyFill="1" applyBorder="1" applyAlignment="1">
      <alignment horizontal="right"/>
    </xf>
    <xf numFmtId="10" fontId="0" fillId="0" borderId="0" xfId="1" applyNumberFormat="1" applyFont="1" applyAlignment="1"/>
    <xf numFmtId="56" fontId="0" fillId="0" borderId="0" xfId="0" applyNumberFormat="1"/>
    <xf numFmtId="0" fontId="0" fillId="4" borderId="9"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0" xfId="0" applyFill="1" applyBorder="1" applyAlignment="1">
      <alignment horizontal="center" vertical="center"/>
    </xf>
    <xf numFmtId="0" fontId="0" fillId="0" borderId="11" xfId="0" applyBorder="1" applyAlignment="1">
      <alignment horizontal="center" vertical="center"/>
    </xf>
    <xf numFmtId="0" fontId="0" fillId="4" borderId="0" xfId="0" applyFill="1" applyAlignment="1">
      <alignment horizontal="center" vertical="center"/>
    </xf>
    <xf numFmtId="49" fontId="24" fillId="0" borderId="9" xfId="0" applyNumberFormat="1" applyFont="1" applyBorder="1" applyAlignment="1">
      <alignment horizontal="center" vertical="center"/>
    </xf>
    <xf numFmtId="0" fontId="25" fillId="0" borderId="1" xfId="0" applyFont="1" applyBorder="1" applyAlignment="1">
      <alignment vertical="center"/>
    </xf>
    <xf numFmtId="0" fontId="25" fillId="0" borderId="1" xfId="0" applyFont="1" applyBorder="1" applyAlignment="1">
      <alignment vertical="center" wrapText="1"/>
    </xf>
    <xf numFmtId="6" fontId="25" fillId="0" borderId="1" xfId="2" applyFont="1" applyFill="1" applyBorder="1" applyAlignment="1">
      <alignment horizontal="right" vertical="center" wrapText="1"/>
    </xf>
    <xf numFmtId="9" fontId="25" fillId="0" borderId="1" xfId="1" applyFont="1" applyFill="1" applyBorder="1" applyAlignment="1">
      <alignment vertical="center" wrapText="1"/>
    </xf>
    <xf numFmtId="6" fontId="25" fillId="0" borderId="1" xfId="0" applyNumberFormat="1" applyFont="1" applyBorder="1" applyAlignment="1">
      <alignment vertical="center" wrapText="1"/>
    </xf>
    <xf numFmtId="6" fontId="25" fillId="0" borderId="10" xfId="0" applyNumberFormat="1" applyFont="1" applyBorder="1" applyAlignment="1">
      <alignment vertical="center"/>
    </xf>
    <xf numFmtId="6" fontId="25" fillId="0" borderId="0" xfId="0" applyNumberFormat="1" applyFont="1" applyAlignment="1">
      <alignment vertical="center"/>
    </xf>
    <xf numFmtId="179" fontId="0" fillId="0" borderId="0" xfId="1" applyNumberFormat="1" applyFont="1" applyAlignment="1"/>
    <xf numFmtId="6" fontId="0" fillId="0" borderId="1" xfId="1" applyNumberFormat="1" applyFont="1" applyBorder="1" applyAlignment="1"/>
    <xf numFmtId="49" fontId="25" fillId="0" borderId="12" xfId="0" applyNumberFormat="1" applyFont="1" applyBorder="1" applyAlignment="1">
      <alignment horizontal="center" vertical="center"/>
    </xf>
    <xf numFmtId="0" fontId="25" fillId="0" borderId="0" xfId="0" applyFont="1" applyAlignment="1">
      <alignment vertical="center"/>
    </xf>
    <xf numFmtId="6" fontId="25" fillId="0" borderId="0" xfId="0" applyNumberFormat="1" applyFont="1" applyAlignment="1">
      <alignment vertical="center" wrapText="1"/>
    </xf>
    <xf numFmtId="0" fontId="25" fillId="0" borderId="0" xfId="0" applyFont="1" applyAlignment="1">
      <alignment vertical="center" wrapText="1"/>
    </xf>
    <xf numFmtId="9" fontId="25" fillId="0" borderId="0" xfId="0" applyNumberFormat="1" applyFont="1" applyAlignment="1">
      <alignment vertical="center" wrapText="1"/>
    </xf>
    <xf numFmtId="6" fontId="26" fillId="0" borderId="0" xfId="0" applyNumberFormat="1" applyFont="1" applyAlignment="1">
      <alignment horizontal="right" vertical="center" wrapText="1"/>
    </xf>
    <xf numFmtId="6" fontId="26" fillId="0" borderId="0" xfId="0" applyNumberFormat="1" applyFont="1" applyAlignment="1">
      <alignment vertical="center" wrapText="1"/>
    </xf>
    <xf numFmtId="6" fontId="25" fillId="0" borderId="13" xfId="0" applyNumberFormat="1" applyFont="1" applyBorder="1" applyAlignment="1">
      <alignment vertical="center"/>
    </xf>
    <xf numFmtId="6" fontId="0" fillId="0" borderId="0" xfId="1" applyNumberFormat="1" applyFont="1" applyBorder="1" applyAlignment="1"/>
    <xf numFmtId="0" fontId="25" fillId="0" borderId="12" xfId="0" applyFont="1" applyBorder="1" applyAlignment="1">
      <alignment horizontal="center" vertical="center"/>
    </xf>
    <xf numFmtId="6" fontId="25" fillId="0" borderId="0" xfId="2" applyFont="1" applyFill="1" applyBorder="1" applyAlignment="1">
      <alignment horizontal="right" vertical="center" wrapText="1"/>
    </xf>
    <xf numFmtId="179" fontId="25" fillId="0" borderId="0" xfId="1" applyNumberFormat="1" applyFont="1" applyFill="1" applyBorder="1" applyAlignment="1">
      <alignment vertical="center" wrapText="1"/>
    </xf>
    <xf numFmtId="6" fontId="0" fillId="0" borderId="0" xfId="2" applyFont="1" applyBorder="1" applyAlignment="1">
      <alignment horizontal="right"/>
    </xf>
    <xf numFmtId="0" fontId="25" fillId="0" borderId="14" xfId="0" applyFont="1" applyBorder="1" applyAlignment="1">
      <alignment horizontal="center" vertical="center"/>
    </xf>
    <xf numFmtId="0" fontId="25" fillId="0" borderId="15" xfId="0" applyFont="1" applyBorder="1" applyAlignment="1">
      <alignment vertical="center"/>
    </xf>
    <xf numFmtId="0" fontId="25" fillId="0" borderId="15" xfId="0" applyFont="1" applyBorder="1" applyAlignment="1">
      <alignment vertical="center" wrapText="1"/>
    </xf>
    <xf numFmtId="6" fontId="25" fillId="0" borderId="15" xfId="2" applyFont="1" applyFill="1" applyBorder="1" applyAlignment="1">
      <alignment horizontal="right" vertical="center" wrapText="1"/>
    </xf>
    <xf numFmtId="179" fontId="25" fillId="0" borderId="15" xfId="1" applyNumberFormat="1" applyFont="1" applyFill="1" applyBorder="1" applyAlignment="1">
      <alignment vertical="center" wrapText="1"/>
    </xf>
    <xf numFmtId="6" fontId="27" fillId="2" borderId="15" xfId="0" applyNumberFormat="1" applyFont="1" applyFill="1" applyBorder="1" applyAlignment="1">
      <alignment horizontal="right" vertical="center"/>
    </xf>
    <xf numFmtId="6" fontId="25" fillId="0" borderId="16" xfId="0" applyNumberFormat="1" applyFont="1" applyBorder="1" applyAlignment="1">
      <alignment vertical="center"/>
    </xf>
    <xf numFmtId="0" fontId="25" fillId="0" borderId="0" xfId="0" applyFont="1" applyAlignment="1">
      <alignment horizontal="center" vertical="center"/>
    </xf>
    <xf numFmtId="6" fontId="26" fillId="0" borderId="0" xfId="0" applyNumberFormat="1" applyFont="1" applyAlignment="1">
      <alignment horizontal="right" vertical="center"/>
    </xf>
    <xf numFmtId="6" fontId="2" fillId="0" borderId="0" xfId="0" applyNumberFormat="1" applyFont="1"/>
    <xf numFmtId="3" fontId="0" fillId="0" borderId="1" xfId="0" applyNumberFormat="1" applyBorder="1"/>
    <xf numFmtId="5" fontId="6" fillId="0" borderId="1" xfId="3" applyNumberFormat="1" applyFont="1" applyBorder="1" applyAlignment="1">
      <alignment vertical="center"/>
    </xf>
    <xf numFmtId="0" fontId="28" fillId="0" borderId="0" xfId="3" applyFont="1" applyAlignment="1">
      <alignment vertical="center"/>
    </xf>
    <xf numFmtId="0" fontId="29" fillId="5" borderId="1" xfId="3" applyFont="1" applyFill="1" applyBorder="1" applyAlignment="1">
      <alignment horizontal="center" vertical="center"/>
    </xf>
    <xf numFmtId="0" fontId="30" fillId="5" borderId="5" xfId="3" applyFont="1" applyFill="1" applyBorder="1" applyAlignment="1">
      <alignment horizontal="center" vertical="center" wrapText="1"/>
    </xf>
    <xf numFmtId="6" fontId="0" fillId="0" borderId="1" xfId="2" applyFont="1" applyBorder="1" applyAlignment="1"/>
    <xf numFmtId="6" fontId="27" fillId="2" borderId="0" xfId="0" applyNumberFormat="1" applyFont="1" applyFill="1" applyAlignment="1">
      <alignment horizontal="right" vertical="center"/>
    </xf>
    <xf numFmtId="178" fontId="8" fillId="0" borderId="1" xfId="5" applyNumberFormat="1" applyFont="1" applyBorder="1" applyAlignment="1">
      <alignment horizontal="center" vertical="center"/>
    </xf>
    <xf numFmtId="0" fontId="31" fillId="0" borderId="0" xfId="0" applyFont="1"/>
    <xf numFmtId="0" fontId="31" fillId="0" borderId="0" xfId="0" applyFont="1" applyAlignment="1">
      <alignment horizontal="left" vertical="center" indent="2"/>
    </xf>
    <xf numFmtId="0" fontId="32" fillId="0" borderId="0" xfId="3" applyFont="1" applyAlignment="1">
      <alignment vertical="center"/>
    </xf>
    <xf numFmtId="0" fontId="33" fillId="0" borderId="0" xfId="3" applyFont="1" applyBorder="1" applyAlignment="1">
      <alignment horizontal="center" wrapText="1"/>
    </xf>
    <xf numFmtId="0" fontId="33" fillId="0" borderId="0" xfId="3" applyFont="1" applyBorder="1" applyAlignment="1">
      <alignment horizontal="right" wrapText="1"/>
    </xf>
    <xf numFmtId="0" fontId="13" fillId="0" borderId="0" xfId="3" applyFont="1" applyAlignment="1">
      <alignment vertical="center" wrapText="1"/>
    </xf>
    <xf numFmtId="0" fontId="29" fillId="5" borderId="2" xfId="3" applyFont="1" applyFill="1" applyBorder="1" applyAlignment="1">
      <alignment horizontal="center" vertical="center"/>
    </xf>
    <xf numFmtId="0" fontId="29" fillId="5" borderId="3" xfId="3" applyFont="1" applyFill="1" applyBorder="1" applyAlignment="1">
      <alignment horizontal="center" vertical="center"/>
    </xf>
    <xf numFmtId="0" fontId="29" fillId="5" borderId="4" xfId="3" applyFont="1" applyFill="1" applyBorder="1" applyAlignment="1">
      <alignment horizontal="center" vertical="center"/>
    </xf>
    <xf numFmtId="178" fontId="8" fillId="0" borderId="1" xfId="5" applyNumberFormat="1" applyFont="1" applyBorder="1" applyAlignment="1">
      <alignment horizontal="center" vertical="center"/>
    </xf>
    <xf numFmtId="38" fontId="5" fillId="0" borderId="0" xfId="4" applyFont="1" applyAlignment="1">
      <alignment horizontal="right" vertical="center" wrapText="1"/>
    </xf>
    <xf numFmtId="38" fontId="5" fillId="0" borderId="0" xfId="4" applyFont="1" applyAlignment="1">
      <alignment horizontal="right" vertical="center"/>
    </xf>
    <xf numFmtId="0" fontId="6" fillId="0" borderId="0" xfId="3" applyFont="1" applyAlignment="1">
      <alignment horizontal="left" vertical="center" wrapText="1"/>
    </xf>
    <xf numFmtId="0" fontId="6" fillId="0" borderId="0" xfId="3" applyFont="1" applyAlignment="1">
      <alignment horizontal="left" vertical="center"/>
    </xf>
    <xf numFmtId="177" fontId="5" fillId="0" borderId="0" xfId="3" applyNumberFormat="1" applyFont="1" applyAlignment="1">
      <alignment horizontal="right" vertical="center"/>
    </xf>
    <xf numFmtId="14" fontId="5" fillId="0" borderId="0" xfId="3" applyNumberFormat="1" applyFont="1" applyAlignment="1">
      <alignment horizontal="right" vertical="center"/>
    </xf>
    <xf numFmtId="0" fontId="5" fillId="0" borderId="0" xfId="3" applyFont="1" applyAlignment="1">
      <alignment horizontal="right" vertical="center"/>
    </xf>
    <xf numFmtId="0" fontId="11" fillId="0" borderId="0" xfId="3" applyFont="1" applyAlignment="1">
      <alignment horizontal="center" vertical="center"/>
    </xf>
    <xf numFmtId="0" fontId="5" fillId="0" borderId="0" xfId="3" applyFont="1" applyAlignment="1">
      <alignment horizontal="right" wrapText="1"/>
    </xf>
    <xf numFmtId="0" fontId="6" fillId="0" borderId="2" xfId="3" applyFont="1" applyBorder="1" applyAlignment="1">
      <alignment horizontal="center" vertical="center"/>
    </xf>
    <xf numFmtId="0" fontId="6" fillId="0" borderId="3" xfId="3" applyFont="1" applyBorder="1" applyAlignment="1">
      <alignment horizontal="center" vertical="center"/>
    </xf>
    <xf numFmtId="0" fontId="6" fillId="0" borderId="4" xfId="3" applyFont="1" applyBorder="1" applyAlignment="1">
      <alignment horizontal="center" vertical="center"/>
    </xf>
    <xf numFmtId="0" fontId="0" fillId="0" borderId="0" xfId="0" applyAlignment="1">
      <alignment horizontal="center"/>
    </xf>
  </cellXfs>
  <cellStyles count="7">
    <cellStyle name="=C:\WINNT\SYSTEM32\COMMAND.COM" xfId="3" xr:uid="{D4FE84FA-A2B0-4604-A17A-5E498AAA1B14}"/>
    <cellStyle name="パーセント" xfId="1" builtinId="5"/>
    <cellStyle name="桁区切り 2 2" xfId="4" xr:uid="{4519F77E-A3AA-4D70-8870-4FEC1D21B0AD}"/>
    <cellStyle name="通貨" xfId="2" builtinId="7"/>
    <cellStyle name="通貨 2 2" xfId="5" xr:uid="{1D814DBB-8F54-4959-BEC8-2600BAA690C3}"/>
    <cellStyle name="通貨 3" xfId="6" xr:uid="{A1E4E7CE-A846-4A41-BE87-3C52036D7999}"/>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19</xdr:col>
      <xdr:colOff>859241</xdr:colOff>
      <xdr:row>0</xdr:row>
      <xdr:rowOff>0</xdr:rowOff>
    </xdr:from>
    <xdr:to>
      <xdr:col>22</xdr:col>
      <xdr:colOff>233719</xdr:colOff>
      <xdr:row>0</xdr:row>
      <xdr:rowOff>0</xdr:rowOff>
    </xdr:to>
    <xdr:sp macro="" textlink="">
      <xdr:nvSpPr>
        <xdr:cNvPr id="2" name="吹き出し: 四角形 1">
          <a:extLst>
            <a:ext uri="{FF2B5EF4-FFF2-40B4-BE49-F238E27FC236}">
              <a16:creationId xmlns:a16="http://schemas.microsoft.com/office/drawing/2014/main" id="{93301944-8C2C-4C3B-89BC-D68ECCE75A4E}"/>
            </a:ext>
          </a:extLst>
        </xdr:cNvPr>
        <xdr:cNvSpPr/>
      </xdr:nvSpPr>
      <xdr:spPr>
        <a:xfrm>
          <a:off x="21763441" y="0"/>
          <a:ext cx="2549478" cy="0"/>
        </a:xfrm>
        <a:prstGeom prst="wedgeRectCallout">
          <a:avLst>
            <a:gd name="adj1" fmla="val -53235"/>
            <a:gd name="adj2" fmla="val 925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121,373 </a:t>
          </a:r>
          <a:endParaRPr kumimoji="1" lang="ja-JP" alt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859241</xdr:colOff>
      <xdr:row>0</xdr:row>
      <xdr:rowOff>0</xdr:rowOff>
    </xdr:from>
    <xdr:to>
      <xdr:col>22</xdr:col>
      <xdr:colOff>233719</xdr:colOff>
      <xdr:row>0</xdr:row>
      <xdr:rowOff>0</xdr:rowOff>
    </xdr:to>
    <xdr:sp macro="" textlink="">
      <xdr:nvSpPr>
        <xdr:cNvPr id="2" name="吹き出し: 四角形 1">
          <a:extLst>
            <a:ext uri="{FF2B5EF4-FFF2-40B4-BE49-F238E27FC236}">
              <a16:creationId xmlns:a16="http://schemas.microsoft.com/office/drawing/2014/main" id="{185CD4B7-10F2-480C-9BE9-8D195030DABC}"/>
            </a:ext>
          </a:extLst>
        </xdr:cNvPr>
        <xdr:cNvSpPr/>
      </xdr:nvSpPr>
      <xdr:spPr>
        <a:xfrm>
          <a:off x="23338241" y="0"/>
          <a:ext cx="2555828" cy="0"/>
        </a:xfrm>
        <a:prstGeom prst="wedgeRectCallout">
          <a:avLst>
            <a:gd name="adj1" fmla="val -53235"/>
            <a:gd name="adj2" fmla="val 925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2000"/>
            <a:t>121,373 </a:t>
          </a:r>
          <a:endParaRPr kumimoji="1" lang="ja-JP" altLang="en-US" sz="20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z2j2739\&#12487;&#12473;&#12463;&#12488;&#12483;&#12503;\Cisco-Original\201802_ori_42_&#23436;&#25104;&#2925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takuya.kitazawa/Documents/&#27083;&#25104;&#25903;&#25588;/&#27083;&#25104;&#25903;&#25588;&#12501;&#12449;&#12452;&#12523;/NetApp/NCT&#36939;&#29992;&#38306;&#36899;/NetAppConfigrationTool&#35373;&#35336;&#26360;_v08/A200&#25552;&#26696;&#36039;&#26009;&#12501;&#12457;&#12540;&#12510;&#12483;&#12488;_20170711_v3.xlsx" TargetMode="External"/><Relationship Id="rId1" Type="http://schemas.openxmlformats.org/officeDocument/2006/relationships/externalLinkPath" Target="/Users/takuya.kitazawa/Documents/&#27083;&#25104;&#25903;&#25588;/&#27083;&#25104;&#25903;&#25588;&#12501;&#12449;&#12452;&#12523;/NetApp/NCT&#36939;&#29992;&#38306;&#36899;/NetAppConfigrationTool&#35373;&#35336;&#26360;_v08/A200&#25552;&#26696;&#36039;&#26009;&#12501;&#12457;&#12540;&#12510;&#12483;&#12488;_20170711_v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as-fs01.bb.local\SBCAS001\Users\takuya.kitazawa\Documents\&#27083;&#25104;&#25903;&#25588;\&#27083;&#25104;&#25903;&#25588;&#12501;&#12449;&#12452;&#12523;\HP\HP&#27083;&#25104;&#25903;&#25588;&#12484;&#12540;&#12523;\&#12304;2018.03.08&#26356;&#26032;&#12305;HPE&#27083;&#25104;&#20316;&#26989;&#25903;&#25588;&#12484;&#12540;&#125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式"/>
      <sheetName val="Feb18_NH$-Vol.1"/>
    </sheetNames>
    <sheetDataSet>
      <sheetData sheetId="0">
        <row r="5">
          <cell r="B5">
            <v>115</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表紙"/>
      <sheetName val="製品仕様"/>
      <sheetName val="保守サービスについて"/>
      <sheetName val="Sheet1"/>
    </sheetNames>
    <sheetDataSet>
      <sheetData sheetId="0" refreshError="1"/>
      <sheetData sheetId="1" refreshError="1"/>
      <sheetData sheetId="2" refreshError="1"/>
      <sheetData sheetId="3">
        <row r="2">
          <cell r="A2" t="str">
            <v>800GB SSD NSE</v>
          </cell>
        </row>
        <row r="3">
          <cell r="A3" t="str">
            <v>960GB SSD</v>
          </cell>
        </row>
        <row r="4">
          <cell r="A4" t="str">
            <v>3.8TB SSD</v>
          </cell>
        </row>
        <row r="5">
          <cell r="A5" t="str">
            <v>3.8TB SSD NSE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構成テーブル"/>
      <sheetName val="マクロボタン"/>
      <sheetName val="諸元"/>
      <sheetName val="仕切表"/>
      <sheetName val="hpサーバ構成"/>
      <sheetName val="備考"/>
      <sheetName val="CarePack有無"/>
      <sheetName val="."/>
    </sheetNames>
    <sheetDataSet>
      <sheetData sheetId="0"/>
      <sheetData sheetId="1"/>
      <sheetData sheetId="2"/>
      <sheetData sheetId="3"/>
      <sheetData sheetId="4"/>
      <sheetData sheetId="5">
        <row r="1">
          <cell r="A1" t="str">
            <v>製品番号</v>
          </cell>
          <cell r="B1" t="str">
            <v>製品名</v>
          </cell>
          <cell r="C1" t="str">
            <v>備考</v>
          </cell>
        </row>
        <row r="2">
          <cell r="A2" t="str">
            <v>ネットワークバッテリバックアップ（モバイルバッテリー機能付きネットワーク機器向けUPS）</v>
          </cell>
          <cell r="C2" t="str">
            <v>-</v>
          </cell>
        </row>
        <row r="3">
          <cell r="A3" t="str">
            <v>BGE50ML-JP</v>
          </cell>
          <cell r="B3" t="str">
            <v>ネットワークバッテリバックアップ＋モバイル電源パック</v>
          </cell>
          <cell r="C3" t="str">
            <v>-</v>
          </cell>
        </row>
        <row r="4">
          <cell r="A4" t="str">
            <v>M12USWH-JP</v>
          </cell>
          <cell r="B4" t="str">
            <v>モバイル電源パック</v>
          </cell>
          <cell r="C4" t="str">
            <v>-</v>
          </cell>
        </row>
        <row r="5">
          <cell r="A5" t="str">
            <v>APCES/RS/GS/雷ガードタップ</v>
          </cell>
          <cell r="C5" t="str">
            <v>-</v>
          </cell>
        </row>
        <row r="6">
          <cell r="A6" t="str">
            <v>BE425M-JP</v>
          </cell>
          <cell r="B6" t="str">
            <v>APC ES 425VA Battery Backup and Surge Protector 100V</v>
          </cell>
          <cell r="C6" t="str">
            <v>-</v>
          </cell>
        </row>
        <row r="7">
          <cell r="A7" t="str">
            <v>BE550M1-JP</v>
          </cell>
          <cell r="B7" t="str">
            <v>APC ES 550 9 Outlet 550VA 1 USB 100V</v>
          </cell>
          <cell r="C7" t="str">
            <v>-</v>
          </cell>
        </row>
        <row r="8">
          <cell r="A8" t="str">
            <v>BE750M2-JP</v>
          </cell>
          <cell r="B8" t="str">
            <v>APC ES 750 9 Outlet 750VA 2 USB 100V</v>
          </cell>
          <cell r="C8" t="str">
            <v>-</v>
          </cell>
        </row>
        <row r="9">
          <cell r="A9" t="str">
            <v>BG500-JPEW</v>
          </cell>
          <cell r="B9" t="str">
            <v>APC GS Pro 500 5年保証</v>
          </cell>
          <cell r="C9" t="str">
            <v>-</v>
          </cell>
        </row>
        <row r="10">
          <cell r="A10" t="str">
            <v>BR400S-JP</v>
          </cell>
          <cell r="B10" t="str">
            <v>APC RS 400VA Sinewave Battery Backup 100V</v>
          </cell>
          <cell r="C10" t="str">
            <v>-</v>
          </cell>
        </row>
        <row r="11">
          <cell r="A11" t="str">
            <v>BR550S-JP</v>
          </cell>
          <cell r="B11" t="str">
            <v>APC RS 550VA Sinewave Battery Backup 100V</v>
          </cell>
          <cell r="C11" t="str">
            <v>-</v>
          </cell>
        </row>
        <row r="12">
          <cell r="A12" t="str">
            <v>BR1000S-JP</v>
          </cell>
          <cell r="B12" t="str">
            <v>APC RS 1000VA Sinewave Battery Backup 100V</v>
          </cell>
          <cell r="C12" t="str">
            <v>-</v>
          </cell>
        </row>
        <row r="13">
          <cell r="A13" t="str">
            <v>BR1200S-JP</v>
          </cell>
          <cell r="B13" t="str">
            <v>APC RS 1200VA Sinewave Battery Backup 100V</v>
          </cell>
          <cell r="C13" t="str">
            <v>-</v>
          </cell>
        </row>
        <row r="14">
          <cell r="A14" t="str">
            <v>P3U3-JP</v>
          </cell>
          <cell r="B14" t="str">
            <v>USBチャージ機能付き雷ガードタップ</v>
          </cell>
          <cell r="C14" t="str">
            <v>-</v>
          </cell>
        </row>
        <row r="15">
          <cell r="A15" t="str">
            <v>PE6U2W-JP</v>
          </cell>
          <cell r="B15" t="str">
            <v>APC SurgeArrest Essential 6 Outlet with 2 Port USB Charger 100V</v>
          </cell>
          <cell r="C15" t="str">
            <v>-</v>
          </cell>
        </row>
        <row r="16">
          <cell r="A16" t="str">
            <v>PROTECTNETギガビットサージプロテクション</v>
          </cell>
          <cell r="C16" t="str">
            <v>-</v>
          </cell>
        </row>
        <row r="17">
          <cell r="A17" t="str">
            <v>PNET1GB</v>
          </cell>
          <cell r="B17" t="str">
            <v>PROTECTNET ギガビットサージプロテクション</v>
          </cell>
          <cell r="C17" t="str">
            <v>-</v>
          </cell>
        </row>
        <row r="18">
          <cell r="A18" t="str">
            <v>Smart-UPS</v>
          </cell>
          <cell r="C18" t="str">
            <v>-</v>
          </cell>
        </row>
        <row r="19">
          <cell r="A19" t="str">
            <v>SMT500J</v>
          </cell>
          <cell r="B19" t="str">
            <v>APC Smart-UPS 500 LCD 100V</v>
          </cell>
          <cell r="C19" t="str">
            <v>※最大出力：360W / 500VA (100V)
※入力プラグ：NEMA 5-15P、出力コンセント：NEMA 5-15R x6
※2年センドバック保証付</v>
          </cell>
        </row>
        <row r="20">
          <cell r="A20" t="str">
            <v>SMT500J3W</v>
          </cell>
          <cell r="B20" t="str">
            <v>APC Smart-UPS 500 LCD 100V 3年保証</v>
          </cell>
          <cell r="C20" t="str">
            <v>※最大出力：360W / 500VA (100V)
※入力プラグ：NEMA 5-15P、出力コンセント：NEMA 5-15R x6
※3年センドバック保証付</v>
          </cell>
        </row>
        <row r="21">
          <cell r="A21" t="str">
            <v>SMT500J5W</v>
          </cell>
          <cell r="B21" t="str">
            <v>APC Smart-UPS 500 LCD 100V 5年保証</v>
          </cell>
          <cell r="C21" t="str">
            <v>※最大出力：360W / 500VA (100V)
※入力プラグ：NEMA 5-15P、出力コンセント：NEMA 5-15R x6
※5年センドバック保証付</v>
          </cell>
        </row>
        <row r="22">
          <cell r="A22" t="str">
            <v>SMT500J6W</v>
          </cell>
          <cell r="B22" t="str">
            <v>APC Smart-UPS 500 LCD 100V 6年保証</v>
          </cell>
          <cell r="C22" t="str">
            <v>※最大出力：360W / 500VA (100V)
※入力プラグ：NEMA 5-15P、出力コンセント：NEMA 5-15R x6
※6年センドバック保証付</v>
          </cell>
        </row>
        <row r="23">
          <cell r="A23" t="str">
            <v>SMT500JOS3</v>
          </cell>
          <cell r="B23" t="str">
            <v>APC Smart-UPS 500 LCD 100V オンサイト3年保証</v>
          </cell>
          <cell r="C23" t="str">
            <v>※最大出力：360W / 500VA (100V)
※入力プラグ：NEMA 5-15P、出力コンセント：NEMA 5-15R x6
※3年翌営業日オンサイト対応保証付</v>
          </cell>
        </row>
        <row r="24">
          <cell r="A24" t="str">
            <v>SMT500JOS5</v>
          </cell>
          <cell r="B24" t="str">
            <v>APC Smart-UPS 500 LCD 100V オンサイト5年保証</v>
          </cell>
          <cell r="C24" t="str">
            <v>※最大出力：360W / 500VA (100V)
※入力プラグ：NEMA 5-15P、出力コンセント：NEMA 5-15R x6
※5年翌営業日オンサイト対応付</v>
          </cell>
        </row>
        <row r="25">
          <cell r="A25" t="str">
            <v>SMT500JOS6</v>
          </cell>
          <cell r="B25" t="str">
            <v>APC Smart-UPS 500 LCD 100V オンサイト6年保証</v>
          </cell>
          <cell r="C25" t="str">
            <v>※最大出力：360W / 500VA (100V)
※入力プラグ：NEMA 5-15P、出力コンセント：NEMA 5-15R x6
※6年翌営業日オンサイト対応付</v>
          </cell>
        </row>
        <row r="26">
          <cell r="A26" t="str">
            <v>SMT750J</v>
          </cell>
          <cell r="B26" t="str">
            <v>APC Smart-UPS 750 LCD 100V</v>
          </cell>
          <cell r="C26" t="str">
            <v>※最大出力：500W / 750VA (100V)
※入力プラグ：NEMA 5-15P、出力コンセント：NEMA 5-15R x6
※2年センドバック保証付</v>
          </cell>
        </row>
        <row r="27">
          <cell r="A27" t="str">
            <v>SMT750J3W</v>
          </cell>
          <cell r="B27" t="str">
            <v>APC Smart-UPS 750 LCD 100V 3年保証</v>
          </cell>
          <cell r="C27" t="str">
            <v>※最大出力：500W / 750VA (100V)
※入力プラグ：NEMA 5-15P、出力コンセント：NEMA 5-15R x6
※3年センドバック保証付</v>
          </cell>
        </row>
        <row r="28">
          <cell r="A28" t="str">
            <v>SMT750J5W</v>
          </cell>
          <cell r="B28" t="str">
            <v>APC Smart-UPS 750 LCD 100V 5年保証</v>
          </cell>
          <cell r="C28" t="str">
            <v>※最大出力：500W / 750VA (100V)
※入力プラグ：NEMA 5-15P、出力コンセント：NEMA 5-15R x6
※5年センドバック保証付</v>
          </cell>
        </row>
        <row r="29">
          <cell r="A29" t="str">
            <v>SMT750J6W</v>
          </cell>
          <cell r="B29" t="str">
            <v>APC Smart-UPS 750 LCD 100V 6年保証</v>
          </cell>
          <cell r="C29" t="str">
            <v>※最大出力：500W / 750VA (100V)
※入力プラグ：NEMA 5-15P、出力コンセント：NEMA 5-15R x6
※6年センドバック保証付</v>
          </cell>
        </row>
        <row r="30">
          <cell r="A30" t="str">
            <v>SMT750JOS3</v>
          </cell>
          <cell r="B30" t="str">
            <v>APC Smart-UPS 750 LCD 100V オンサイト3年保証</v>
          </cell>
          <cell r="C30" t="str">
            <v>※最大出力：500W / 750VA (100V)
※入力プラグ：NEMA 5-15P、出力コンセント：NEMA 5-15R x6
※3年翌営業日オンサイト対応保証付</v>
          </cell>
        </row>
        <row r="31">
          <cell r="A31" t="str">
            <v>SMT750JOS5</v>
          </cell>
          <cell r="B31" t="str">
            <v>APC Smart-UPS 750 LCD 100V オンサイト5年保証</v>
          </cell>
          <cell r="C31" t="str">
            <v>※最大出力：500W / 750VA (100V)
※入力プラグ：NEMA 5-15P、出力コンセント：NEMA 5-15R x6
※5年翌営業日オンサイト対応付</v>
          </cell>
        </row>
        <row r="32">
          <cell r="A32" t="str">
            <v>SMT750JOS6</v>
          </cell>
          <cell r="B32" t="str">
            <v>APC Smart-UPS 750 LCD 100V オンサイト6年保証</v>
          </cell>
          <cell r="C32" t="str">
            <v>※最大出力：500W / 750VA (100V)
※入力プラグ：NEMA 5-15P、出力コンセント：NEMA 5-15R x6
※6年翌営業日オンサイト対応付</v>
          </cell>
        </row>
        <row r="33">
          <cell r="A33" t="str">
            <v>SUA750RMJ1UB</v>
          </cell>
          <cell r="B33" t="str">
            <v>Smart-UPS750RM(ﾌﾞﾗｯｸﾓﾃﾞﾙ)</v>
          </cell>
          <cell r="C33" t="str">
            <v>※最大出力：480W / 750VA (100V)
※入力プラグ：NEMA 5-15P、出力コンセント：NEMA 5-15R x4
※2年センドバック保証付</v>
          </cell>
        </row>
        <row r="34">
          <cell r="A34" t="str">
            <v>SUA750RMJ1UB3W</v>
          </cell>
          <cell r="B34" t="str">
            <v>Smart-UPS 750RM 3年保証</v>
          </cell>
          <cell r="C34" t="str">
            <v>※最大出力：480W / 750VA (100V)
※入力プラグ：NEMA 5-15P、出力コンセント：NEMA 5-15R x4
※3年センドバック保証付</v>
          </cell>
        </row>
        <row r="35">
          <cell r="A35" t="str">
            <v>SUA750RMJ1UB5W</v>
          </cell>
          <cell r="B35" t="str">
            <v>Smart-UPS 750RM 5年保証</v>
          </cell>
          <cell r="C35" t="str">
            <v>※最大出力：480W / 750VA (100V)
※入力プラグ：NEMA 5-15P、出力コンセント：NEMA 5-15R x4
※5年センドバック保証付</v>
          </cell>
        </row>
        <row r="36">
          <cell r="A36" t="str">
            <v>SUA750RMJ1UBOS3</v>
          </cell>
          <cell r="B36" t="str">
            <v>Smart-UPS 750RM オンサイト3年保証</v>
          </cell>
          <cell r="C36" t="str">
            <v>※最大出力：480W / 750VA (100V)
※入力プラグ：NEMA 5-15P、出力コンセント：NEMA 5-15R x4
※3年翌営業日オンサイト対応保証付</v>
          </cell>
        </row>
        <row r="37">
          <cell r="A37" t="str">
            <v>SUA750RMJ1UBOS5</v>
          </cell>
          <cell r="B37" t="str">
            <v>Smart-UPS 750RM オンサイト5年保証</v>
          </cell>
          <cell r="C37" t="str">
            <v>※最大出力：480W / 750VA (100V)
※入力プラグ：NEMA 5-15P、出力コンセント：NEMA 5-15R x4
※5年翌営業日オンサイト対応付</v>
          </cell>
        </row>
        <row r="38">
          <cell r="A38" t="str">
            <v>SMT1000J</v>
          </cell>
          <cell r="B38" t="str">
            <v>APC Smart-UPS 1000 LCD 100V</v>
          </cell>
          <cell r="C38" t="str">
            <v>※最大出力：670W / 1000VA (100V)
※入力プラグ：NEMA 5-15P、出力コンセント：NEMA 5-15R x8
※2年センドバック保証付</v>
          </cell>
        </row>
        <row r="39">
          <cell r="A39" t="str">
            <v>SMT1000J3W</v>
          </cell>
          <cell r="B39" t="str">
            <v>APC Smart-UPS 1000 LCD 100V 3年保証</v>
          </cell>
          <cell r="C39" t="str">
            <v>※最大出力：670W / 1000VA (100V)
※入力プラグ：NEMA 5-15P、出力コンセント：NEMA 5-15R x8
※3年センドバック保証付</v>
          </cell>
        </row>
        <row r="40">
          <cell r="A40" t="str">
            <v>SMT1000J5W</v>
          </cell>
          <cell r="B40" t="str">
            <v>APC Smart-UPS 1000 LCD 100V 5年保証</v>
          </cell>
          <cell r="C40" t="str">
            <v>※最大出力：670W / 1000VA (100V)
※入力プラグ：NEMA 5-15P、出力コンセント：NEMA 5-15R x8
※5年センドバック保証付</v>
          </cell>
        </row>
        <row r="41">
          <cell r="A41" t="str">
            <v>SMT1000J6W</v>
          </cell>
          <cell r="B41" t="str">
            <v>APC Smart-UPS 1000 LCD 100V 6年保証</v>
          </cell>
          <cell r="C41" t="str">
            <v>※最大出力：670W / 1000VA (100V)
※入力プラグ：NEMA 5-15P、出力コンセント：NEMA 5-15R x8
※6年センドバック保証付</v>
          </cell>
        </row>
        <row r="42">
          <cell r="A42" t="str">
            <v>SMT1000JOS3</v>
          </cell>
          <cell r="B42" t="str">
            <v>APC Smart-UPS 1000 LCD 100V オンサイト3年保証</v>
          </cell>
          <cell r="C42" t="str">
            <v>※最大出力：670W / 1000VA (100V)
※入力プラグ：NEMA 5-15P、出力コンセント：NEMA 5-15R x8
※3年翌営業日オンサイト対応保証付</v>
          </cell>
        </row>
        <row r="43">
          <cell r="A43" t="str">
            <v>SMT1000JOS5</v>
          </cell>
          <cell r="B43" t="str">
            <v>APC Smart-UPS 1000 LCD 100V オンサイト5年保証</v>
          </cell>
          <cell r="C43" t="str">
            <v>※最大出力：670W / 1000VA (100V)
※入力プラグ：NEMA 5-15P、出力コンセント：NEMA 5-15R x8
※5年翌営業日オンサイト対応付</v>
          </cell>
        </row>
        <row r="44">
          <cell r="A44" t="str">
            <v>SMT1000JOS6</v>
          </cell>
          <cell r="B44" t="str">
            <v>APC Smart-UPS 1000 LCD 100V オンサイト6年保証</v>
          </cell>
          <cell r="C44" t="str">
            <v>※最大出力：670W / 1000VA (100V)
※入力プラグ：NEMA 5-15P、出力コンセント：NEMA 5-15R x8
※6年翌営業日オンサイト対応付</v>
          </cell>
        </row>
        <row r="45">
          <cell r="A45" t="str">
            <v>SMT1200RMJ1U</v>
          </cell>
          <cell r="B45" t="str">
            <v>APC Smart-UPS 1200 RM 1U LCD 100V</v>
          </cell>
          <cell r="C45" t="str">
            <v>※最大出力：1000W / 1200VA (100V)
※入力プラグ：NEMA 5-15P、出力コンセント：NEMA 5-15R x4
※2年センドバック保証付</v>
          </cell>
        </row>
        <row r="46">
          <cell r="A46" t="str">
            <v>SMT1200RMJ1U3W</v>
          </cell>
          <cell r="B46" t="str">
            <v>APC Smart-UPS 1200 RM 1U LCD 100V 3年保証</v>
          </cell>
          <cell r="C46" t="str">
            <v>※最大出力：1000W / 1200VA (100V)
※入力プラグ：NEMA 5-15P、出力コンセント：NEMA 5-15R x4
※3年センドバック保証付</v>
          </cell>
        </row>
        <row r="47">
          <cell r="A47" t="str">
            <v>SMT1200RMJ1U5W</v>
          </cell>
          <cell r="B47" t="str">
            <v>APC Smart-UPS 1200 RM 1U LCD 100V 5年保証</v>
          </cell>
          <cell r="C47" t="str">
            <v>※最大出力：1000W / 1200VA (100V)
※入力プラグ：NEMA 5-15P、出力コンセント：NEMA 5-15R x4
※5年センドバック保証付</v>
          </cell>
        </row>
        <row r="48">
          <cell r="A48" t="str">
            <v>SMT1200RMJ1U6W</v>
          </cell>
          <cell r="B48" t="str">
            <v>APC Smart-UPS 1200 RM 1U LCD 100V 6年保証</v>
          </cell>
          <cell r="C48" t="str">
            <v>※最大出力：1000W / 1200VA (100V)
※入力プラグ：NEMA 5-15P、出力コンセント：NEMA 5-15R x4
※6年センドバック保証付</v>
          </cell>
        </row>
        <row r="49">
          <cell r="A49" t="str">
            <v>SMT1200RMJ1UOS3</v>
          </cell>
          <cell r="B49" t="str">
            <v>APC Smart-UPS 1200 RM 1U LCD 100V オンサイト3年保証</v>
          </cell>
          <cell r="C49" t="str">
            <v>※最大出力：1000W / 1200VA (100V)
※入力プラグ：NEMA 5-15P、出力コンセント：NEMA 5-15R x4
※3年翌営業日オンサイト対応保証付</v>
          </cell>
        </row>
        <row r="50">
          <cell r="A50" t="str">
            <v>SMT1200RMJ1UOS5</v>
          </cell>
          <cell r="B50" t="str">
            <v>APC Smart-UPS 1200 RM 1U LCD 100V オンサイト5年保証</v>
          </cell>
          <cell r="C50" t="str">
            <v>※最大出力：1000W / 1200VA (100V)
※入力プラグ：NEMA 5-15P、出力コンセント：NEMA 5-15R x4
※5年翌営業日オンサイト対応付</v>
          </cell>
        </row>
        <row r="51">
          <cell r="A51" t="str">
            <v>SMT1200RMJ1UOS6</v>
          </cell>
          <cell r="B51" t="str">
            <v>APC Smart-UPS 1200 RM 1U LCD 100V オンサイト6年保証</v>
          </cell>
          <cell r="C51" t="str">
            <v>※最大出力：1000W / 1200VA (100V)
※入力プラグ：NEMA 5-15P、出力コンセント：NEMA 5-15R x4
※6年翌営業日オンサイト対応保証付</v>
          </cell>
        </row>
        <row r="52">
          <cell r="A52" t="str">
            <v>SMT1500J</v>
          </cell>
          <cell r="B52" t="str">
            <v>APC Smart-UPS 1500 LCD 100V</v>
          </cell>
          <cell r="C52" t="str">
            <v>※定格出力：980W / 1200VA (100V)
※入力プラグ：NEMA 5-15P、出力コンセント：NEMA 5-15R x8
※2年センドバック保証付</v>
          </cell>
        </row>
        <row r="53">
          <cell r="A53" t="str">
            <v>SMT1500J3W</v>
          </cell>
          <cell r="B53" t="str">
            <v>APC Smart-UPS 1500 LCD 100V 3年保証</v>
          </cell>
          <cell r="C53" t="str">
            <v>※定格出力：980W / 1200VA (100V)
※入力プラグ：NEMA 5-15P、出力コンセント：NEMA 5-15R x8
※3年センドバック保証付</v>
          </cell>
        </row>
        <row r="54">
          <cell r="A54" t="str">
            <v>SMT1500J5W</v>
          </cell>
          <cell r="B54" t="str">
            <v>APC Smart-UPS 1500 LCD 100V 5年保証</v>
          </cell>
          <cell r="C54" t="str">
            <v>※定格出力：980W / 1200VA (100V)
※入力プラグ：NEMA 5-15P、出力コンセント：NEMA 5-15R x8
※5年センドバック保証付</v>
          </cell>
        </row>
        <row r="55">
          <cell r="A55" t="str">
            <v>SMT1500J6W</v>
          </cell>
          <cell r="B55" t="str">
            <v>APC Smart-UPS 1500 LCD 100V 6年保証</v>
          </cell>
          <cell r="C55" t="str">
            <v>※定格出力：980W / 1200VA (100V)
※入力プラグ：NEMA 5-15P、出力コンセント：NEMA 5-15R x8
※6年センドバック保証付</v>
          </cell>
        </row>
        <row r="56">
          <cell r="A56" t="str">
            <v>SMT1500JOS3</v>
          </cell>
          <cell r="B56" t="str">
            <v>APC Smart-UPS 1500 LCD 100V オンサイト3年保証</v>
          </cell>
          <cell r="C56" t="str">
            <v>※定格出力：980W / 1200VA (100V)
※入力プラグ：NEMA 5-15P、出力コンセント：NEMA 5-15R x8
※3年翌営業日オンサイト対応保証付</v>
          </cell>
        </row>
        <row r="57">
          <cell r="A57" t="str">
            <v>SMT1500JOS5</v>
          </cell>
          <cell r="B57" t="str">
            <v>APC Smart-UPS 1500 LCD 100V オンサイト5年保証</v>
          </cell>
          <cell r="C57" t="str">
            <v>※定格出力：980W / 1200VA (100V)
※入力プラグ：NEMA 5-15P、出力コンセント：NEMA 5-15R x8
※5年翌営業日オンサイト対応保証付</v>
          </cell>
        </row>
        <row r="58">
          <cell r="A58" t="str">
            <v>SMT1500JOS6</v>
          </cell>
          <cell r="B58" t="str">
            <v>APC Smart-UPS 1500 LCD 100V オンサイト6年保証</v>
          </cell>
          <cell r="C58" t="str">
            <v>※定格出力：980W / 1200VA (100V)
※入力プラグ：NEMA 5-15P、出力コンセント：NEMA 5-15R x8
※6年翌営業日オンサイト対応保証付</v>
          </cell>
        </row>
        <row r="59">
          <cell r="A59" t="str">
            <v>SMT1500RMJ2U</v>
          </cell>
          <cell r="B59" t="str">
            <v>APC Smart-UPS 1500 RM 2U LCD 100V</v>
          </cell>
          <cell r="C59" t="str">
            <v>※定格出力：1200W / 1200VA (100V)
※入力プラグ：NEMA 5-15P、出力コンセント：NEMA 5-15R x6
※2年センドバック保証付</v>
          </cell>
        </row>
        <row r="60">
          <cell r="A60" t="str">
            <v>SMT1500RMJ2U3W</v>
          </cell>
          <cell r="B60" t="str">
            <v>APC Smart-UPS 1500 RM 2U LCD 100V 3年保証</v>
          </cell>
          <cell r="C60" t="str">
            <v>※定格出力：1200W / 1200VA (100V)
※入力プラグ：NEMA 5-15P、出力コンセント：NEMA 5-15R x6
※3年センドバック保証付</v>
          </cell>
        </row>
        <row r="61">
          <cell r="A61" t="str">
            <v>SMT1500RMJ2U5W</v>
          </cell>
          <cell r="B61" t="str">
            <v>APC Smart-UPS 1500 RM 2U LCD 100V 5年保証</v>
          </cell>
          <cell r="C61" t="str">
            <v>※定格出力：1200W / 1200VA (100V)
※入力プラグ：NEMA 5-15P、出力コンセント：NEMA 5-15R x6
※5年センドバック保証付</v>
          </cell>
        </row>
        <row r="62">
          <cell r="A62" t="str">
            <v>SMT1500RMJ2U6W</v>
          </cell>
          <cell r="B62" t="str">
            <v>APC Smart-UPS 1500 RM 2U LCD 100V 6年保証</v>
          </cell>
          <cell r="C62" t="str">
            <v>※定格出力：1200W / 1200VA (100V)
※入力プラグ：NEMA 5-15P、出力コンセント：NEMA 5-15R x6
※6年センドバック保証付</v>
          </cell>
        </row>
        <row r="63">
          <cell r="A63" t="str">
            <v>SMT1500RMJ2UOS3</v>
          </cell>
          <cell r="B63" t="str">
            <v>APC Smart-UPS 1500 RM 2U LCD 100V オンサイト3年保証</v>
          </cell>
          <cell r="C63" t="str">
            <v>※定格出力：1200W / 1200VA (100V)
※入力プラグ：NEMA 5-15P、出力コンセント：NEMA 5-15R x6
※3年翌営業日オンサイト対応保証付</v>
          </cell>
        </row>
        <row r="64">
          <cell r="A64" t="str">
            <v>SMT1500RMJ2UOS5</v>
          </cell>
          <cell r="B64" t="str">
            <v>APC Smart-UPS 1500 RM 2U LCD 100V オンサイト5年保証</v>
          </cell>
          <cell r="C64" t="str">
            <v>※定格出力：1200W / 1200VA (100V)
※入力プラグ：NEMA 5-15P、出力コンセント：NEMA 5-15R x6
※5年翌営業日オンサイト対応保証付</v>
          </cell>
        </row>
        <row r="65">
          <cell r="A65" t="str">
            <v>SMT1500RMJ2UOS6</v>
          </cell>
          <cell r="B65" t="str">
            <v>APC Smart-UPS 1500 RM 2U LCD 100V オンサイト6年保証</v>
          </cell>
          <cell r="C65" t="str">
            <v>※定格出力：1200W / 1200VA (100V)
※入力プラグ：NEMA 5-15P、出力コンセント：NEMA 5-15R x6
※6年翌営業日オンサイト対応保証付</v>
          </cell>
        </row>
        <row r="66">
          <cell r="A66" t="str">
            <v>SMT2200J</v>
          </cell>
          <cell r="B66" t="str">
            <v>APC Smart-UPS 2200 LCD 100V</v>
          </cell>
          <cell r="C66" t="str">
            <v>※最大出力：1980W / 2200VA (100V)
※入力プラグ：NEMA L5-30P、出力コンセント：NEMA 5-20R x2　NEMA 5-15R x8
※2年センドバック保証付</v>
          </cell>
        </row>
        <row r="67">
          <cell r="A67" t="str">
            <v>SMT2200J3W</v>
          </cell>
          <cell r="B67" t="str">
            <v>APC Smart-UPS 2200 LCD 100V 3年保証</v>
          </cell>
          <cell r="C67" t="str">
            <v>※最大出力：1980W / 2200VA (100V)
※入力プラグ：NEMA L5-30P、出力コンセント：NEMA 5-20R x2　NEMA 5-15R x8
※3年センドバック保証付</v>
          </cell>
        </row>
        <row r="68">
          <cell r="A68" t="str">
            <v>SMT2200J5W</v>
          </cell>
          <cell r="B68" t="str">
            <v>APC Smart-UPS 2200 LCD 100V 5年保証</v>
          </cell>
          <cell r="C68" t="str">
            <v>※最大出力：1980W / 2200VA (100V)
※入力プラグ：NEMA L5-30P、出力コンセント：NEMA 5-20R x2　NEMA 5-15R x8
※5年センドバック保証付</v>
          </cell>
        </row>
        <row r="69">
          <cell r="A69" t="str">
            <v>SMT2200J6W</v>
          </cell>
          <cell r="B69" t="str">
            <v>APC Smart-UPS 2200 LCD 100V 6年保証</v>
          </cell>
          <cell r="C69" t="str">
            <v>※最大出力：1980W / 2200VA (100V)
※入力プラグ：NEMA L5-30P、出力コンセント：NEMA 5-20R x2　NEMA 5-15R x8
※6年センドバック保証付</v>
          </cell>
        </row>
        <row r="70">
          <cell r="A70" t="str">
            <v>SMT2200JOS3</v>
          </cell>
          <cell r="B70" t="str">
            <v>APC Smart-UPS 2200 LCD 100V オンサイト3年保証</v>
          </cell>
          <cell r="C70" t="str">
            <v>※最大出力：1980W / 2200VA (100V)
※入力プラグ：NEMA L5-30P、出力コンセント：NEMA 5-20R x2　NEMA 5-15R x8
※3年翌営業日オンサイト対応保証付</v>
          </cell>
        </row>
        <row r="71">
          <cell r="A71" t="str">
            <v>SMT2200JOS5</v>
          </cell>
          <cell r="B71" t="str">
            <v>APC Smart-UPS 2200 LCD 100V オンサイト5年保証</v>
          </cell>
          <cell r="C71" t="str">
            <v>※最大出力：1980W / 2200VA (100V)
※入力プラグ：NEMA L5-30P、出力コンセント：NEMA 5-20R x2　NEMA 5-15R x8
※5年翌営業日オンサイト対応保証付</v>
          </cell>
        </row>
        <row r="72">
          <cell r="A72" t="str">
            <v>SMT2200JOS6</v>
          </cell>
          <cell r="B72" t="str">
            <v>APC Smart-UPS 2200 LCD 100V オンサイト6年保証</v>
          </cell>
          <cell r="C72" t="str">
            <v>※最大出力：1980W / 2200VA (100V)
※入力プラグ：NEMA L5-30P、出力コンセント：NEMA 5-20R x2　NEMA 5-15R x8
※6年翌営業日オンサイト対応保証付</v>
          </cell>
        </row>
        <row r="73">
          <cell r="A73" t="str">
            <v>SMT3000J</v>
          </cell>
          <cell r="B73" t="str">
            <v>APC Smart-UPS 3000 LCD 100V</v>
          </cell>
          <cell r="C73" t="str">
            <v>※定格出力：2400W / 2400VA (100V)
※入力プラグ：NEMA L5-30P、出力コンセント：NEMA 5-20R x2　NEMA 5-15R x8
※2年センドバック保証付</v>
          </cell>
        </row>
        <row r="74">
          <cell r="A74" t="str">
            <v>SMT3000J3W</v>
          </cell>
          <cell r="B74" t="str">
            <v>APC Smart-UPS 3000 LCD 100V 3年保証</v>
          </cell>
          <cell r="C74" t="str">
            <v>※定格出力：2400W / 2400VA (100V)
※入力プラグ：NEMA L5-30P、出力コンセント：NEMA 5-20R x2　NEMA 5-15R x8
※3年センドバック保証付</v>
          </cell>
        </row>
        <row r="75">
          <cell r="A75" t="str">
            <v>SMT3000J5W</v>
          </cell>
          <cell r="B75" t="str">
            <v>APC Smart-UPS 3000 LCD 100V 5年保証</v>
          </cell>
          <cell r="C75" t="str">
            <v>※定格出力：2400W / 2400VA (100V)
※入力プラグ：NEMA L5-30P、出力コンセント：NEMA 5-20R x2　NEMA 5-15R x8
※5年センドバック保証付</v>
          </cell>
        </row>
        <row r="76">
          <cell r="A76" t="str">
            <v>SMT3000J6W</v>
          </cell>
          <cell r="B76" t="str">
            <v>APC Smart-UPS 3000 LCD 100V 6年保証</v>
          </cell>
          <cell r="C76" t="str">
            <v>※定格出力：2400W / 2400VA (100V)
※入力プラグ：NEMA L5-30P、出力コンセント：NEMA 5-20R x2　NEMA 5-15R x8
※6年センドバック保証付</v>
          </cell>
        </row>
        <row r="77">
          <cell r="A77" t="str">
            <v>SMT3000JOS3</v>
          </cell>
          <cell r="B77" t="str">
            <v>APC Smart-UPS 3000 LCD 100V オンサイト3年保証</v>
          </cell>
          <cell r="C77" t="str">
            <v>※定格出力：2400W / 2400VA (100V)
※入力プラグ：NEMA L5-30P、出力コンセント：NEMA 5-20R x2　NEMA 5-15R x8
※3年翌営業日オンサイト対応保証付</v>
          </cell>
        </row>
        <row r="78">
          <cell r="A78" t="str">
            <v>SMT3000JOS5</v>
          </cell>
          <cell r="B78" t="str">
            <v>APC Smart-UPS 3000 LCD 100V オンサイト5年保証</v>
          </cell>
          <cell r="C78" t="str">
            <v>※定格出力：2400W / 2400VA (100V)
※入力プラグ：NEMA L5-30P、出力コンセント：NEMA 5-20R x2　NEMA 5-15R x8
※5年翌営業日オンサイト対応保証付</v>
          </cell>
        </row>
        <row r="79">
          <cell r="A79" t="str">
            <v>SMT3000JOS6</v>
          </cell>
          <cell r="B79" t="str">
            <v>APC Smart-UPS 3000 LCD 100V オンサイト6年保証</v>
          </cell>
          <cell r="C79" t="str">
            <v>※定格出力：2400W / 2400VA (100V)
※入力プラグ：NEMA L5-30P、出力コンセント：NEMA 5-20R x2　NEMA 5-15R x8
※6年翌営業日オンサイト対応保証付</v>
          </cell>
        </row>
        <row r="80">
          <cell r="A80" t="str">
            <v>SMT3000RMJ2U</v>
          </cell>
          <cell r="B80" t="str">
            <v>APC Smart-UPS 3000 RM 2U LCD 100V</v>
          </cell>
          <cell r="C80" t="str">
            <v>※定格出力：2400W / 2400VA (100V)
※入力プラグ：NEMA L5-30P、出力コンセント：NEMA 5-20R x2　NEMA 5-15R x6
※2年センドバック保証付</v>
          </cell>
        </row>
        <row r="81">
          <cell r="A81" t="str">
            <v>SMT3000RMJ2U3W</v>
          </cell>
          <cell r="B81" t="str">
            <v>APC Smart-UPS 3000 RM 2U LCD 100V 3年保証</v>
          </cell>
          <cell r="C81" t="str">
            <v>※定格出力：2400W / 2400VA (100V)
※入力プラグ：NEMA L5-30P、出力コンセント：NEMA 5-20R x2　NEMA 5-15R x6
※3年センドバック保証付</v>
          </cell>
        </row>
        <row r="82">
          <cell r="A82" t="str">
            <v>SMT3000RMJ2U5W</v>
          </cell>
          <cell r="B82" t="str">
            <v>APC Smart-UPS 3000 RM 2U LCD 100V 5年保証</v>
          </cell>
          <cell r="C82" t="str">
            <v>※定格出力：2400W / 2400VA (100V)
※入力プラグ：NEMA L5-30P、出力コンセント：NEMA 5-20R x2　NEMA 5-15R x6
※5年センドバック保証付</v>
          </cell>
        </row>
        <row r="83">
          <cell r="A83" t="str">
            <v>SMT3000RMJ2U6W</v>
          </cell>
          <cell r="B83" t="str">
            <v>APC Smart-UPS 3000 RM 2U LCD 100V 6年保証</v>
          </cell>
          <cell r="C83" t="str">
            <v>※定格出力：2400W / 2400VA (100V)
※入力プラグ：NEMA L5-30P、出力コンセント：NEMA 5-20R x2　NEMA 5-15R x6
※6年センドバック保証付</v>
          </cell>
        </row>
        <row r="84">
          <cell r="A84" t="str">
            <v>SMT3000RMJ2UOS3</v>
          </cell>
          <cell r="B84" t="str">
            <v>APC Smart-UPS 3000 RM 2U LCD 100V オンサイト3年保証</v>
          </cell>
          <cell r="C84" t="str">
            <v>※定格出力：2400W / 2400VA (100V)
※入力プラグ：NEMA L5-30P、出力コンセント：NEMA 5-20R x2　NEMA 5-15R x6
※3年翌営業日オンサイト対応保証付</v>
          </cell>
        </row>
        <row r="85">
          <cell r="A85" t="str">
            <v>SMT3000RMJ2UOS5</v>
          </cell>
          <cell r="B85" t="str">
            <v>APC Smart-UPS 3000 RM 2U LCD 100V オンサイト5年保証</v>
          </cell>
          <cell r="C85" t="str">
            <v>※定格出力：2400W / 2400VA (100V)
※入力プラグ：NEMA L5-30P、出力コンセント：NEMA 5-20R x2　NEMA 5-15R x6
※5年翌営業日オンサイト対応保証付</v>
          </cell>
        </row>
        <row r="86">
          <cell r="A86" t="str">
            <v>SMT3000RMJ2UOS6</v>
          </cell>
          <cell r="B86" t="str">
            <v>APC Smart-UPS 3000 RM 2U LCD 100V オンサイト6年保証</v>
          </cell>
          <cell r="C86" t="str">
            <v>※定格出力：2400W / 2400VA (100V)
※入力プラグ：NEMA L5-30P、出力コンセント：NEMA 5-20R x2　NEMA 5-15R x6
※6年翌営業日オンサイト対応保証付</v>
          </cell>
        </row>
        <row r="87">
          <cell r="A87" t="str">
            <v>Smart-UPS 海外モデル</v>
          </cell>
          <cell r="C87" t="str">
            <v>-</v>
          </cell>
        </row>
        <row r="88">
          <cell r="A88" t="str">
            <v>SMT750</v>
          </cell>
          <cell r="B88" t="str">
            <v>APC Smart-UPS 750VA LCD 120V</v>
          </cell>
          <cell r="C88" t="str">
            <v>-</v>
          </cell>
        </row>
        <row r="89">
          <cell r="A89" t="str">
            <v>SMT1000</v>
          </cell>
          <cell r="B89" t="str">
            <v>APC Smart-UPS 1000VA LCD 120V</v>
          </cell>
          <cell r="C89" t="str">
            <v>-</v>
          </cell>
        </row>
        <row r="90">
          <cell r="A90" t="str">
            <v>SMT1500</v>
          </cell>
          <cell r="B90" t="str">
            <v>APC Smart-UPS 1500VA LCD 120V</v>
          </cell>
          <cell r="C90" t="str">
            <v>-</v>
          </cell>
        </row>
        <row r="91">
          <cell r="A91" t="str">
            <v>SMT2200</v>
          </cell>
          <cell r="B91" t="str">
            <v>APC Smart-UPS 2200VA LCD 120V</v>
          </cell>
          <cell r="C91" t="str">
            <v>-</v>
          </cell>
        </row>
        <row r="92">
          <cell r="A92" t="str">
            <v>SMT3000</v>
          </cell>
          <cell r="B92" t="str">
            <v>APC Smart-UPS 3000VA LCD 120V</v>
          </cell>
          <cell r="C92" t="str">
            <v>-</v>
          </cell>
        </row>
        <row r="93">
          <cell r="A93" t="str">
            <v>SMT1000RM2U</v>
          </cell>
          <cell r="B93" t="str">
            <v>APC Smart-UPS 1000VA LCD RM 2U 120V</v>
          </cell>
          <cell r="C93" t="str">
            <v>-</v>
          </cell>
        </row>
        <row r="94">
          <cell r="A94" t="str">
            <v>SMT1500RM2U</v>
          </cell>
          <cell r="B94" t="str">
            <v>APC Smart-UPS 1500VA LCD RM 2U 120V</v>
          </cell>
          <cell r="C94" t="str">
            <v>-</v>
          </cell>
        </row>
        <row r="95">
          <cell r="A95" t="str">
            <v>SMT3000RM2U</v>
          </cell>
          <cell r="B95" t="str">
            <v>APC Smart-UPS 3000VA LCD RM 2U 120V</v>
          </cell>
          <cell r="C95" t="str">
            <v>-</v>
          </cell>
        </row>
        <row r="96">
          <cell r="A96" t="str">
            <v>SMT750I</v>
          </cell>
          <cell r="B96" t="str">
            <v>APC Smart-UPS 750VA LCD 230V</v>
          </cell>
          <cell r="C96" t="str">
            <v>-</v>
          </cell>
        </row>
        <row r="97">
          <cell r="A97" t="str">
            <v>SMT1000I</v>
          </cell>
          <cell r="B97" t="str">
            <v>APC Smart-UPS 1000VA LCD 230V</v>
          </cell>
          <cell r="C97" t="str">
            <v>-</v>
          </cell>
        </row>
        <row r="98">
          <cell r="A98" t="str">
            <v>SMT1500I</v>
          </cell>
          <cell r="B98" t="str">
            <v>APC SMART-UPS 1500VA LCD 230V</v>
          </cell>
          <cell r="C98" t="str">
            <v>-</v>
          </cell>
        </row>
        <row r="99">
          <cell r="A99" t="str">
            <v>SMT2200I</v>
          </cell>
          <cell r="B99" t="str">
            <v>APC SMART-UPS 2200VA LCD 230V</v>
          </cell>
          <cell r="C99" t="str">
            <v>-</v>
          </cell>
        </row>
        <row r="100">
          <cell r="A100" t="str">
            <v>SMT3000I</v>
          </cell>
          <cell r="B100" t="str">
            <v>APC SMART-UPS 3000VA LCD 230V</v>
          </cell>
          <cell r="C100" t="str">
            <v>-</v>
          </cell>
        </row>
        <row r="101">
          <cell r="A101" t="str">
            <v>SMT1000RMI2U</v>
          </cell>
          <cell r="B101" t="str">
            <v>APC Smart-UPS 1000VA LCD RM 2U 230V</v>
          </cell>
          <cell r="C101" t="str">
            <v>-</v>
          </cell>
        </row>
        <row r="102">
          <cell r="A102" t="str">
            <v>SMT1500RMI2U</v>
          </cell>
          <cell r="B102" t="str">
            <v>APC Smart-UPS 1500VA LCD RM 2U 230V</v>
          </cell>
          <cell r="C102" t="str">
            <v>-</v>
          </cell>
        </row>
        <row r="103">
          <cell r="A103" t="str">
            <v>SMT3000RMI2U</v>
          </cell>
          <cell r="B103" t="str">
            <v>APC Smart-UPS 3000VA LCD RM 2U 230V</v>
          </cell>
          <cell r="C103" t="str">
            <v>-</v>
          </cell>
        </row>
        <row r="104">
          <cell r="A104" t="str">
            <v>Smart-UPS XL</v>
          </cell>
          <cell r="C104" t="str">
            <v>-</v>
          </cell>
        </row>
        <row r="105">
          <cell r="A105" t="str">
            <v>SMX3000RMJ2U</v>
          </cell>
          <cell r="B105" t="str">
            <v>APC Smart-UPS X 3000 Rack/Tower LCD 100-127V</v>
          </cell>
          <cell r="C105" t="str">
            <v>※定格出力：2400W / 2400VA (100V)
※入力プラグ：NEMA L5-30P、出力コンセント：NEMA 5-20R x3 NEMA 5-15R x3 NEMA L5-30R x1
※2年センドバック保証付</v>
          </cell>
        </row>
        <row r="106">
          <cell r="A106" t="str">
            <v>SMX3000RMJ2U3W</v>
          </cell>
          <cell r="B106" t="str">
            <v>APC Smart-UPS X 3000 Rack/Tower LCD 100-127V 3年保証</v>
          </cell>
          <cell r="C106" t="str">
            <v>※定格出力：2400W / 2400VA (100V)
※入力プラグ：NEMA L5-30P、出力コンセント：NEMA 5-20R x3 NEMA 5-15R x3 NEMA L5-30R x1
※3年センドバック保証付</v>
          </cell>
        </row>
        <row r="107">
          <cell r="A107" t="str">
            <v>SMX3000RMJ2U5W</v>
          </cell>
          <cell r="B107" t="str">
            <v>APC Smart-UPS X 3000 Rack/Tower LCD 100-127V 5年保証</v>
          </cell>
          <cell r="C107" t="str">
            <v>※定格出力：2400W / 2400VA (100V)
※入力プラグ：NEMA L5-30P、出力コンセント：NEMA 5-20R x3 NEMA 5-15R x3 NEMA L5-30R x1
※5年センドバック保証付</v>
          </cell>
        </row>
        <row r="108">
          <cell r="A108" t="str">
            <v>SMX3000RMJ2U6W</v>
          </cell>
          <cell r="B108" t="str">
            <v>APC Smart-UPS X 3000 Rack/Tower LCD 100-127V 6年保証</v>
          </cell>
          <cell r="C108" t="str">
            <v>※定格出力：2400W / 2400VA (100V)
※入力プラグ：NEMA L5-30P、出力コンセント：NEMA 5-20R x3 NEMA 5-15R x3 NEMA L5-30R x1
※6年センドバック保証付</v>
          </cell>
        </row>
        <row r="109">
          <cell r="A109" t="str">
            <v>SMX3000RMJ2UOS3</v>
          </cell>
          <cell r="B109" t="str">
            <v>APC Smart-UPS X 3000 Rack/Tower LCD 100-127V オンサイト3年保証</v>
          </cell>
          <cell r="C109" t="str">
            <v>※定格出力：2400W / 2400VA (100V)
※入力プラグ：NEMA L5-30P、出力コンセント：NEMA 5-20R x3 NEMA 5-15R x3 NEMA L5-30R x1
※3年翌営業日オンサイト対応保証付</v>
          </cell>
        </row>
        <row r="110">
          <cell r="A110" t="str">
            <v>SMX3000RMJ2UOS5</v>
          </cell>
          <cell r="B110" t="str">
            <v>APC Smart-UPS X 3000 Rack/Tower LCD 100-127V オンサイト5年保証</v>
          </cell>
          <cell r="C110" t="str">
            <v>※定格出力：2400W / 2400VA (100V)
※入力プラグ：NEMA L5-30P、出力コンセント：NEMA 5-20R x3 NEMA 5-15R x3 NEMA L5-30R x1
※5年翌営業日オンサイト対応保証付</v>
          </cell>
        </row>
        <row r="111">
          <cell r="A111" t="str">
            <v>SMX3000RMJ2UOS6</v>
          </cell>
          <cell r="B111" t="str">
            <v>APC Smart-UPS X 3000 Rack/Tower LCD 100-127V オンサイト6年保証</v>
          </cell>
          <cell r="C111" t="str">
            <v>※定格出力：2400W / 2400VA (100V)
※入力プラグ：NEMA L5-30P、出力コンセント：NEMA 5-20R x3 NEMA 5-15R x3 NEMA L5-30R x1
※6年翌営業日オンサイト対応保証付</v>
          </cell>
        </row>
        <row r="112">
          <cell r="A112" t="str">
            <v>SUA3000RMXLA3U</v>
          </cell>
          <cell r="B112" t="str">
            <v>Smart-UPS XL 3000RM 200V</v>
          </cell>
          <cell r="C112" t="str">
            <v>※最大出力：2700W / 3000VA (200V)
※入力プラグ：NEMA L6-20P、出力コンセント：NEMA L6-20R x2　NEMA L6-30R x2
※2年センドバック保証付</v>
          </cell>
        </row>
        <row r="113">
          <cell r="A113" t="str">
            <v>SUA3000RMXLA3U3W</v>
          </cell>
          <cell r="B113" t="str">
            <v>Smart-UPS XL 3000RM 200V 3年保証</v>
          </cell>
          <cell r="C113" t="str">
            <v>※最大出力：2700W / 3000VA (200V)
※入力プラグ：NEMA L6-20P、出力コンセント：NEMA L6-20R x2　NEMA L6-30R x2
※3年センドバック保証付</v>
          </cell>
        </row>
        <row r="114">
          <cell r="A114" t="str">
            <v>SUA3000RMXLA3U5W</v>
          </cell>
          <cell r="B114" t="str">
            <v>Smart-UPS XL 3000RM 200V 5年保証</v>
          </cell>
          <cell r="C114" t="str">
            <v>※最大出力：2700W / 3000VA (200V)
※入力プラグ：NEMA L6-20P、出力コンセント：NEMA L6-20R x2　NEMA L6-30R x2
※5年センドバック保証付</v>
          </cell>
        </row>
        <row r="115">
          <cell r="A115" t="str">
            <v>SUA3000RMXLA3UOS3</v>
          </cell>
          <cell r="B115" t="str">
            <v>Smart-UPS XL 3000RM 200V オンサイト3年保証</v>
          </cell>
          <cell r="C115" t="str">
            <v>※最大出力：2700W / 3000VA (200V)
※入力プラグ：NEMA L6-20P、出力コンセント：NEMA L6-20R x2　NEMA L6-30R x2
※3年翌営業日オンサイト対応保証付</v>
          </cell>
        </row>
        <row r="116">
          <cell r="A116" t="str">
            <v>SUA3000RMXLA3UOS5</v>
          </cell>
          <cell r="B116" t="str">
            <v>Smart-UPS XL 3000RM 200V オンサイト5年保証</v>
          </cell>
          <cell r="C116" t="str">
            <v>※最大出力：2700W / 3000VA (200V)
※入力プラグ：NEMA L6-20P、出力コンセント：NEMA L6-20R x2　NEMA L6-30R x2
※5年翌営業日オンサイト対応保証付</v>
          </cell>
        </row>
        <row r="117">
          <cell r="A117" t="str">
            <v>SMX120RMBPJ2U</v>
          </cell>
          <cell r="B117" t="str">
            <v>APC Smart-UPS X 120V External Battery Pack Rack/Tower</v>
          </cell>
          <cell r="C117" t="str">
            <v>APC Smart-UPS X 120V 外部バッテリーパック ラック/タワー両用</v>
          </cell>
        </row>
        <row r="118">
          <cell r="A118" t="str">
            <v>SUA48RMXLBPJ3U</v>
          </cell>
          <cell r="B118" t="str">
            <v>Smart-UPS XL RM用拡張バッテリパック[3U]</v>
          </cell>
          <cell r="C118" t="str">
            <v>※最大出力：2700W / 3000VA (200V)
※入力プラグ：NEMA L6-20P、出力コンセント：NEMA L6-20R x2　NEMA L6-30R x2
※6年翌営業日オンサイト対応付</v>
          </cell>
        </row>
        <row r="119">
          <cell r="A119" t="str">
            <v>SUA039</v>
          </cell>
          <cell r="B119" t="str">
            <v>Smart-UPS XL用拡張バッテリパック 1.2m接続延長ケーブル</v>
          </cell>
          <cell r="C119" t="str">
            <v>Smart-UPS XLシリーズと拡張バッテリパックを離して設置する際に使用する1.2mの接続延長ケーブル</v>
          </cell>
        </row>
        <row r="120">
          <cell r="A120" t="str">
            <v>SUA031</v>
          </cell>
          <cell r="B120" t="str">
            <v>SUA3000JB Hardwire Kit</v>
          </cell>
          <cell r="C120" t="str">
            <v>-</v>
          </cell>
        </row>
        <row r="121">
          <cell r="A121" t="str">
            <v>Smart-UPS Option</v>
          </cell>
          <cell r="C121" t="str">
            <v>-</v>
          </cell>
        </row>
        <row r="122">
          <cell r="A122" t="str">
            <v>SUA027</v>
          </cell>
          <cell r="B122" t="str">
            <v>Backplate Kit w/(6) 5-15R, (1)L5-30R for SUA2200/SUA3000</v>
          </cell>
          <cell r="C122" t="str">
            <v>-</v>
          </cell>
        </row>
        <row r="123">
          <cell r="A123" t="str">
            <v>SUA029</v>
          </cell>
          <cell r="B123" t="str">
            <v>Backplate Kit w/(4)5-15R, (2)5-20R, (1)L5-20R for SUA2200/SUA3000</v>
          </cell>
          <cell r="C123" t="str">
            <v>-</v>
          </cell>
        </row>
        <row r="124">
          <cell r="A124" t="str">
            <v>SUA027RM</v>
          </cell>
          <cell r="B124" t="str">
            <v>APC Backplate kit with (1) L5-30R and (6) 5-15R for SUA 2200 and 3000VA 3U/5U Models</v>
          </cell>
          <cell r="C124" t="str">
            <v>-</v>
          </cell>
        </row>
        <row r="125">
          <cell r="A125" t="str">
            <v>SUA028RM</v>
          </cell>
          <cell r="B125" t="str">
            <v>APC Backplate Kit W/ （4）L5-15R and (4) 5-15R for Smart-UPS 2200 and 3000VA 3U-5U SUA Models</v>
          </cell>
          <cell r="C125" t="str">
            <v>-</v>
          </cell>
        </row>
        <row r="126">
          <cell r="A126" t="str">
            <v>SUA029RM</v>
          </cell>
          <cell r="B126" t="str">
            <v>APC Backplate kit with (1) L5-20R, (2) 5-20R and (4) 5-15R for SUA 2200 and 3000VA 3U/5U Models</v>
          </cell>
          <cell r="C126" t="str">
            <v>-</v>
          </cell>
        </row>
        <row r="127">
          <cell r="A127" t="str">
            <v>SU027RM2U</v>
          </cell>
          <cell r="B127" t="str">
            <v>Backplate Kit w/(2) 5-15R、(2) 5-20R、(1) L5-30R for SUA3000RMJ2UB</v>
          </cell>
          <cell r="C127" t="str">
            <v>-</v>
          </cell>
        </row>
        <row r="128">
          <cell r="A128" t="str">
            <v>SU028RM2U</v>
          </cell>
          <cell r="B128" t="str">
            <v>Backplate Kit  w/(3) 5-15R 、(4) L5-15R for SUA3000RMJ2UB</v>
          </cell>
          <cell r="C128" t="str">
            <v>-</v>
          </cell>
        </row>
        <row r="129">
          <cell r="A129" t="str">
            <v>SU029RM2U</v>
          </cell>
          <cell r="B129" t="str">
            <v>Backplate Kit w/(2) 5-15R、(2) 5-20R、(1) L5-20R for SUA3000RMJ2UB</v>
          </cell>
          <cell r="C129" t="str">
            <v>-</v>
          </cell>
        </row>
        <row r="130">
          <cell r="A130" t="str">
            <v>Smart-UPS RT</v>
          </cell>
          <cell r="C130" t="str">
            <v>-</v>
          </cell>
        </row>
        <row r="131">
          <cell r="A131" t="str">
            <v>SURTA1500XLJ</v>
          </cell>
          <cell r="B131" t="str">
            <v>Smart-UPS RT 1500 [2U]</v>
          </cell>
          <cell r="C131" t="str">
            <v>※定格出力：1050W / 1200VA (100V)
※入力プラグ：NEMA 5-15P、出力コンセント：NEMA 5-15R x6
※2年センドバック保証付</v>
          </cell>
        </row>
        <row r="132">
          <cell r="A132" t="str">
            <v>SURTA1500XLJ3W</v>
          </cell>
          <cell r="B132" t="str">
            <v>Smart-UPS RT 1500 3年保証</v>
          </cell>
          <cell r="C132" t="str">
            <v>※定格出力：1050W / 1200VA (100V)
※入力プラグ：NEMA 5-15P、出力コンセント：NEMA 5-15R x6
※3年センドバック保証付</v>
          </cell>
        </row>
        <row r="133">
          <cell r="A133" t="str">
            <v>SURTA1500XLJ5W</v>
          </cell>
          <cell r="B133" t="str">
            <v>Smart-UPS RT 1500 5年保証</v>
          </cell>
          <cell r="C133" t="str">
            <v>※定格出力：1050W / 1200VA (100V)
※入力プラグ：NEMA 5-15P、出力コンセント：NEMA 5-15R x6
※5年センドバック保証付</v>
          </cell>
        </row>
        <row r="134">
          <cell r="A134" t="str">
            <v>SURTA1500XLJOS3</v>
          </cell>
          <cell r="B134" t="str">
            <v>Smart-UPS RT 1500 オンサイト3年保証</v>
          </cell>
          <cell r="C134" t="str">
            <v>※定格出力：1050W / 1200VA (100V)
※入力プラグ：NEMA 5-15P、出力コンセント：NEMA 5-15R x6
※3年翌営業日オンサイト対応保証付</v>
          </cell>
        </row>
        <row r="135">
          <cell r="A135" t="str">
            <v>SURTA1500XLJOS5</v>
          </cell>
          <cell r="B135" t="str">
            <v>Smart-UPS RT 1500 オンサイト5年保証</v>
          </cell>
          <cell r="C135" t="str">
            <v>※定格出力：1050W / 1200VA (100V)
※入力プラグ：NEMA 5-15P、出力コンセント：NEMA 5-15R x6
※5年翌営業日オンサイト対応保証付</v>
          </cell>
        </row>
        <row r="136">
          <cell r="A136" t="str">
            <v>SURTA2400XLJ</v>
          </cell>
          <cell r="B136" t="str">
            <v>Smart-UPS RT 2400 [3U]</v>
          </cell>
          <cell r="C136" t="str">
            <v>※最大出力：1680W / 2400VA (100V)
※入力プラグ：NEMA L5-30P、出力コンセント：NEMA 5-20R x2　NEMA 5-15R x3 NEMA L5-20R x1
※2年センドバック保証付</v>
          </cell>
        </row>
        <row r="137">
          <cell r="A137" t="str">
            <v>SURTA2400XLJ3W</v>
          </cell>
          <cell r="B137" t="str">
            <v>Smart-UPS RT 2400 3年保証</v>
          </cell>
          <cell r="C137" t="str">
            <v>※最大出力：1680W / 2400VA (100V)
※入力プラグ：NEMA L5-30P、出力コンセント：NEMA 5-20R x2　NEMA 5-15R x3 NEMA L5-20R x1
※3年センドバック保証付</v>
          </cell>
        </row>
        <row r="138">
          <cell r="A138" t="str">
            <v>SURTA2400XLJ5W</v>
          </cell>
          <cell r="B138" t="str">
            <v>Smart-UPS RT 2400 5年保証</v>
          </cell>
          <cell r="C138" t="str">
            <v>※最大出力：1680W / 2400VA (100V)
※入力プラグ：NEMA L5-30P、出力コンセント：NEMA 5-20R x2　NEMA 5-15R x3 NEMA L5-20R x1
※5年センドバック保証付</v>
          </cell>
        </row>
        <row r="139">
          <cell r="A139" t="str">
            <v>SURTA2400XLJOS3</v>
          </cell>
          <cell r="B139" t="str">
            <v>Smart-UPS RT 2400 オンサイト3年保証</v>
          </cell>
          <cell r="C139" t="str">
            <v>※最大出力：1680W / 2400VA (100V)
※入力プラグ：NEMA L5-30P、出力コンセント：NEMA 5-20R x2　NEMA 5-15R x3 NEMA L5-20R x1
※3年翌営業日オンサイト対応保証付</v>
          </cell>
        </row>
        <row r="140">
          <cell r="A140" t="str">
            <v>SURTA2400XLJOS5</v>
          </cell>
          <cell r="B140" t="str">
            <v>Smart-UPS RT 2400 オンサイト5年保証</v>
          </cell>
          <cell r="C140" t="str">
            <v>※最大出力：1680W / 2400VA (100V)
※入力プラグ：NEMA L5-30P、出力コンセント：NEMA 5-20R x2　NEMA 5-15R x3 NEMA L5-20R x1
※5年翌営業日オンサイト対応保証付</v>
          </cell>
        </row>
        <row r="141">
          <cell r="A141" t="str">
            <v>SRT5KXLJ</v>
          </cell>
          <cell r="B141" t="str">
            <v>APC Smart-UPS SRT 5000VA 200V</v>
          </cell>
          <cell r="C141" t="str">
            <v>※最大出力：4600W / 5200VA (200V)
※入力プラグ：NEMA L6-30P、出力コンセント：NEMA L6-20R x2　NEMA L6-30R x2
※2年センドバック保証付</v>
          </cell>
        </row>
        <row r="142">
          <cell r="A142" t="str">
            <v>SRT5KXLJ3W</v>
          </cell>
          <cell r="B142" t="str">
            <v>APC Smart-UPS SRT 5000VA 200V 3年保証</v>
          </cell>
          <cell r="C142" t="str">
            <v>※最大出力：4600W / 5200VA (200V)
※入力プラグ：NEMA L6-30P、出力コンセント：NEMA L6-20R x2　NEMA L6-30R x2
※3年センドバック保証付</v>
          </cell>
        </row>
        <row r="143">
          <cell r="A143" t="str">
            <v>SRT5KXLJ5W</v>
          </cell>
          <cell r="B143" t="str">
            <v>APC Smart-UPS SRT 5000VA 200V 5年保証</v>
          </cell>
          <cell r="C143" t="str">
            <v>※最大出力：4600W / 5200VA (200V)
※入力プラグ：NEMA L6-30P、出力コンセント：NEMA L6-20R x2　NEMA L6-30R x2
※5年センドバック保証付</v>
          </cell>
        </row>
        <row r="144">
          <cell r="A144" t="str">
            <v>SRT5KXLJOS3</v>
          </cell>
          <cell r="B144" t="str">
            <v>APC Smart-UPS SRT 5000VA 200V オンサイト3年保証</v>
          </cell>
          <cell r="C144" t="str">
            <v>※最大出力：4600W / 5200VA (200V)
※入力プラグ：NEMA L6-30P、出力コンセント：NEMA L6-20R x2　NEMA L6-30R x2
※3年翌営業日オンサイト対応保証付</v>
          </cell>
        </row>
        <row r="145">
          <cell r="A145" t="str">
            <v>SRT5KXLJOS5</v>
          </cell>
          <cell r="B145" t="str">
            <v>APC Smart-UPS SRT 5000VA 200V オンサイト5年保証</v>
          </cell>
          <cell r="C145" t="str">
            <v>※最大出力：4600W / 5200VA (200V)
※入力プラグ：NEMA L6-30P、出力コンセント：NEMA L6-20R x2　NEMA L6-30R x2
※5年翌営業日オンサイト対応保証付</v>
          </cell>
        </row>
        <row r="146">
          <cell r="A146" t="str">
            <v>SURTD6000RMXLJP3U</v>
          </cell>
          <cell r="B146" t="str">
            <v>Smart-UPS RT 6000 [3U]</v>
          </cell>
          <cell r="C146" t="str">
            <v>-</v>
          </cell>
        </row>
        <row r="147">
          <cell r="A147" t="str">
            <v>SURTD6000RMXLJP3U3W</v>
          </cell>
          <cell r="B147" t="str">
            <v>Smart-UPS RT 6000 3年保証</v>
          </cell>
          <cell r="C147" t="str">
            <v>-</v>
          </cell>
        </row>
        <row r="148">
          <cell r="A148" t="str">
            <v>SURTD6000RMXLJP3U5W</v>
          </cell>
          <cell r="B148" t="str">
            <v>Smart-UPS RT 6000 5年保証</v>
          </cell>
          <cell r="C148" t="str">
            <v>-</v>
          </cell>
        </row>
        <row r="149">
          <cell r="A149" t="str">
            <v>SURTD6000RMXLJP3UOS3</v>
          </cell>
          <cell r="B149" t="str">
            <v>Smart-UPS RT 6000 オンサイト3年保証</v>
          </cell>
          <cell r="C149" t="str">
            <v>-</v>
          </cell>
        </row>
        <row r="150">
          <cell r="A150" t="str">
            <v>SURTD6000RMXLJP3UOS5</v>
          </cell>
          <cell r="B150" t="str">
            <v>Smart-UPS RT 6000 オンサイト5年保証</v>
          </cell>
          <cell r="C150" t="str">
            <v>-</v>
          </cell>
        </row>
        <row r="151">
          <cell r="A151" t="str">
            <v>SURT8000XLJ</v>
          </cell>
          <cell r="B151" t="str">
            <v>Smart-UPS RT 8000 [6U]</v>
          </cell>
          <cell r="C151" t="str">
            <v>-</v>
          </cell>
        </row>
        <row r="152">
          <cell r="A152" t="str">
            <v>SURT8000XLJ3W</v>
          </cell>
          <cell r="B152" t="str">
            <v>Smart-UPS RT 8000 3年保証</v>
          </cell>
          <cell r="C152" t="str">
            <v>-</v>
          </cell>
        </row>
        <row r="153">
          <cell r="A153" t="str">
            <v>SURT8000XLJ5W</v>
          </cell>
          <cell r="B153" t="str">
            <v>Smart-UPS RT 8000 5年保証</v>
          </cell>
          <cell r="C153" t="str">
            <v>-</v>
          </cell>
        </row>
        <row r="154">
          <cell r="A154" t="str">
            <v>SURT8000XLJOS3</v>
          </cell>
          <cell r="B154" t="str">
            <v>Smart-UPS RT 8000 オンサイト3年保証</v>
          </cell>
          <cell r="C154" t="str">
            <v>-</v>
          </cell>
        </row>
        <row r="155">
          <cell r="A155" t="str">
            <v>SURT8000XLJOS5</v>
          </cell>
          <cell r="B155" t="str">
            <v>Smart-UPS RT 8000 オンサイト5年保証</v>
          </cell>
          <cell r="C155" t="str">
            <v>-</v>
          </cell>
        </row>
        <row r="156">
          <cell r="A156" t="str">
            <v>SURT10000XLJ</v>
          </cell>
          <cell r="B156" t="str">
            <v>Smart-UPS RT 10000 [6U]</v>
          </cell>
          <cell r="C156" t="str">
            <v>-</v>
          </cell>
        </row>
        <row r="157">
          <cell r="A157" t="str">
            <v>SURT10000XLJ3W</v>
          </cell>
          <cell r="B157" t="str">
            <v>Smart-UPS RT 10000 3年保証</v>
          </cell>
          <cell r="C157" t="str">
            <v>-</v>
          </cell>
        </row>
        <row r="158">
          <cell r="A158" t="str">
            <v>SURT10000XLJ5W</v>
          </cell>
          <cell r="B158" t="str">
            <v>Smart-UPS RT 10000 5年保証</v>
          </cell>
          <cell r="C158" t="str">
            <v>-</v>
          </cell>
        </row>
        <row r="159">
          <cell r="A159" t="str">
            <v>SURT10000XLJOS3</v>
          </cell>
          <cell r="B159" t="str">
            <v>Smart-UPS RT 10000 オンサイト3年保証</v>
          </cell>
          <cell r="C159" t="str">
            <v>-</v>
          </cell>
        </row>
        <row r="160">
          <cell r="A160" t="str">
            <v>SURT10000XLJOS5</v>
          </cell>
          <cell r="B160" t="str">
            <v>Smart-UPS RT 10000 オンサイト5年保証</v>
          </cell>
          <cell r="C160" t="str">
            <v>-</v>
          </cell>
        </row>
        <row r="161">
          <cell r="A161" t="str">
            <v>SURT14KRMXLJ</v>
          </cell>
          <cell r="B161" t="str">
            <v>Smart-UPS RT 14K [12U]</v>
          </cell>
          <cell r="C161" t="str">
            <v>-</v>
          </cell>
        </row>
        <row r="162">
          <cell r="A162" t="str">
            <v>SURT18KRMXLJ</v>
          </cell>
          <cell r="B162" t="str">
            <v>Smart-UPS RT 18K [12U]</v>
          </cell>
          <cell r="C162" t="str">
            <v>-</v>
          </cell>
        </row>
        <row r="163">
          <cell r="A163" t="str">
            <v>SURT192RMXLBP2J</v>
          </cell>
          <cell r="B163" t="str">
            <v>Smart-UPS RT14K/18K用拡張バッテリパック [6U]</v>
          </cell>
          <cell r="C163" t="str">
            <v>-</v>
          </cell>
        </row>
        <row r="164">
          <cell r="A164" t="str">
            <v>SURTA48XLBPJ</v>
          </cell>
          <cell r="B164" t="str">
            <v>Smart-UPS RT 1500用拡張バッテリパック [2U]</v>
          </cell>
          <cell r="C164" t="str">
            <v>Smart-UPS RT 1500（SURTA1500XLJ）用の拡張バッテリーパック</v>
          </cell>
        </row>
        <row r="165">
          <cell r="A165" t="str">
            <v>SURT192XLBPJ</v>
          </cell>
          <cell r="B165" t="str">
            <v>Smart-UPS RT用拡張バッテリパック [3U]</v>
          </cell>
          <cell r="C165" t="str">
            <v>Smart-UPS RT 2400/5000/7500/8000/10000」シリーズ用の拡張バッテリーパック</v>
          </cell>
        </row>
        <row r="166">
          <cell r="A166" t="str">
            <v>SRT192BPJ</v>
          </cell>
          <cell r="B166" t="str">
            <v>APC Smart-UPS SRT 192V 5kVA</v>
          </cell>
          <cell r="C166" t="str">
            <v>-</v>
          </cell>
        </row>
        <row r="167">
          <cell r="A167" t="str">
            <v>SRT001</v>
          </cell>
          <cell r="B167" t="str">
            <v>APC Smart-UPS SRT 5kVA Output HW Kit</v>
          </cell>
          <cell r="C167" t="str">
            <v>-</v>
          </cell>
        </row>
        <row r="168">
          <cell r="A168" t="str">
            <v>SRT002</v>
          </cell>
          <cell r="B168" t="str">
            <v>APC Smart-UPS SRT 15ft Extension Cable</v>
          </cell>
          <cell r="C168" t="str">
            <v>-</v>
          </cell>
        </row>
        <row r="169">
          <cell r="A169" t="str">
            <v>SRT5KTFJ</v>
          </cell>
          <cell r="B169" t="str">
            <v>APC Smart-UPS SRT 5kVA Tower Isolation/Step-Down Transformer</v>
          </cell>
          <cell r="C169" t="str">
            <v xml:space="preserve">APC Smart-UPS SRT 用 絶縁ステップダウントランスフォーマー
※定格出力：4600W / 4600VA (すべての負荷をAC100V出力に接続した場合は 4000W / 4000VA)
※入力プラグ：NEMA L6-30P
※出力コンセント：NEMA L6-20R x1　NEMA L6-30R x1 NEMA L5-20R x2 NEMA 5-15/20R x8 </v>
          </cell>
        </row>
        <row r="170">
          <cell r="A170" t="str">
            <v>SRTRK2</v>
          </cell>
          <cell r="B170" t="str">
            <v>APC Smart-UPS SRT 19" Rail Kit for Smart-UPS SRT 5/6/8/10kVA</v>
          </cell>
          <cell r="C170" t="str">
            <v>Smart-UPS SRT 5/6/8/10kVA用19インチ ラックレールキット</v>
          </cell>
        </row>
        <row r="171">
          <cell r="A171" t="str">
            <v>SURT004</v>
          </cell>
          <cell r="B171" t="str">
            <v xml:space="preserve">Smart-UPS RT用 Step-Down Transformer </v>
          </cell>
          <cell r="C171" t="str">
            <v xml:space="preserve">ステップダウントランスフォーマー
※入力プラグ：NEMA L6-30P
※出力コンセント：NEMA L6-20R x2　NEMA L6-30R x1 NEMA L5-20R x2 NEMA 5-15/20R x8 </v>
          </cell>
        </row>
        <row r="172">
          <cell r="A172" t="str">
            <v>SURT007</v>
          </cell>
          <cell r="B172" t="str">
            <v>Smart-UPS RT 5000専用出力ハードワイヤキット</v>
          </cell>
          <cell r="C172" t="str">
            <v>Smart-UPS RT 5000専用出力ハードワイヤキット</v>
          </cell>
        </row>
        <row r="173">
          <cell r="A173" t="str">
            <v>SURT008</v>
          </cell>
          <cell r="B173" t="str">
            <v>Smart-UPS RT用拡張バッテリパック接続延長ケーブル</v>
          </cell>
          <cell r="C173" t="str">
            <v>APC Smart-UPS RT 15ft延長ケーブル、192VDC外部バッテリーパック用</v>
          </cell>
        </row>
        <row r="174">
          <cell r="A174" t="str">
            <v>SURT018J</v>
          </cell>
          <cell r="B174" t="str">
            <v>APC Smart-UPS RT 6KVA Output Hardwire Kit Japan</v>
          </cell>
          <cell r="C174" t="str">
            <v>-</v>
          </cell>
        </row>
        <row r="175">
          <cell r="A175" t="str">
            <v>SURT019</v>
          </cell>
          <cell r="B175" t="str">
            <v>APC Smart-UPS RT 3.5M Extension Cable for XLBP2 External Battery Packs</v>
          </cell>
          <cell r="C175" t="str">
            <v>XLBP2 外部バッテリーパック用 APC Smart-UPS RT 3.5M 延長ケーブル</v>
          </cell>
        </row>
        <row r="176">
          <cell r="A176" t="str">
            <v>SURTRK</v>
          </cell>
          <cell r="B176" t="str">
            <v>Smart-UPS RT　1500用ラックマウント用レールキット</v>
          </cell>
          <cell r="C176" t="str">
            <v>Smart-UPS RT 1500 [2U]（SURTA1500XLJ） ラックマウント用レールキット</v>
          </cell>
        </row>
        <row r="177">
          <cell r="A177" t="str">
            <v>SURTRK2</v>
          </cell>
          <cell r="B177" t="str">
            <v>Smart-UPS RT用ラックマウント用レールキット</v>
          </cell>
          <cell r="C177" t="str">
            <v>Smart-UPS RT 2.4K/5K/7.5K/8K/10K用 ラックマウント用レールキット</v>
          </cell>
        </row>
        <row r="178">
          <cell r="A178" t="str">
            <v>ServiceBypassPanel</v>
          </cell>
          <cell r="C178" t="str">
            <v>-</v>
          </cell>
        </row>
        <row r="179">
          <cell r="A179" t="str">
            <v>SBP5000RMT2U</v>
          </cell>
          <cell r="B179" t="str">
            <v xml:space="preserve">Service Bypass Panel for Smart-UPS RT 5kVA [Output: (2) L6-30R (2)L6-20R] </v>
          </cell>
          <cell r="C179" t="str">
            <v>-</v>
          </cell>
        </row>
        <row r="180">
          <cell r="A180" t="str">
            <v>SBP10KRMT4U</v>
          </cell>
          <cell r="B180" t="str">
            <v>Service Bypass Panel for SURT　7.5-10KVA [Output: (3)L6-30, (3)L6-20]</v>
          </cell>
          <cell r="C180" t="str">
            <v>-</v>
          </cell>
        </row>
        <row r="181">
          <cell r="A181" t="str">
            <v>SymmetraLX</v>
          </cell>
          <cell r="C181" t="str">
            <v>-</v>
          </cell>
        </row>
        <row r="182">
          <cell r="A182" t="str">
            <v>SYA4K8RMJ</v>
          </cell>
          <cell r="B182" t="str">
            <v>Symmetra LX 4kVA （8kラックマウントフレーム）</v>
          </cell>
          <cell r="C182" t="str">
            <v>-</v>
          </cell>
        </row>
        <row r="183">
          <cell r="A183" t="str">
            <v>SYA8K8RMJ</v>
          </cell>
          <cell r="B183" t="str">
            <v>Symmetra LX 8kVA （8kラックマウントフレーム）</v>
          </cell>
          <cell r="C183" t="str">
            <v>-</v>
          </cell>
        </row>
        <row r="184">
          <cell r="A184" t="str">
            <v>SYA8K16RMJ</v>
          </cell>
          <cell r="B184" t="str">
            <v>Symmetra LX 8kVA （16kラックマウントフレーム）</v>
          </cell>
          <cell r="C184" t="str">
            <v>-</v>
          </cell>
        </row>
        <row r="185">
          <cell r="A185" t="str">
            <v>SYA12K16RMJ</v>
          </cell>
          <cell r="B185" t="str">
            <v>Symmetra LX 12kVA （16kラックマウントフレーム）</v>
          </cell>
          <cell r="C185" t="str">
            <v>-</v>
          </cell>
        </row>
        <row r="186">
          <cell r="A186" t="str">
            <v>SYA16K16RMJ</v>
          </cell>
          <cell r="B186" t="str">
            <v>Symmetra LX 16kVA （16kラックマウントフレーム）</v>
          </cell>
          <cell r="C186" t="str">
            <v>-</v>
          </cell>
        </row>
        <row r="187">
          <cell r="A187" t="str">
            <v>SYA8K16JXR</v>
          </cell>
          <cell r="B187" t="str">
            <v>Symmetra LX 8kVA （16kタワーフレーム）</v>
          </cell>
          <cell r="C187" t="str">
            <v>-</v>
          </cell>
        </row>
        <row r="188">
          <cell r="A188" t="str">
            <v>SYA12K16JXR</v>
          </cell>
          <cell r="B188" t="str">
            <v>Symmetra LX 12kVA （16kタワーフレーム）</v>
          </cell>
          <cell r="C188" t="str">
            <v>-</v>
          </cell>
        </row>
        <row r="189">
          <cell r="A189" t="str">
            <v>SYA16K16JXR</v>
          </cell>
          <cell r="B189" t="str">
            <v>Symmetra LX 16kVA （16kタワーフレーム）</v>
          </cell>
          <cell r="C189" t="str">
            <v>-</v>
          </cell>
        </row>
        <row r="190">
          <cell r="A190" t="str">
            <v>SYPM4KP</v>
          </cell>
          <cell r="B190" t="str">
            <v>Symmetra LX パワーモジュール （4kVA）</v>
          </cell>
          <cell r="C190" t="str">
            <v>-</v>
          </cell>
        </row>
        <row r="191">
          <cell r="A191" t="str">
            <v>SYBT5FR</v>
          </cell>
          <cell r="B191" t="str">
            <v>Symmetra LX バッテリモジュール</v>
          </cell>
          <cell r="C191" t="str">
            <v>-</v>
          </cell>
        </row>
        <row r="192">
          <cell r="A192" t="str">
            <v>SYAPD1</v>
          </cell>
          <cell r="B192" t="str">
            <v>Symmetra LX 背面パネル [(1)L14-30R、(2)L5-20R]</v>
          </cell>
          <cell r="C192" t="str">
            <v>-</v>
          </cell>
        </row>
        <row r="193">
          <cell r="A193" t="str">
            <v>SYPD3</v>
          </cell>
          <cell r="B193" t="str">
            <v>Symmetra LX 背面パネル [(2)L6-20R、(1)L6-30R]</v>
          </cell>
          <cell r="C193" t="str">
            <v>-</v>
          </cell>
        </row>
        <row r="194">
          <cell r="A194" t="str">
            <v>SYPD7</v>
          </cell>
          <cell r="B194" t="str">
            <v>Symmetra LX 背面パネル [(3)L6-20R]</v>
          </cell>
          <cell r="C194" t="str">
            <v>-</v>
          </cell>
        </row>
        <row r="195">
          <cell r="A195" t="str">
            <v>SYPD11</v>
          </cell>
          <cell r="B195" t="str">
            <v>Symmetra LX 背面パネル [(2)L6-30R]</v>
          </cell>
          <cell r="C195" t="str">
            <v>-</v>
          </cell>
        </row>
        <row r="196">
          <cell r="A196" t="str">
            <v>SYBFXR3RMJ</v>
          </cell>
          <cell r="B196" t="str">
            <v>Symmetra LX ラックマウント拡張バッテリフレーム</v>
          </cell>
          <cell r="C196" t="str">
            <v>-</v>
          </cell>
        </row>
        <row r="197">
          <cell r="A197" t="str">
            <v>SYARMXR3B3J</v>
          </cell>
          <cell r="B197" t="str">
            <v>Symmetra LX ラックマウント拡張バッテリパック3BM</v>
          </cell>
          <cell r="C197" t="str">
            <v>-</v>
          </cell>
        </row>
        <row r="198">
          <cell r="A198" t="str">
            <v>SYBFXR9J</v>
          </cell>
          <cell r="B198" t="str">
            <v>Symmetra LX タワー拡張バッテリフレーム</v>
          </cell>
          <cell r="C198" t="str">
            <v>-</v>
          </cell>
        </row>
        <row r="199">
          <cell r="A199" t="str">
            <v>SYAXR9B9J</v>
          </cell>
          <cell r="B199" t="str">
            <v>Symmetra LX タワー拡張バッテリパック9BM</v>
          </cell>
          <cell r="C199" t="str">
            <v>-</v>
          </cell>
        </row>
        <row r="200">
          <cell r="A200" t="str">
            <v>SYAOPT5</v>
          </cell>
          <cell r="B200" t="str">
            <v>Symmetra LX 拡張バッテリフレーム接続用延長ケーブル（4.5m）</v>
          </cell>
          <cell r="C200" t="str">
            <v>-</v>
          </cell>
        </row>
        <row r="201">
          <cell r="A201" t="str">
            <v>ServiceBypassPanel</v>
          </cell>
          <cell r="C201" t="str">
            <v>-</v>
          </cell>
        </row>
        <row r="202">
          <cell r="A202" t="str">
            <v>SBP16KP</v>
          </cell>
          <cell r="B202" t="str">
            <v>Service Bypass Panel for SYLXタワー [Output: ハードワイヤ接続]</v>
          </cell>
          <cell r="C202" t="str">
            <v>-</v>
          </cell>
        </row>
        <row r="203">
          <cell r="A203" t="str">
            <v>SBP16KRMP4U-HW</v>
          </cell>
          <cell r="B203" t="str">
            <v>Service Bypass Panel for SYLXラックマウント [Output: (3) L5-20R、(1) L14-30R]</v>
          </cell>
          <cell r="C203" t="str">
            <v>-</v>
          </cell>
        </row>
        <row r="204">
          <cell r="A204" t="str">
            <v>SymmetraRM</v>
          </cell>
          <cell r="C204" t="str">
            <v>-</v>
          </cell>
        </row>
        <row r="205">
          <cell r="A205" t="str">
            <v>SYH2K6RMJ</v>
          </cell>
          <cell r="B205" t="str">
            <v xml:space="preserve">Symmetra RM 2kVA モデル </v>
          </cell>
          <cell r="C205" t="str">
            <v>-</v>
          </cell>
        </row>
        <row r="206">
          <cell r="A206" t="str">
            <v>SYH4K6RMJ</v>
          </cell>
          <cell r="B206" t="str">
            <v>Symmetra RM 4kVA モデル</v>
          </cell>
          <cell r="C206" t="str">
            <v>-</v>
          </cell>
        </row>
        <row r="207">
          <cell r="A207" t="str">
            <v>SYH6K6RMJ</v>
          </cell>
          <cell r="B207" t="str">
            <v xml:space="preserve">Symmetra RM 6kVA モデル </v>
          </cell>
          <cell r="C207" t="str">
            <v>-</v>
          </cell>
        </row>
        <row r="208">
          <cell r="A208" t="str">
            <v>SYH2K6RMJ-P1</v>
          </cell>
          <cell r="B208" t="str">
            <v xml:space="preserve">Symmetra RM 2kVA  トランス[Output: (12)5-15R]付きモデル </v>
          </cell>
          <cell r="C208" t="str">
            <v>-</v>
          </cell>
        </row>
        <row r="209">
          <cell r="A209" t="str">
            <v>SYH4K6RMJ-P1</v>
          </cell>
          <cell r="B209" t="str">
            <v xml:space="preserve">Symmetra RM 4kVA  トランス[Output: (12)5-15R]付きモデル </v>
          </cell>
          <cell r="C209" t="str">
            <v>-</v>
          </cell>
        </row>
        <row r="210">
          <cell r="A210" t="str">
            <v>SYH6K6RMJ-P1</v>
          </cell>
          <cell r="B210" t="str">
            <v xml:space="preserve">Symmetra RM 6kVA  トランス[Output: (12)5-15R]付きモデル </v>
          </cell>
          <cell r="C210" t="str">
            <v>-</v>
          </cell>
        </row>
        <row r="211">
          <cell r="A211" t="str">
            <v>SYH4K6RMJ-TF3</v>
          </cell>
          <cell r="B211" t="str">
            <v xml:space="preserve">Symmetra RM 4kVA トランス[Output: (4)L5-20R]付きモデル </v>
          </cell>
          <cell r="C211" t="str">
            <v>-</v>
          </cell>
        </row>
        <row r="212">
          <cell r="A212" t="str">
            <v>SYH6K6RMJ-TF3</v>
          </cell>
          <cell r="B212" t="str">
            <v xml:space="preserve">Symmetra RM 6kVA トランス[Output: (4)L5-20R]付きモデル </v>
          </cell>
          <cell r="C212" t="str">
            <v>-</v>
          </cell>
        </row>
        <row r="213">
          <cell r="A213" t="str">
            <v>SYPM2KU</v>
          </cell>
          <cell r="B213" t="str">
            <v>Symmetra RM 用 Power Module</v>
          </cell>
          <cell r="C213" t="str">
            <v>-</v>
          </cell>
        </row>
        <row r="214">
          <cell r="A214" t="str">
            <v>SYBT2FR</v>
          </cell>
          <cell r="B214" t="str">
            <v>Symmetra RM 用 Battery Module</v>
          </cell>
          <cell r="C214" t="str">
            <v>-</v>
          </cell>
        </row>
        <row r="215">
          <cell r="A215" t="str">
            <v>SYTF2J</v>
          </cell>
          <cell r="B215" t="str">
            <v>Step-Down Transformer [Output: (12)5-15R]</v>
          </cell>
          <cell r="C215" t="str">
            <v>-</v>
          </cell>
        </row>
        <row r="216">
          <cell r="A216" t="str">
            <v>SYTF3J</v>
          </cell>
          <cell r="B216" t="str">
            <v>Step-Down Transformer [Output: (4)L5-20R]</v>
          </cell>
          <cell r="C216" t="str">
            <v>-</v>
          </cell>
        </row>
        <row r="217">
          <cell r="A217" t="str">
            <v>ServiceBypassPanel</v>
          </cell>
          <cell r="C217" t="str">
            <v>-</v>
          </cell>
        </row>
        <row r="218">
          <cell r="A218" t="str">
            <v>SBP6KRMT2U</v>
          </cell>
          <cell r="B218" t="str">
            <v>Service Bypass Panel for SYRM6KVA [Output: (1)L6-30R, (2)L6-20R]</v>
          </cell>
          <cell r="C218" t="str">
            <v>-</v>
          </cell>
        </row>
        <row r="219">
          <cell r="A219" t="str">
            <v>交換用バッテリキット</v>
          </cell>
          <cell r="C219" t="str">
            <v>-</v>
          </cell>
        </row>
        <row r="220">
          <cell r="A220" t="str">
            <v>RBC6L</v>
          </cell>
          <cell r="B220" t="str">
            <v>SUA1000J/SUA1000JB交換用バッテリキット</v>
          </cell>
          <cell r="C220" t="str">
            <v>-</v>
          </cell>
        </row>
        <row r="221">
          <cell r="A221" t="str">
            <v>RBC7L</v>
          </cell>
          <cell r="B221" t="str">
            <v>SUA1500J/SUA1500JB交換用バッテリキット</v>
          </cell>
          <cell r="C221" t="str">
            <v>-</v>
          </cell>
        </row>
        <row r="222">
          <cell r="A222" t="str">
            <v>RBC11</v>
          </cell>
          <cell r="B222" t="str">
            <v>SUA24XLBP 交換用バッテリキット</v>
          </cell>
          <cell r="C222" t="str">
            <v>-</v>
          </cell>
        </row>
        <row r="223">
          <cell r="A223" t="str">
            <v>RBC11J</v>
          </cell>
          <cell r="B223" t="str">
            <v>SU2200J/SU3000J 交換用バッテリキット</v>
          </cell>
          <cell r="C223" t="str">
            <v>-</v>
          </cell>
        </row>
        <row r="224">
          <cell r="A224" t="str">
            <v>RBC12J</v>
          </cell>
          <cell r="B224" t="str">
            <v>SU3000RMJ3U 交換用バッテリキット</v>
          </cell>
          <cell r="C224" t="str">
            <v>-</v>
          </cell>
        </row>
        <row r="225">
          <cell r="A225" t="str">
            <v>RBC43</v>
          </cell>
          <cell r="B225" t="str">
            <v>SUA3000RMJ2UB交換用バッテリキット</v>
          </cell>
          <cell r="C225" t="str">
            <v>-</v>
          </cell>
        </row>
        <row r="226">
          <cell r="A226" t="str">
            <v>RBC17J</v>
          </cell>
          <cell r="B226" t="str">
            <v>BE725JP 交換用バッテリキット</v>
          </cell>
          <cell r="C226" t="str">
            <v>-</v>
          </cell>
        </row>
        <row r="227">
          <cell r="A227" t="str">
            <v>RBC24J</v>
          </cell>
          <cell r="B227" t="str">
            <v>SUA1500RMJ2U/SUA1500RMJ2UB交換用バッテリキット</v>
          </cell>
          <cell r="C227" t="str">
            <v>-</v>
          </cell>
        </row>
        <row r="228">
          <cell r="A228" t="str">
            <v>RBC32J</v>
          </cell>
          <cell r="B228" t="str">
            <v>BR900-JP 交換用バッテリキット</v>
          </cell>
          <cell r="C228" t="str">
            <v>-</v>
          </cell>
        </row>
        <row r="229">
          <cell r="A229" t="str">
            <v>RBC34L</v>
          </cell>
          <cell r="B229" t="str">
            <v>SUA750RMJ1UB 交換用バッテリキット</v>
          </cell>
          <cell r="C229" t="str">
            <v>-</v>
          </cell>
        </row>
        <row r="230">
          <cell r="A230" t="str">
            <v>RBC44J</v>
          </cell>
          <cell r="B230" t="str">
            <v>SURT5000XLJ/SURT7500XLJ/SURT10000XLJ/SURT192XLBPJ交換用バッテリキット</v>
          </cell>
          <cell r="C230" t="str">
            <v>-</v>
          </cell>
        </row>
        <row r="231">
          <cell r="A231" t="str">
            <v>APCRBC140J</v>
          </cell>
          <cell r="B231" t="str">
            <v>APC Replacement Battery Cartridge #140</v>
          </cell>
          <cell r="C231" t="str">
            <v>-</v>
          </cell>
        </row>
        <row r="232">
          <cell r="A232" t="str">
            <v>RBC47</v>
          </cell>
          <cell r="B232" t="str">
            <v>BE325-JP 交換用バッテリキット</v>
          </cell>
          <cell r="C232" t="str">
            <v>-</v>
          </cell>
        </row>
        <row r="233">
          <cell r="A233" t="str">
            <v>RBC48L</v>
          </cell>
          <cell r="B233" t="str">
            <v>SUA500JB/SUA750JB交換用バッテリキット</v>
          </cell>
          <cell r="C233" t="str">
            <v>-</v>
          </cell>
        </row>
        <row r="234">
          <cell r="A234" t="str">
            <v>RBC55J</v>
          </cell>
          <cell r="B234" t="str">
            <v>SUA2200JB/SUA3000JB 交換用バッテリキット</v>
          </cell>
          <cell r="C234" t="str">
            <v>-</v>
          </cell>
        </row>
        <row r="235">
          <cell r="A235" t="str">
            <v>RBC57J</v>
          </cell>
          <cell r="B235" t="str">
            <v>SURTA1500XLJ /SURTA48XLBPJ交換用バッテリキット</v>
          </cell>
          <cell r="C235" t="str">
            <v>-</v>
          </cell>
        </row>
        <row r="236">
          <cell r="A236" t="str">
            <v>APCRBC88J</v>
          </cell>
          <cell r="B236" t="str">
            <v>SMT1200RMJ1U 交換用バッテリキット</v>
          </cell>
          <cell r="C236" t="str">
            <v>-</v>
          </cell>
        </row>
        <row r="237">
          <cell r="A237" t="str">
            <v>APCRBC117J</v>
          </cell>
          <cell r="B237" t="str">
            <v>SMX3000RMJ2U 交換用バッテリキット</v>
          </cell>
          <cell r="C237" t="str">
            <v>-</v>
          </cell>
        </row>
        <row r="238">
          <cell r="A238" t="str">
            <v>APCRBC118J</v>
          </cell>
          <cell r="B238" t="str">
            <v>SMX120RMBPJ2U 交換用バッテリキット</v>
          </cell>
          <cell r="C238" t="str">
            <v>-</v>
          </cell>
        </row>
        <row r="239">
          <cell r="A239" t="str">
            <v>APCRBC133J</v>
          </cell>
          <cell r="B239" t="str">
            <v>SMT1500RMJ2U 交換用バッテリキット</v>
          </cell>
          <cell r="C239" t="str">
            <v>-</v>
          </cell>
        </row>
        <row r="240">
          <cell r="A240" t="str">
            <v>APCRBC137J</v>
          </cell>
          <cell r="B240" t="str">
            <v>SMT500J/SMT750J 交換用バッテリキット</v>
          </cell>
          <cell r="C240" t="str">
            <v>-</v>
          </cell>
        </row>
        <row r="241">
          <cell r="A241" t="str">
            <v>APCRBC139J</v>
          </cell>
          <cell r="B241" t="str">
            <v>SMT1500J 交換用バッテリキット</v>
          </cell>
          <cell r="C241" t="str">
            <v>-</v>
          </cell>
        </row>
        <row r="242">
          <cell r="A242" t="str">
            <v>APCRBC145J</v>
          </cell>
          <cell r="B242" t="str">
            <v>SMT3000RMJ2U 交換用バッテリキット</v>
          </cell>
          <cell r="C242" t="str">
            <v>-</v>
          </cell>
        </row>
        <row r="243">
          <cell r="A243" t="str">
            <v>APCRBC109J</v>
          </cell>
          <cell r="B243" t="str">
            <v>BR1200LCD-JP 交換用バッテリキット</v>
          </cell>
          <cell r="C243" t="str">
            <v>-</v>
          </cell>
        </row>
        <row r="244">
          <cell r="A244" t="str">
            <v>APCRBC105J</v>
          </cell>
          <cell r="B244" t="str">
            <v>Smart-UPS XL 3000RM 100/200V 交換用バッテリキット</v>
          </cell>
          <cell r="C244" t="str">
            <v>-</v>
          </cell>
        </row>
        <row r="245">
          <cell r="A245" t="str">
            <v>APCRBC122J</v>
          </cell>
          <cell r="B245" t="str">
            <v>BR400G-JP, BR550G-JP, BE550G-JP 交換用バッテリキット</v>
          </cell>
          <cell r="C245" t="str">
            <v>-</v>
          </cell>
        </row>
        <row r="246">
          <cell r="A246" t="str">
            <v>APCRBC123J</v>
          </cell>
          <cell r="B246" t="str">
            <v>BR1000G-JP 交換用バッテリキット</v>
          </cell>
          <cell r="C246" t="str">
            <v>-</v>
          </cell>
        </row>
        <row r="247">
          <cell r="A247" t="str">
            <v>APCRBC124J</v>
          </cell>
          <cell r="B247" t="str">
            <v>BR1200G-JP/BR1200GL-JP 交換用バッテリキット</v>
          </cell>
          <cell r="C247" t="str">
            <v>-</v>
          </cell>
        </row>
        <row r="248">
          <cell r="A248" t="str">
            <v>PowerChuteBusinessEdition*ダウンロード版　※OS対応表をご確認ください。http://www.apc.co.jp/os_support/</v>
          </cell>
          <cell r="C248" t="str">
            <v>-</v>
          </cell>
        </row>
        <row r="249">
          <cell r="A249" t="str">
            <v>SSPCBEL1SMJ</v>
          </cell>
          <cell r="B249" t="str">
            <v>ダウンロード版 PowerChute Business Edition Deluxe for Linux,Unix</v>
          </cell>
          <cell r="C249" t="str">
            <v>PowerChute Business Edition (Linux、Unix環境用) ライセンス</v>
          </cell>
        </row>
        <row r="250">
          <cell r="A250" t="str">
            <v>SSPCBEW1SMJ</v>
          </cell>
          <cell r="B250" t="str">
            <v>ダウンロード版 PowerChute Business Edition Deluxe for Windows</v>
          </cell>
          <cell r="C250" t="str">
            <v>PowerChute Business Edition (Windows環境用) ライセンス</v>
          </cell>
        </row>
        <row r="251">
          <cell r="A251" t="str">
            <v>SSPCBEWLJ</v>
          </cell>
          <cell r="B251" t="str">
            <v>PowerChute Business Edition Windows &amp; Linux</v>
          </cell>
          <cell r="C251" t="str">
            <v>PowerChute Business Edition ライセンス</v>
          </cell>
        </row>
        <row r="252">
          <cell r="A252" t="str">
            <v>PowerChutenetworkshutdown*ダウンロード版　※OS対応表をご確認ください。http://www.apc.co.jp/os_support/</v>
          </cell>
          <cell r="C252" t="str">
            <v>-</v>
          </cell>
        </row>
        <row r="253">
          <cell r="A253" t="str">
            <v>SSPCNSWL1J</v>
          </cell>
          <cell r="B253" t="str">
            <v>PowerChute Network Shutdown 1 Node Windows &amp; Linux</v>
          </cell>
          <cell r="C253" t="str">
            <v>PowerChute Network Shutdown (Windows &amp; Linux環境用) 1ノードライセンス</v>
          </cell>
        </row>
        <row r="254">
          <cell r="A254" t="str">
            <v>SSPCNSWL5J</v>
          </cell>
          <cell r="B254" t="str">
            <v>PowerChute Network Shutdown 5 Node Windows &amp; Linux</v>
          </cell>
          <cell r="C254" t="str">
            <v>PowerChute Network Shutdown (Windows &amp; Linux環境用) 5ノードライセンス</v>
          </cell>
        </row>
        <row r="255">
          <cell r="A255" t="str">
            <v>SSPCNSV1J</v>
          </cell>
          <cell r="B255" t="str">
            <v>PowerChute Network Shutdown 1 Node Virtualization</v>
          </cell>
          <cell r="C255" t="str">
            <v>PowerChute Network Shutdown (仮想環境用) 1ノードライセンス</v>
          </cell>
        </row>
        <row r="256">
          <cell r="A256" t="str">
            <v>SSPCNSV5J</v>
          </cell>
          <cell r="B256" t="str">
            <v>PowerChute Network Shutdown 5 Node Virtualization</v>
          </cell>
          <cell r="C256" t="str">
            <v>PowerChute Network Shutdown (仮想環境用) 5ノードライセンス</v>
          </cell>
        </row>
        <row r="257">
          <cell r="A257" t="str">
            <v>SSPCNSSP1J</v>
          </cell>
          <cell r="B257" t="str">
            <v>PowerChute Network Shutdown 1 Node Specialized OS</v>
          </cell>
          <cell r="C257" t="str">
            <v>-</v>
          </cell>
        </row>
        <row r="258">
          <cell r="A258" t="str">
            <v>SSPCNSSP5J</v>
          </cell>
          <cell r="B258" t="str">
            <v>PowerChute Network Shutdown 5 Node Specialized OS</v>
          </cell>
          <cell r="C258" t="str">
            <v>-</v>
          </cell>
        </row>
        <row r="259">
          <cell r="A259" t="str">
            <v>SmartUPS500/750(TowerType)用ソフトウェア*ダウンロード版  ※シリアル通信ケーブルは付属しておりません。　　※OS対応表をご確認ください。http://www.apc.co.jp/os_support/</v>
          </cell>
          <cell r="C259" t="str">
            <v>-</v>
          </cell>
        </row>
        <row r="260">
          <cell r="A260" t="str">
            <v>SSPCBEW1575J</v>
          </cell>
          <cell r="B260" t="str">
            <v>Smart-UPS 500/750用 PowerChute Business Edition Windows &amp; Linux Licence</v>
          </cell>
          <cell r="C260" t="str">
            <v>タワー型 Smart-UPS 500/750モデル用 PowerChute Business Edition ライセンス</v>
          </cell>
        </row>
        <row r="261">
          <cell r="A261" t="str">
            <v>各種InterfaceKit</v>
          </cell>
          <cell r="C261" t="str">
            <v>-</v>
          </cell>
        </row>
        <row r="262">
          <cell r="A262" t="str">
            <v>AP940-0128</v>
          </cell>
          <cell r="B262" t="str">
            <v>APC ES/CS/RSシリーズ専用シリアルケーブル</v>
          </cell>
          <cell r="C262" t="str">
            <v>-</v>
          </cell>
        </row>
        <row r="263">
          <cell r="A263" t="str">
            <v>AP940-0625A</v>
          </cell>
          <cell r="B263" t="str">
            <v>DB9 – RJ45 UPS通信ケーブル2m</v>
          </cell>
          <cell r="C263" t="str">
            <v>-</v>
          </cell>
        </row>
        <row r="264">
          <cell r="A264" t="str">
            <v>AP940-1525A</v>
          </cell>
          <cell r="B264" t="str">
            <v>DB9 – RJ45 UPS通信ケーブル4.5m</v>
          </cell>
          <cell r="C264" t="str">
            <v>-</v>
          </cell>
        </row>
        <row r="265">
          <cell r="A265" t="str">
            <v>AP98117J</v>
          </cell>
          <cell r="B265" t="str">
            <v>Smart-UPS/Smart-UPS RM用USBケーブル</v>
          </cell>
          <cell r="C265" t="str">
            <v>Smart-UPS/Smart-UPS RM用USBケーブル</v>
          </cell>
        </row>
        <row r="266">
          <cell r="A266" t="str">
            <v>AP9815</v>
          </cell>
          <cell r="B266" t="str">
            <v xml:space="preserve">15ｆt (4.5m) Signaling Extension Cable </v>
          </cell>
          <cell r="C266" t="str">
            <v>UPS通信ケーブルに使用する延長ケーブル 15フィート</v>
          </cell>
        </row>
        <row r="267">
          <cell r="A267" t="str">
            <v>AP9824LJ</v>
          </cell>
          <cell r="B267" t="str">
            <v>Interface Kit: C</v>
          </cell>
          <cell r="C267" t="str">
            <v>アドバンスポートもしくはPC間の接続用Smart Signaling専用ケーブル</v>
          </cell>
        </row>
        <row r="268">
          <cell r="A268" t="str">
            <v>AP9827</v>
          </cell>
          <cell r="B268" t="str">
            <v>APC UPS専用USBケーブル(USB to RJ45)</v>
          </cell>
          <cell r="C268" t="str">
            <v>APC UPS専用 USBケーブル(USB to RJ45)</v>
          </cell>
        </row>
        <row r="269">
          <cell r="A269" t="str">
            <v>AP98275</v>
          </cell>
          <cell r="B269" t="str">
            <v>UPS Signaling Offer for IBM AS/400 and IBMi</v>
          </cell>
          <cell r="C269" t="str">
            <v>-</v>
          </cell>
        </row>
        <row r="270">
          <cell r="A270" t="str">
            <v>UPSAccessory</v>
          </cell>
          <cell r="C270" t="str">
            <v>-</v>
          </cell>
        </row>
        <row r="271">
          <cell r="A271" t="str">
            <v>AP9613</v>
          </cell>
          <cell r="B271" t="str">
            <v>Dry Contact I/O SmartSlot Card</v>
          </cell>
          <cell r="C271" t="str">
            <v>-</v>
          </cell>
        </row>
        <row r="272">
          <cell r="A272" t="str">
            <v>AP9600</v>
          </cell>
          <cell r="B272" t="str">
            <v>Expansion Chassis</v>
          </cell>
          <cell r="C272" t="str">
            <v>-</v>
          </cell>
        </row>
        <row r="273">
          <cell r="A273" t="str">
            <v>AP9620</v>
          </cell>
          <cell r="B273" t="str">
            <v>Legacy Communication Card</v>
          </cell>
          <cell r="C273" t="str">
            <v>-</v>
          </cell>
        </row>
        <row r="274">
          <cell r="A274" t="str">
            <v>AP9624</v>
          </cell>
          <cell r="B274" t="str">
            <v>UPS Interface Expander 2</v>
          </cell>
          <cell r="C274" t="str">
            <v>シリアル接続された最大2機の正常シャットダウンをサポート
※RS-232規格ケーブル x2付属、追加機器分のPowerChuteは構成不要</v>
          </cell>
        </row>
        <row r="275">
          <cell r="A275" t="str">
            <v>AP9630J</v>
          </cell>
          <cell r="B275" t="str">
            <v>Network Management Card 2</v>
          </cell>
          <cell r="C275" t="str">
            <v>ネットワーク経由で複数の機器の正常シャットダウンをサポート
※2年センドバック保証付</v>
          </cell>
        </row>
        <row r="276">
          <cell r="A276" t="str">
            <v>AP9631J</v>
          </cell>
          <cell r="B276" t="str">
            <v>Network Management Card 2 EM</v>
          </cell>
          <cell r="C276" t="str">
            <v>ネットワーク経由で複数の機器の正常シャットダウンをサポート
※温度センサー付：周辺温度のモニタリングが可能
※2年センドバック保証付</v>
          </cell>
        </row>
        <row r="277">
          <cell r="A277" t="str">
            <v>AP9810</v>
          </cell>
          <cell r="B277" t="str">
            <v>Dry Contact I/Oアクセサリ</v>
          </cell>
          <cell r="C277" t="str">
            <v>-</v>
          </cell>
        </row>
        <row r="278">
          <cell r="A278" t="str">
            <v>AP9324</v>
          </cell>
          <cell r="B278" t="str">
            <v>Environmental  Management System　Rack Beacon</v>
          </cell>
          <cell r="C278" t="str">
            <v>-</v>
          </cell>
        </row>
        <row r="279">
          <cell r="A279" t="str">
            <v>AP9325</v>
          </cell>
          <cell r="B279" t="str">
            <v>Environmental  Management System　Leak　Sensor</v>
          </cell>
          <cell r="C279" t="str">
            <v>-</v>
          </cell>
        </row>
        <row r="280">
          <cell r="A280" t="str">
            <v>AP9326</v>
          </cell>
          <cell r="B280" t="str">
            <v>Environmental  Management System　Leak　Extension　Cable</v>
          </cell>
          <cell r="C280" t="str">
            <v>-</v>
          </cell>
        </row>
        <row r="281">
          <cell r="A281" t="str">
            <v>AP9335T</v>
          </cell>
          <cell r="B281" t="str">
            <v>APC Temperature Sensor</v>
          </cell>
          <cell r="C281" t="str">
            <v>-</v>
          </cell>
        </row>
        <row r="282">
          <cell r="A282" t="str">
            <v>AP9335TH</v>
          </cell>
          <cell r="B282" t="str">
            <v>APC Temperature &amp; Humidity Sensor</v>
          </cell>
          <cell r="C282" t="str">
            <v>-</v>
          </cell>
        </row>
        <row r="283">
          <cell r="A283" t="str">
            <v>AP9520T</v>
          </cell>
          <cell r="B283" t="str">
            <v>LCD Digital Temperature Sensor</v>
          </cell>
          <cell r="C283" t="str">
            <v>-</v>
          </cell>
        </row>
        <row r="284">
          <cell r="A284" t="str">
            <v>AP9520TH</v>
          </cell>
          <cell r="B284" t="str">
            <v>LCD Digital Temperature &amp; Humidity Sensor</v>
          </cell>
          <cell r="C284" t="str">
            <v>-</v>
          </cell>
        </row>
        <row r="285">
          <cell r="A285" t="str">
            <v>NetBotz®</v>
          </cell>
          <cell r="C285" t="str">
            <v>-</v>
          </cell>
        </row>
        <row r="286">
          <cell r="A286" t="str">
            <v>NB3RKMON</v>
          </cell>
          <cell r="B286" t="str">
            <v>3ラック監視バンドルパッケージ</v>
          </cell>
          <cell r="C286" t="str">
            <v>-</v>
          </cell>
        </row>
        <row r="287">
          <cell r="A287" t="str">
            <v>NB5RKMGT</v>
          </cell>
          <cell r="B287" t="str">
            <v>5ラック監視管理バンドルパッケージ（アプライアンスサーバー版）</v>
          </cell>
          <cell r="C287" t="str">
            <v>-</v>
          </cell>
        </row>
        <row r="288">
          <cell r="A288" t="str">
            <v>NB5RKMGTVM</v>
          </cell>
          <cell r="B288" t="str">
            <v>5 ラック監視管理バンドルパッケージ（仮想監視サーバー版）</v>
          </cell>
          <cell r="C288" t="str">
            <v>-</v>
          </cell>
        </row>
        <row r="289">
          <cell r="A289" t="str">
            <v>NBRK0570</v>
          </cell>
          <cell r="B289" t="str">
            <v>NetBotz Rack Monitor 570</v>
          </cell>
          <cell r="C289" t="str">
            <v>-</v>
          </cell>
        </row>
        <row r="290">
          <cell r="A290" t="str">
            <v>NBRK0451</v>
          </cell>
          <cell r="B290" t="str">
            <v>NetBotz Rack Monitor 450 (with 120/240V Power Supply: AP9505i)</v>
          </cell>
          <cell r="C290" t="str">
            <v>-</v>
          </cell>
        </row>
        <row r="291">
          <cell r="A291" t="str">
            <v>NBWL0455</v>
          </cell>
          <cell r="B291" t="str">
            <v>NetBotz Room Monitor 455 (w/o PoE Injector)</v>
          </cell>
          <cell r="C291" t="str">
            <v>-</v>
          </cell>
        </row>
        <row r="292">
          <cell r="A292" t="str">
            <v>NBWL0355</v>
          </cell>
          <cell r="B292" t="str">
            <v>NetBotz Room Monitor 355 (w/o PoE Injector)</v>
          </cell>
          <cell r="C292" t="str">
            <v>-</v>
          </cell>
        </row>
        <row r="293">
          <cell r="A293" t="str">
            <v>NBWC100U</v>
          </cell>
          <cell r="B293" t="str">
            <v>NetBotz Wireless USB Coordinator &amp; Router</v>
          </cell>
          <cell r="C293" t="str">
            <v>-</v>
          </cell>
        </row>
        <row r="294">
          <cell r="A294" t="str">
            <v>NBWS100H</v>
          </cell>
          <cell r="B294" t="str">
            <v>NetBotz Wireless Temperature &amp; Humidity Sensor</v>
          </cell>
          <cell r="C294" t="str">
            <v>-</v>
          </cell>
        </row>
        <row r="295">
          <cell r="A295" t="str">
            <v>NBWS100T</v>
          </cell>
          <cell r="B295" t="str">
            <v>NetBotz Wireless Temperature Sensor</v>
          </cell>
          <cell r="C295" t="str">
            <v>-</v>
          </cell>
        </row>
        <row r="296">
          <cell r="A296" t="str">
            <v>NBRK0250</v>
          </cell>
          <cell r="B296" t="str">
            <v>NetBotz Rack Monitor 250</v>
          </cell>
          <cell r="C296" t="str">
            <v>-</v>
          </cell>
        </row>
        <row r="297">
          <cell r="A297" t="str">
            <v>NBPD0122</v>
          </cell>
          <cell r="B297" t="str">
            <v>APC NetBotz Sensor Pod 120</v>
          </cell>
          <cell r="C297" t="str">
            <v>-</v>
          </cell>
        </row>
        <row r="298">
          <cell r="A298" t="str">
            <v>NBPD0123</v>
          </cell>
          <cell r="B298" t="str">
            <v>APC NetBotz CCTV Adapter Pod 120 with USB cable - 16ft/5m</v>
          </cell>
          <cell r="C298" t="str">
            <v>-</v>
          </cell>
        </row>
        <row r="299">
          <cell r="A299" t="str">
            <v>NBPD0129</v>
          </cell>
          <cell r="B299" t="str">
            <v>APC NetBotz 4-20mA Sensor Pod</v>
          </cell>
          <cell r="C299" t="str">
            <v>-</v>
          </cell>
        </row>
        <row r="300">
          <cell r="A300" t="str">
            <v>NBPD0150</v>
          </cell>
          <cell r="B300" t="str">
            <v>NetBotz Rack Sensor Pod 150</v>
          </cell>
          <cell r="C300" t="str">
            <v>-</v>
          </cell>
        </row>
        <row r="301">
          <cell r="A301" t="str">
            <v>NBPD0155</v>
          </cell>
          <cell r="B301" t="str">
            <v>NetBotz Room Sensor Pod 155</v>
          </cell>
          <cell r="C301" t="str">
            <v>-</v>
          </cell>
        </row>
        <row r="302">
          <cell r="A302" t="str">
            <v>NBPD0160</v>
          </cell>
          <cell r="B302" t="str">
            <v>NetBotz Camera Pod 160</v>
          </cell>
          <cell r="C302" t="str">
            <v>-</v>
          </cell>
        </row>
        <row r="303">
          <cell r="A303" t="str">
            <v>NBPD0171</v>
          </cell>
          <cell r="B303" t="str">
            <v>NetBotz Rack Access Pod 170 (for APC SX rack)</v>
          </cell>
          <cell r="C303" t="str">
            <v>-</v>
          </cell>
        </row>
        <row r="304">
          <cell r="A304" t="str">
            <v>NBPD0180</v>
          </cell>
          <cell r="B304" t="str">
            <v>NetBotz Wireless Sensor Pod 180</v>
          </cell>
          <cell r="C304" t="str">
            <v>-</v>
          </cell>
        </row>
        <row r="305">
          <cell r="A305" t="str">
            <v>NBES0201</v>
          </cell>
          <cell r="B305" t="str">
            <v>APC NetBotz Particle Sensor PS100</v>
          </cell>
          <cell r="C305" t="str">
            <v>-</v>
          </cell>
        </row>
        <row r="306">
          <cell r="A306" t="str">
            <v>NBES0301</v>
          </cell>
          <cell r="B306" t="str">
            <v>NetBotz Spot Fluid Sensor - 15 ft.</v>
          </cell>
          <cell r="C306" t="str">
            <v>-</v>
          </cell>
        </row>
        <row r="307">
          <cell r="A307" t="str">
            <v>NBES0302</v>
          </cell>
          <cell r="B307" t="str">
            <v>NetBotz Door Switch Sensor for Rooms or 3rd Party Racks - 50 ft.</v>
          </cell>
          <cell r="C307" t="str">
            <v>-</v>
          </cell>
        </row>
        <row r="308">
          <cell r="A308" t="str">
            <v>NBES0303</v>
          </cell>
          <cell r="B308" t="str">
            <v>NetBotz Door Switch Sensor (2) for an APC Rack - 12 ft.</v>
          </cell>
          <cell r="C308" t="str">
            <v>-</v>
          </cell>
        </row>
        <row r="309">
          <cell r="A309" t="str">
            <v>NBES0304</v>
          </cell>
          <cell r="B309" t="str">
            <v>NetBotz Dry Contact Cable - 15 ft.</v>
          </cell>
          <cell r="C309" t="str">
            <v>-</v>
          </cell>
        </row>
        <row r="310">
          <cell r="A310" t="str">
            <v>NBES0305</v>
          </cell>
          <cell r="B310" t="str">
            <v>NetBotz 0-5V Cable - 15 ft.</v>
          </cell>
          <cell r="C310" t="str">
            <v>-</v>
          </cell>
        </row>
        <row r="311">
          <cell r="A311" t="str">
            <v>NBES0306</v>
          </cell>
          <cell r="B311" t="str">
            <v>NetBotz Vibration Sensor - 12 ft.</v>
          </cell>
          <cell r="C311" t="str">
            <v>-</v>
          </cell>
        </row>
        <row r="312">
          <cell r="A312" t="str">
            <v>NBES0307</v>
          </cell>
          <cell r="B312" t="str">
            <v>NetBotz Smoke Sensor - 10 ft.</v>
          </cell>
          <cell r="C312" t="str">
            <v>-</v>
          </cell>
        </row>
        <row r="313">
          <cell r="A313" t="str">
            <v>NBES0308</v>
          </cell>
          <cell r="B313" t="str">
            <v>NetBotz Leak Rope Sensor - 20 ft.</v>
          </cell>
          <cell r="C313" t="str">
            <v>-</v>
          </cell>
        </row>
        <row r="314">
          <cell r="A314" t="str">
            <v>NBES0309</v>
          </cell>
          <cell r="B314" t="str">
            <v>NetBotz Leak Rope Extension - 20 ft.</v>
          </cell>
          <cell r="C314" t="str">
            <v>-</v>
          </cell>
        </row>
        <row r="315">
          <cell r="A315" t="str">
            <v>NBES0311</v>
          </cell>
          <cell r="B315" t="str">
            <v>NetBotz Temperature Sensor – 0.81m (NBPD0180用)</v>
          </cell>
          <cell r="C315" t="str">
            <v>-</v>
          </cell>
        </row>
        <row r="316">
          <cell r="A316" t="str">
            <v>NBES0312</v>
          </cell>
          <cell r="B316" t="str">
            <v>NetBotz Door Switch Sensor for 3rd Party Racks - 1.57m (NBPD0180用)</v>
          </cell>
          <cell r="C316" t="str">
            <v>-</v>
          </cell>
        </row>
        <row r="317">
          <cell r="A317" t="str">
            <v>NBES0313</v>
          </cell>
          <cell r="B317" t="str">
            <v>NetBotz Door Switch Sensor for an SE (APC) Rack - 1.57m (NBPD0180用)</v>
          </cell>
          <cell r="C317" t="str">
            <v>-</v>
          </cell>
        </row>
        <row r="318">
          <cell r="A318" t="str">
            <v>NBAC0301</v>
          </cell>
          <cell r="B318" t="str">
            <v>Surface Mounting Brackets for NetBotz Room Monitor Appliance or Camera Pod</v>
          </cell>
          <cell r="C318" t="str">
            <v>-</v>
          </cell>
        </row>
        <row r="319">
          <cell r="A319" t="str">
            <v>NBAC0302</v>
          </cell>
          <cell r="B319" t="str">
            <v>Rack Mounting Bracket for NetBotz Camera Pod 160</v>
          </cell>
          <cell r="C319" t="str">
            <v>-</v>
          </cell>
        </row>
        <row r="320">
          <cell r="A320" t="str">
            <v>AP9370-10</v>
          </cell>
          <cell r="B320" t="str">
            <v xml:space="preserve">APC NetBotz HID Proximity Cards - 10 Pack </v>
          </cell>
          <cell r="C320" t="str">
            <v>-</v>
          </cell>
        </row>
        <row r="321">
          <cell r="A321" t="str">
            <v>AP9505i</v>
          </cell>
          <cell r="B321" t="str">
            <v xml:space="preserve">Power Supply Univ 24VDC Output </v>
          </cell>
          <cell r="C321" t="str">
            <v>-</v>
          </cell>
        </row>
        <row r="322">
          <cell r="A322" t="str">
            <v>NBAC0303</v>
          </cell>
          <cell r="B322" t="str">
            <v>APC PoE Injector</v>
          </cell>
          <cell r="C322" t="str">
            <v>-</v>
          </cell>
        </row>
        <row r="323">
          <cell r="A323" t="str">
            <v>NBAC0213L</v>
          </cell>
          <cell r="B323" t="str">
            <v>NetBotz USB Latching Repeater Cable, LSZH - 5m</v>
          </cell>
          <cell r="C323" t="str">
            <v>-</v>
          </cell>
        </row>
        <row r="324">
          <cell r="A324" t="str">
            <v>NBAC0213P</v>
          </cell>
          <cell r="B324" t="str">
            <v>NetBotz USB Latching Repeater Cable, Plenum - 5m</v>
          </cell>
          <cell r="C324" t="str">
            <v>-</v>
          </cell>
        </row>
        <row r="325">
          <cell r="A325" t="str">
            <v>NBAC0214L</v>
          </cell>
          <cell r="B325" t="str">
            <v>NetBotz USB Latching Cable, LSZH - 5m</v>
          </cell>
          <cell r="C325" t="str">
            <v>-</v>
          </cell>
        </row>
        <row r="326">
          <cell r="A326" t="str">
            <v>NBAC0214P</v>
          </cell>
          <cell r="B326" t="str">
            <v>NetBotz USB Latching Cable, Plenum - 5m</v>
          </cell>
          <cell r="C326" t="str">
            <v>-</v>
          </cell>
        </row>
        <row r="327">
          <cell r="A327" t="str">
            <v>WNBWN001</v>
          </cell>
          <cell r="B327" t="str">
            <v>Base - 2 Year Software Support Contract (NBWL0355/NBWL0455)</v>
          </cell>
          <cell r="C327" t="str">
            <v>-</v>
          </cell>
        </row>
        <row r="328">
          <cell r="A328" t="str">
            <v>WNBWN002</v>
          </cell>
          <cell r="B328" t="str">
            <v>Base - 2 Year Software Support Contract (NBRK0450/NBRK0550/NBRK0570)</v>
          </cell>
          <cell r="C328" t="str">
            <v>-</v>
          </cell>
        </row>
        <row r="329">
          <cell r="A329" t="str">
            <v>WNBWN003</v>
          </cell>
          <cell r="B329" t="str">
            <v>Extension - 1 Year Software Support Contract &amp; 1 Year Hardware Warranty (NBWL0355/NBWL0455)</v>
          </cell>
          <cell r="C329" t="str">
            <v>-</v>
          </cell>
        </row>
        <row r="330">
          <cell r="A330" t="str">
            <v>WNBWN004</v>
          </cell>
          <cell r="B330" t="str">
            <v>Extension - 1 Year Software Support Contract &amp; 1 Year Hardware Warranty (NBRK0450/NBRK0550/NBRK0570)</v>
          </cell>
          <cell r="C330" t="str">
            <v>-</v>
          </cell>
        </row>
        <row r="331">
          <cell r="A331" t="str">
            <v>NBWN0005</v>
          </cell>
          <cell r="B331" t="str">
            <v>NetBotz Advanced Software Pack #1</v>
          </cell>
          <cell r="C331" t="str">
            <v>-</v>
          </cell>
        </row>
        <row r="332">
          <cell r="A332" t="str">
            <v>NBWN0006</v>
          </cell>
          <cell r="B332" t="str">
            <v>NetBotz Device Monitoring (5 Nodes) Pack</v>
          </cell>
          <cell r="C332" t="str">
            <v>-</v>
          </cell>
        </row>
        <row r="333">
          <cell r="A333" t="str">
            <v>NBSV1000</v>
          </cell>
          <cell r="B333" t="str">
            <v>Surveillance 15 node license</v>
          </cell>
          <cell r="C333" t="str">
            <v>-</v>
          </cell>
        </row>
        <row r="334">
          <cell r="A334" t="str">
            <v>NBSV1005</v>
          </cell>
          <cell r="B334" t="str">
            <v>Surveillance 5 node license</v>
          </cell>
          <cell r="C334" t="str">
            <v>-</v>
          </cell>
        </row>
        <row r="335">
          <cell r="A335" t="str">
            <v>NBSV1010</v>
          </cell>
          <cell r="B335" t="str">
            <v>Surveillance 10 node license</v>
          </cell>
          <cell r="C335" t="str">
            <v>-</v>
          </cell>
        </row>
        <row r="336">
          <cell r="A336" t="str">
            <v>NBSV1025</v>
          </cell>
          <cell r="B336" t="str">
            <v>Surveillance 25 node license</v>
          </cell>
          <cell r="C336" t="str">
            <v>-</v>
          </cell>
        </row>
        <row r="337">
          <cell r="A337" t="str">
            <v>NetShelter</v>
          </cell>
          <cell r="C337" t="str">
            <v>-</v>
          </cell>
        </row>
        <row r="338">
          <cell r="A338" t="str">
            <v>AR203A</v>
          </cell>
          <cell r="B338" t="str">
            <v>NetShelter 4 Post Open Frame Rack 44U</v>
          </cell>
          <cell r="C338" t="str">
            <v>-</v>
          </cell>
        </row>
        <row r="339">
          <cell r="A339" t="str">
            <v>NetShelterVX*現行NetShelterシリーズおよび、旧NetShelterシリーズと、NetShelterアクセサリの対応状況は以下の弊社ホームページをご確認くださいますようお願いします。</v>
          </cell>
          <cell r="C339" t="str">
            <v>-</v>
          </cell>
        </row>
        <row r="340">
          <cell r="A340" t="str">
            <v>AR2144BLK</v>
          </cell>
          <cell r="B340" t="str">
            <v>NetShelter VX 42U 耐震ラック Black</v>
          </cell>
          <cell r="C340" t="str">
            <v>-</v>
          </cell>
        </row>
        <row r="341">
          <cell r="A341" t="str">
            <v>AR2145BLK</v>
          </cell>
          <cell r="B341" t="str">
            <v>NetShelter VX 42U 増設・耐震ラック Black</v>
          </cell>
          <cell r="C341" t="str">
            <v>-</v>
          </cell>
        </row>
        <row r="342">
          <cell r="A342" t="str">
            <v>NetShelterSXシリーズ</v>
          </cell>
          <cell r="C342" t="str">
            <v>-</v>
          </cell>
        </row>
        <row r="343">
          <cell r="A343" t="str">
            <v>AR3100</v>
          </cell>
          <cell r="B343" t="str">
            <v>NetShelter SX　42U 600mm幅</v>
          </cell>
          <cell r="C343" t="str">
            <v>-</v>
          </cell>
        </row>
        <row r="344">
          <cell r="A344" t="str">
            <v>AR3100SP2</v>
          </cell>
          <cell r="B344" t="str">
            <v>NetShelter SX  42U 600mm幅  2000 lbs. Shock Packaging</v>
          </cell>
          <cell r="C344" t="str">
            <v>-</v>
          </cell>
        </row>
        <row r="345">
          <cell r="A345" t="str">
            <v>AR3104</v>
          </cell>
          <cell r="B345" t="str">
            <v>NetShelter SX 24U 600mm Wide x 1070mm Deep Enclosure</v>
          </cell>
          <cell r="C345" t="str">
            <v>-</v>
          </cell>
        </row>
        <row r="346">
          <cell r="A346" t="str">
            <v>AR3105</v>
          </cell>
          <cell r="B346" t="str">
            <v xml:space="preserve">NetShelter SX 45U 600mm Wide x 1070mm Deep Enclosure with Sides Black </v>
          </cell>
          <cell r="C346" t="str">
            <v>-</v>
          </cell>
        </row>
        <row r="347">
          <cell r="A347" t="str">
            <v>AR3107</v>
          </cell>
          <cell r="B347" t="str">
            <v>NetShelter SX　48U 600mm幅</v>
          </cell>
          <cell r="C347" t="str">
            <v>-</v>
          </cell>
        </row>
        <row r="348">
          <cell r="A348" t="str">
            <v>AR3130</v>
          </cell>
          <cell r="B348" t="str">
            <v>NetShelter SX 42U 700mm Wide x 1070mm Deep Enclosure with Sides Black</v>
          </cell>
          <cell r="C348" t="str">
            <v>-</v>
          </cell>
        </row>
        <row r="349">
          <cell r="A349" t="str">
            <v>AR3140</v>
          </cell>
          <cell r="B349" t="str">
            <v>NetShelter SX 42U 750mm Wide×1070mm Deep Networking Enclosure with Sides</v>
          </cell>
          <cell r="C349" t="str">
            <v>-</v>
          </cell>
        </row>
        <row r="350">
          <cell r="A350" t="str">
            <v>AR3150</v>
          </cell>
          <cell r="B350" t="str">
            <v>NetShelter SX　42U 750mm幅</v>
          </cell>
          <cell r="C350" t="str">
            <v>-</v>
          </cell>
        </row>
        <row r="351">
          <cell r="A351" t="str">
            <v>AR3150SP2</v>
          </cell>
          <cell r="B351" t="str">
            <v>NetShelter SX  42U 750mm幅  2000 lbs. Shock Packaging</v>
          </cell>
          <cell r="C351" t="str">
            <v>-</v>
          </cell>
        </row>
        <row r="352">
          <cell r="A352" t="str">
            <v>AR3155</v>
          </cell>
          <cell r="B352" t="str">
            <v>NetShelter SX 45U 750mm Wide x 1070mm Deep Enclosure with Sides Black</v>
          </cell>
          <cell r="C352" t="str">
            <v>-</v>
          </cell>
        </row>
        <row r="353">
          <cell r="A353" t="str">
            <v>AR3157</v>
          </cell>
          <cell r="B353" t="str">
            <v>NetShelter SX　48U 750mm幅</v>
          </cell>
          <cell r="C353" t="str">
            <v>-</v>
          </cell>
        </row>
        <row r="354">
          <cell r="A354" t="str">
            <v>AR3200</v>
          </cell>
          <cell r="B354" t="str">
            <v>NetShelter SX Colocation 2 x 20U 600mm Wide x 1070mm Deep Enclosure with Sides Black</v>
          </cell>
          <cell r="C354" t="str">
            <v>-</v>
          </cell>
        </row>
        <row r="355">
          <cell r="A355" t="str">
            <v>AR3300</v>
          </cell>
          <cell r="B355" t="str">
            <v xml:space="preserve">NetShelter SX 42U　600mm Wide x 1200mm　Deep Enclosure </v>
          </cell>
          <cell r="C355" t="str">
            <v>-</v>
          </cell>
        </row>
        <row r="356">
          <cell r="A356" t="str">
            <v>AR3305</v>
          </cell>
          <cell r="B356" t="str">
            <v>NetShelter SX 45U 600mm Wide x 1200mm Deep Enclosure with Sides Black</v>
          </cell>
          <cell r="C356" t="str">
            <v>-</v>
          </cell>
        </row>
        <row r="357">
          <cell r="A357" t="str">
            <v>AR3307</v>
          </cell>
          <cell r="B357" t="str">
            <v>NetShelter SX 48U　600mm Wide x 1200mm　Deep Enclosure</v>
          </cell>
          <cell r="C357" t="str">
            <v>-</v>
          </cell>
        </row>
        <row r="358">
          <cell r="A358" t="str">
            <v>AR3340</v>
          </cell>
          <cell r="B358" t="str">
            <v>NetShelter SX 42U 750mm Wide×1200mm Deep Networking Enclosure with Sides</v>
          </cell>
          <cell r="C358" t="str">
            <v>-</v>
          </cell>
        </row>
        <row r="359">
          <cell r="A359" t="str">
            <v>AR3347</v>
          </cell>
          <cell r="B359" t="str">
            <v>NetShelter SX 48U 750mm Wide x 1200mm Deep Networking Enclosure with Sides</v>
          </cell>
          <cell r="C359" t="str">
            <v>-</v>
          </cell>
        </row>
        <row r="360">
          <cell r="A360" t="str">
            <v>AR3350</v>
          </cell>
          <cell r="B360" t="str">
            <v>NetShelter SX 42U　750mm Wide x 1200mm　Deep Enclosure</v>
          </cell>
          <cell r="C360" t="str">
            <v>-</v>
          </cell>
        </row>
        <row r="361">
          <cell r="A361" t="str">
            <v>AR3355</v>
          </cell>
          <cell r="B361" t="str">
            <v xml:space="preserve">NetShelter SX 45U 750mm Wide x 1200mm Deep Enclosure with Sides Black </v>
          </cell>
          <cell r="C361" t="str">
            <v>-</v>
          </cell>
        </row>
        <row r="362">
          <cell r="A362" t="str">
            <v>AR3357</v>
          </cell>
          <cell r="B362" t="str">
            <v>NetShelter SX 48U 750mm Wide x 1200mm Deep Enclosure</v>
          </cell>
          <cell r="C362" t="str">
            <v>-</v>
          </cell>
        </row>
        <row r="363">
          <cell r="A363" t="str">
            <v>NetShelterCXシリーズ</v>
          </cell>
          <cell r="C363" t="str">
            <v>-</v>
          </cell>
        </row>
        <row r="364">
          <cell r="A364" t="str">
            <v>AR4018A</v>
          </cell>
          <cell r="B364" t="str">
            <v>NetShelter CX 18U Secure Soundproof Server Room in a Box Enclosure</v>
          </cell>
          <cell r="C364" t="str">
            <v>-</v>
          </cell>
        </row>
        <row r="365">
          <cell r="A365" t="str">
            <v>AR4024A</v>
          </cell>
          <cell r="B365" t="str">
            <v>NetShelter CX 24U Secure Soundproof Server Room in a Box Enclosure</v>
          </cell>
          <cell r="C365" t="str">
            <v>-</v>
          </cell>
        </row>
        <row r="366">
          <cell r="A366" t="str">
            <v>AR4038A</v>
          </cell>
          <cell r="B366" t="str">
            <v xml:space="preserve">NetShelter CX 38U Secure Soundproof Server Room in a Box Enclosure </v>
          </cell>
          <cell r="C366" t="str">
            <v>-</v>
          </cell>
        </row>
        <row r="367">
          <cell r="A367" t="str">
            <v>AR4601</v>
          </cell>
          <cell r="B367" t="str">
            <v>Net Shelter CX Bolt Down Kit</v>
          </cell>
          <cell r="C367" t="str">
            <v>-</v>
          </cell>
        </row>
        <row r="368">
          <cell r="A368" t="str">
            <v>AR4701</v>
          </cell>
          <cell r="B368" t="str">
            <v>Dust Filter Pack NetShelter CX 18U &amp; 24U 2 Small Filters</v>
          </cell>
          <cell r="C368" t="str">
            <v>-</v>
          </cell>
        </row>
        <row r="369">
          <cell r="A369" t="str">
            <v>AR4702</v>
          </cell>
          <cell r="B369" t="str">
            <v>Dust Filter Pack Netshelter CX 38U 2 Small Filters &amp; 2 Large Filters</v>
          </cell>
          <cell r="C369" t="str">
            <v>-</v>
          </cell>
        </row>
        <row r="370">
          <cell r="A370" t="str">
            <v>NetShelterWXシリーズ</v>
          </cell>
          <cell r="C370" t="str">
            <v>-</v>
          </cell>
        </row>
        <row r="371">
          <cell r="A371" t="str">
            <v>AR100HD</v>
          </cell>
          <cell r="B371" t="str">
            <v>NetShelter WX 13U</v>
          </cell>
          <cell r="C371" t="str">
            <v>-</v>
          </cell>
        </row>
        <row r="372">
          <cell r="A372" t="str">
            <v>AirDistributionUnit</v>
          </cell>
          <cell r="C372" t="str">
            <v>-</v>
          </cell>
        </row>
        <row r="373">
          <cell r="A373" t="str">
            <v>ACF003</v>
          </cell>
          <cell r="B373" t="str">
            <v>Network AIR RM AIR Distribution Unit</v>
          </cell>
          <cell r="C373" t="str">
            <v>-</v>
          </cell>
        </row>
        <row r="374">
          <cell r="A374" t="str">
            <v>ACF001RF</v>
          </cell>
          <cell r="B374" t="str">
            <v>交換用フィルタ</v>
          </cell>
          <cell r="C374" t="str">
            <v>-</v>
          </cell>
        </row>
        <row r="375">
          <cell r="A375" t="str">
            <v>Rack-MountPDU</v>
          </cell>
          <cell r="C375" t="str">
            <v>-</v>
          </cell>
        </row>
        <row r="376">
          <cell r="A376" t="str">
            <v>AP7400</v>
          </cell>
          <cell r="B376" t="str">
            <v>Bracket Kit for Compaq/Dell</v>
          </cell>
          <cell r="C376" t="str">
            <v>-</v>
          </cell>
        </row>
        <row r="377">
          <cell r="A377" t="str">
            <v>AP7406</v>
          </cell>
          <cell r="B377" t="str">
            <v>Bracket Kit, Zero U PDU, HP</v>
          </cell>
          <cell r="C377" t="str">
            <v>-</v>
          </cell>
        </row>
        <row r="378">
          <cell r="A378" t="str">
            <v>AP7530J</v>
          </cell>
          <cell r="B378" t="str">
            <v>Basic Rack-Mount PDU [Input: NEMA L5-20P Output: (24) NEMA 5-15R]</v>
          </cell>
          <cell r="C378" t="str">
            <v>-</v>
          </cell>
        </row>
        <row r="379">
          <cell r="A379" t="str">
            <v>AP7532J</v>
          </cell>
          <cell r="B379" t="str">
            <v>Rack PDU, Basic, Zero U, 30A, 100V, (24) 5-15</v>
          </cell>
          <cell r="C379" t="str">
            <v>-</v>
          </cell>
        </row>
        <row r="380">
          <cell r="A380" t="str">
            <v>AP7541</v>
          </cell>
          <cell r="B380" t="str">
            <v>Rack PDU, Basic, Zero U, 30A, 200/208V, (20)C13 &amp; (4)C19</v>
          </cell>
          <cell r="C380" t="str">
            <v>-</v>
          </cell>
        </row>
        <row r="381">
          <cell r="A381" t="str">
            <v>AP7800B</v>
          </cell>
          <cell r="B381" t="str">
            <v>Rack PDU, Metered, 1U, 15A, 100V, (8) 5-15</v>
          </cell>
          <cell r="C381" t="str">
            <v>-</v>
          </cell>
        </row>
        <row r="382">
          <cell r="A382" t="str">
            <v>AP7802BJ</v>
          </cell>
          <cell r="B382" t="str">
            <v>Rack PDU, Metered, 2U, 30A, 100V, (16) 5-15</v>
          </cell>
          <cell r="C382" t="str">
            <v>-</v>
          </cell>
        </row>
        <row r="383">
          <cell r="A383" t="str">
            <v>AP7811B</v>
          </cell>
          <cell r="B383" t="str">
            <v>Rack PDU, Metered, 2U, 30A, 200V, (12) C13 &amp; (4) C19</v>
          </cell>
          <cell r="C383" t="str">
            <v>-</v>
          </cell>
        </row>
        <row r="384">
          <cell r="A384" t="str">
            <v>AP7900B</v>
          </cell>
          <cell r="B384" t="str">
            <v>Rack PDU, Switched, 1U, 15A, 100V, (8) 5-15</v>
          </cell>
          <cell r="C384" t="str">
            <v>-</v>
          </cell>
        </row>
        <row r="385">
          <cell r="A385" t="str">
            <v>AP7902BJ</v>
          </cell>
          <cell r="B385" t="str">
            <v>Rack PDU, Switched, 2U, 30A, 100V, (16) 5-15</v>
          </cell>
          <cell r="C385" t="str">
            <v>-</v>
          </cell>
        </row>
        <row r="386">
          <cell r="A386" t="str">
            <v>AP7911B</v>
          </cell>
          <cell r="B386" t="str">
            <v>Rack PDU, Switched, 2U, 30A, 200V, (16) C13</v>
          </cell>
          <cell r="C386" t="str">
            <v>-</v>
          </cell>
        </row>
        <row r="387">
          <cell r="A387" t="str">
            <v>AP8069</v>
          </cell>
          <cell r="B387" t="str">
            <v>Cord Retention Bracket for NEMA rPDUs (AP8000 Series)</v>
          </cell>
          <cell r="C387" t="str">
            <v>-</v>
          </cell>
        </row>
        <row r="388">
          <cell r="A388" t="str">
            <v>AP8441</v>
          </cell>
          <cell r="B388" t="str">
            <v>Rack PDU 2G, Metered Plus, ZeroU, 30A, 200V, (21) C13 &amp; (3) C19</v>
          </cell>
          <cell r="C388" t="str">
            <v>-</v>
          </cell>
        </row>
        <row r="389">
          <cell r="A389" t="str">
            <v>AP8459WW</v>
          </cell>
          <cell r="B389" t="str">
            <v>Rack PDU 2G, Metered Plus, ZeroU, 16A, 100/200V, (21) C13 &amp; (3) C19</v>
          </cell>
          <cell r="C389" t="str">
            <v>-</v>
          </cell>
        </row>
        <row r="390">
          <cell r="A390" t="str">
            <v>AP8541X664</v>
          </cell>
          <cell r="B390" t="str">
            <v>Rack PDU, Basic, Zero U, 30A, 200V, (16) Locking C13</v>
          </cell>
          <cell r="C390" t="str">
            <v>-</v>
          </cell>
        </row>
        <row r="391">
          <cell r="A391" t="str">
            <v>AP8632</v>
          </cell>
          <cell r="B391" t="str">
            <v>Rack PDU 2G, Switched Plus, ZeroU, 30A, 100V, (24) 5-20R</v>
          </cell>
          <cell r="C391" t="str">
            <v>-</v>
          </cell>
        </row>
        <row r="392">
          <cell r="A392" t="str">
            <v>AP8641</v>
          </cell>
          <cell r="B392" t="str">
            <v>Rack PDU 2G, Switched Plus, ZeroU, 30A, 200/208V, (21) C13 &amp; (3) C19</v>
          </cell>
          <cell r="C392" t="str">
            <v>-</v>
          </cell>
        </row>
        <row r="393">
          <cell r="A393" t="str">
            <v>AP8659</v>
          </cell>
          <cell r="B393" t="str">
            <v>Rack PDU 2G, Metered by Outlet with Switching, ZeroU,20A/208V, 16A/230V, (21) C13 &amp; (3) C19</v>
          </cell>
          <cell r="C393" t="str">
            <v>-</v>
          </cell>
        </row>
        <row r="394">
          <cell r="A394" t="str">
            <v>AP8702R-WW</v>
          </cell>
          <cell r="B394" t="str">
            <v>Power Cord Kit (6 ea), Locking, C13 to C14 (90 Degree), 0.6m</v>
          </cell>
          <cell r="C394" t="str">
            <v>-</v>
          </cell>
        </row>
        <row r="395">
          <cell r="A395" t="str">
            <v>AP8702S-WW</v>
          </cell>
          <cell r="B395" t="str">
            <v>Power Cord Kit (6 ea), Locking, C13 to C14, 0.6m</v>
          </cell>
          <cell r="C395" t="str">
            <v>-</v>
          </cell>
        </row>
        <row r="396">
          <cell r="A396" t="str">
            <v>AP8702S-WWX340</v>
          </cell>
          <cell r="B396" t="str">
            <v>Power Cord Kit (6 ea), Locking, C13 to C14, 0.6m, Red</v>
          </cell>
          <cell r="C396" t="str">
            <v>-</v>
          </cell>
        </row>
        <row r="397">
          <cell r="A397" t="str">
            <v>AP8702S-WWX590</v>
          </cell>
          <cell r="B397" t="str">
            <v>Power Cord Kit (6 ea), Locking, C13 to C14, 0.6m, Blue</v>
          </cell>
          <cell r="C397" t="str">
            <v>-</v>
          </cell>
        </row>
        <row r="398">
          <cell r="A398" t="str">
            <v>AP8704R-WW</v>
          </cell>
          <cell r="B398" t="str">
            <v>Power Cord Kit (6 ea), Locking, C13 to C14 (90 Degree), 1.2m</v>
          </cell>
          <cell r="C398" t="str">
            <v>-</v>
          </cell>
        </row>
        <row r="399">
          <cell r="A399" t="str">
            <v>AP8704S-WW</v>
          </cell>
          <cell r="B399" t="str">
            <v>Power Cord Kit (6 ea), Locking, C13 to C14, 1.2m</v>
          </cell>
          <cell r="C399" t="str">
            <v>-</v>
          </cell>
        </row>
        <row r="400">
          <cell r="A400" t="str">
            <v>AP8704S-WWX340</v>
          </cell>
          <cell r="B400" t="str">
            <v>Power Cord Kit (6 ea), Locking, C13 to C14, 1.2m, Red</v>
          </cell>
          <cell r="C400" t="str">
            <v>-</v>
          </cell>
        </row>
        <row r="401">
          <cell r="A401" t="str">
            <v>AP8704S-WWX590</v>
          </cell>
          <cell r="B401" t="str">
            <v>Power Cord Kit (6 ea), Locking, C13 to C14, 1.2m, Blue</v>
          </cell>
          <cell r="C401" t="str">
            <v>-</v>
          </cell>
        </row>
        <row r="402">
          <cell r="A402" t="str">
            <v>AP8706R-WW</v>
          </cell>
          <cell r="B402" t="str">
            <v>Power Cord Kit (6 ea), Locking, C13 to C14 (90 Degree), 1.8m</v>
          </cell>
          <cell r="C402" t="str">
            <v>-</v>
          </cell>
        </row>
        <row r="403">
          <cell r="A403" t="str">
            <v>AP8706S-WW</v>
          </cell>
          <cell r="B403" t="str">
            <v>Power Cord Kit (6 ea), Locking, C13 to C14, 1.8m</v>
          </cell>
          <cell r="C403" t="str">
            <v>-</v>
          </cell>
        </row>
        <row r="404">
          <cell r="A404" t="str">
            <v>AP8706S-WWX340</v>
          </cell>
          <cell r="B404" t="str">
            <v>Power Cord Kit (6 ea), Locking, C13 to C14, 1.8m, Red</v>
          </cell>
          <cell r="C404" t="str">
            <v>-</v>
          </cell>
        </row>
        <row r="405">
          <cell r="A405" t="str">
            <v>AP8706S-WWX591</v>
          </cell>
          <cell r="B405" t="str">
            <v>Power Cord Kit (6 ea), Locking, C13 to C14, 1.8m, Blue</v>
          </cell>
          <cell r="C405" t="str">
            <v>-</v>
          </cell>
        </row>
        <row r="406">
          <cell r="A406" t="str">
            <v>AP8712R</v>
          </cell>
          <cell r="B406" t="str">
            <v>Power Cord Kit (6 ea), Locking, C19 to C20 (90 Degree), 0.6m</v>
          </cell>
          <cell r="C406" t="str">
            <v>-</v>
          </cell>
        </row>
        <row r="407">
          <cell r="A407" t="str">
            <v>AP8712S</v>
          </cell>
          <cell r="B407" t="str">
            <v>Power Cord Kit (6 ea), Locking, C19 to C20, 0.6m</v>
          </cell>
          <cell r="C407" t="str">
            <v>-</v>
          </cell>
        </row>
        <row r="408">
          <cell r="A408" t="str">
            <v>AP8714R</v>
          </cell>
          <cell r="B408" t="str">
            <v>Power Cord Kit (6 ea), Locking, C19 to C20 (90 Degree), 1.2m</v>
          </cell>
          <cell r="C408" t="str">
            <v>-</v>
          </cell>
        </row>
        <row r="409">
          <cell r="A409" t="str">
            <v>AP8714S</v>
          </cell>
          <cell r="B409" t="str">
            <v>Power Cord Kit (6 ea), Locking, C19 to C20, 1.2m</v>
          </cell>
          <cell r="C409" t="str">
            <v>-</v>
          </cell>
        </row>
        <row r="410">
          <cell r="A410" t="str">
            <v>AP8716R</v>
          </cell>
          <cell r="B410" t="str">
            <v>Power Cord Kit (6 ea), Locking, C19 to C20 (90 Degree), 1.8m</v>
          </cell>
          <cell r="C410" t="str">
            <v>-</v>
          </cell>
        </row>
        <row r="411">
          <cell r="A411" t="str">
            <v>AP8716S</v>
          </cell>
          <cell r="B411" t="str">
            <v>Power Cord Kit (6 ea), Locking, C19 to C20, 1.8m</v>
          </cell>
          <cell r="C411" t="str">
            <v>-</v>
          </cell>
        </row>
        <row r="412">
          <cell r="A412" t="str">
            <v>AP8717</v>
          </cell>
          <cell r="B412" t="str">
            <v>Power Cord Kit (6 EA), Locking 5-15R to C14, 0.25m</v>
          </cell>
          <cell r="C412" t="str">
            <v>-</v>
          </cell>
        </row>
        <row r="413">
          <cell r="A413" t="str">
            <v>AP8750</v>
          </cell>
          <cell r="B413" t="str">
            <v>Input Power Cord, Locking C19 to 5-15P, 3.0m</v>
          </cell>
          <cell r="C413" t="str">
            <v>-</v>
          </cell>
        </row>
        <row r="414">
          <cell r="A414" t="str">
            <v>AP8752J</v>
          </cell>
          <cell r="B414" t="str">
            <v>Input Power Cord, Locking C19 to L5-20P, 3.0m</v>
          </cell>
          <cell r="C414" t="str">
            <v>-</v>
          </cell>
        </row>
        <row r="415">
          <cell r="A415" t="str">
            <v>AP8753J</v>
          </cell>
          <cell r="B415" t="str">
            <v>Power Cord, Locking C19 to L6-20P, 3.0m</v>
          </cell>
          <cell r="C415" t="str">
            <v>-</v>
          </cell>
        </row>
        <row r="416">
          <cell r="A416" t="str">
            <v>AP8760</v>
          </cell>
          <cell r="B416" t="str">
            <v>Power Cord, Locking C19 to C20, 3.0m</v>
          </cell>
          <cell r="C416" t="str">
            <v>-</v>
          </cell>
        </row>
        <row r="417">
          <cell r="A417" t="str">
            <v>AP8830J</v>
          </cell>
          <cell r="B417" t="str">
            <v>Rack PDU 2G, Metered, ZeroU, 20A, 100V, (24) 5-20R</v>
          </cell>
          <cell r="C417" t="str">
            <v>-</v>
          </cell>
        </row>
        <row r="418">
          <cell r="A418" t="str">
            <v>AP8831</v>
          </cell>
          <cell r="B418" t="str">
            <v>Rack PDU 2G, Metered, ZeroU, 15A, 100V, (10) 5-15</v>
          </cell>
          <cell r="C418" t="str">
            <v>-</v>
          </cell>
        </row>
        <row r="419">
          <cell r="A419" t="str">
            <v>AP8832</v>
          </cell>
          <cell r="B419" t="str">
            <v>Rack PDU 2G, Metered, ZeroU, 30A, 100V, (24) 5-20R</v>
          </cell>
          <cell r="C419" t="str">
            <v>-</v>
          </cell>
        </row>
        <row r="420">
          <cell r="A420" t="str">
            <v>AP8832J</v>
          </cell>
          <cell r="B420" t="str">
            <v>Rack PDU 2G, Metered, ZeroU, 30A, 100V, (24) 5-15R Twist Lock</v>
          </cell>
          <cell r="C420" t="str">
            <v>-</v>
          </cell>
        </row>
        <row r="421">
          <cell r="A421" t="str">
            <v>AP8833J</v>
          </cell>
          <cell r="B421" t="str">
            <v>Rack PDU 2G, Metered, ZeroU, 20A, 100V, (10) 5-15R Twist Lock</v>
          </cell>
          <cell r="C421" t="str">
            <v>-</v>
          </cell>
        </row>
        <row r="422">
          <cell r="A422" t="str">
            <v>AP8841</v>
          </cell>
          <cell r="B422" t="str">
            <v>RACK PDU 2G, Metered, ZeroU, 30A, 200/208V, (36) C13 &amp; (6) C19</v>
          </cell>
          <cell r="C422" t="str">
            <v>-</v>
          </cell>
        </row>
        <row r="423">
          <cell r="A423" t="str">
            <v>AP8841X800</v>
          </cell>
          <cell r="B423" t="str">
            <v>Rack PDU 2G, Metered, ZeroU, 30A, 200V, (20) Locking C13 &amp; (4) Locking C19</v>
          </cell>
          <cell r="C423" t="str">
            <v>-</v>
          </cell>
        </row>
        <row r="424">
          <cell r="A424" t="str">
            <v>AP8858</v>
          </cell>
          <cell r="B424" t="str">
            <v>RACK PDU 2G, Metered, ZeroU, 20A/208V, 16A/230V, (18) C13 &amp; (2) C19</v>
          </cell>
          <cell r="C424" t="str">
            <v>-</v>
          </cell>
        </row>
        <row r="425">
          <cell r="A425" t="str">
            <v>AP8930J</v>
          </cell>
          <cell r="B425" t="str">
            <v>Rack PDU 2G, Switched, ZeroU, 20A, 100V, (24) 5-20R</v>
          </cell>
          <cell r="C425" t="str">
            <v>-</v>
          </cell>
        </row>
        <row r="426">
          <cell r="A426" t="str">
            <v>AP8931</v>
          </cell>
          <cell r="B426" t="str">
            <v>Rack PDU 2G, Switched, ZeroU, 15A, 100V, (8) 5-15</v>
          </cell>
          <cell r="C426" t="str">
            <v>-</v>
          </cell>
        </row>
        <row r="427">
          <cell r="A427" t="str">
            <v>AP8932</v>
          </cell>
          <cell r="B427" t="str">
            <v>Rack PDU 2G, Switched, ZeroU, 30A, 100V, (24) 5-20R</v>
          </cell>
          <cell r="C427" t="str">
            <v>-</v>
          </cell>
        </row>
        <row r="428">
          <cell r="A428" t="str">
            <v>AP8941</v>
          </cell>
          <cell r="B428" t="str">
            <v>Rack PDU 2G, Switched, ZeroU, 30A, 200/208V, (21) C13 &amp; (3) C19</v>
          </cell>
          <cell r="C428" t="str">
            <v>-</v>
          </cell>
        </row>
        <row r="429">
          <cell r="A429" t="str">
            <v>AP8958</v>
          </cell>
          <cell r="B429" t="str">
            <v>Rack PDU 2G, Switched, ZeroU, 20A/208V, 16A/230V, (7) C13 &amp; (1) C19</v>
          </cell>
          <cell r="C429" t="str">
            <v>-</v>
          </cell>
        </row>
        <row r="430">
          <cell r="A430" t="str">
            <v>AP8959</v>
          </cell>
          <cell r="B430" t="str">
            <v>Rack PDU 2G, Switched, ZeroU, 20A/208V, 16A/230V, (21) C13 &amp; (3) C19</v>
          </cell>
          <cell r="C430" t="str">
            <v>-</v>
          </cell>
        </row>
        <row r="431">
          <cell r="A431" t="str">
            <v>AP9562</v>
          </cell>
          <cell r="B431" t="str">
            <v>Rack PDU, Basic, 1U, 15A, 120V, (10)5-15</v>
          </cell>
          <cell r="C431" t="str">
            <v>-</v>
          </cell>
        </row>
        <row r="432">
          <cell r="A432" t="str">
            <v>AP9567</v>
          </cell>
          <cell r="B432" t="str">
            <v>Rack PDU, Basic, Zero U, 15A, 100/120V, (14) 5-15</v>
          </cell>
          <cell r="C432" t="str">
            <v>-</v>
          </cell>
        </row>
        <row r="433">
          <cell r="A433" t="str">
            <v>AP9569</v>
          </cell>
          <cell r="B433" t="str">
            <v>Cord Retention Bracket for Basic Rack PDUs</v>
          </cell>
          <cell r="C433" t="str">
            <v>-</v>
          </cell>
        </row>
        <row r="434">
          <cell r="A434" t="str">
            <v>AP9570</v>
          </cell>
          <cell r="B434" t="str">
            <v>Rack PDU, Basic, 1U, 30A, 208V, (4)C19s</v>
          </cell>
          <cell r="C434" t="str">
            <v>-</v>
          </cell>
        </row>
        <row r="435">
          <cell r="A435" t="str">
            <v>AP9571A</v>
          </cell>
          <cell r="B435" t="str">
            <v>Rack PDU, Basic, 1U, 30A, 200V, (10) C13</v>
          </cell>
          <cell r="C435" t="str">
            <v>-</v>
          </cell>
        </row>
        <row r="436">
          <cell r="A436" t="str">
            <v>RackAutomaticTransferSwitch(ATS)</v>
          </cell>
          <cell r="C436" t="str">
            <v>-</v>
          </cell>
        </row>
        <row r="437">
          <cell r="A437" t="str">
            <v>AP7752J</v>
          </cell>
          <cell r="B437" t="str">
            <v>Rack ATS, 100V, 20A, L5-20 In, (8) 5-15R Out</v>
          </cell>
          <cell r="C437" t="str">
            <v>-</v>
          </cell>
        </row>
        <row r="438">
          <cell r="A438" t="str">
            <v>AP7730</v>
          </cell>
          <cell r="B438" t="str">
            <v>Rack ATS, 200V, 20A, L6-20 In, (8) C13 (1) C19 Out</v>
          </cell>
          <cell r="C438" t="str">
            <v>-</v>
          </cell>
        </row>
        <row r="439">
          <cell r="A439" t="str">
            <v>AP7732</v>
          </cell>
          <cell r="B439" t="str">
            <v>Rack ATS, 2U, 200V, 30A, L6-30P In, (16)C13, (2)C19 Out</v>
          </cell>
          <cell r="C439" t="str">
            <v>-</v>
          </cell>
        </row>
        <row r="440">
          <cell r="A440" t="str">
            <v>AP7768</v>
          </cell>
          <cell r="B440" t="str">
            <v>Bracket Kit, Rear Rails, Rack ATS</v>
          </cell>
          <cell r="C440" t="str">
            <v>-</v>
          </cell>
        </row>
        <row r="441">
          <cell r="A441" t="str">
            <v>AP7769</v>
          </cell>
          <cell r="B441" t="str">
            <v>Cord Retention Bracket for Rack ATS</v>
          </cell>
          <cell r="C441" t="str">
            <v>-</v>
          </cell>
        </row>
        <row r="442">
          <cell r="A442" t="str">
            <v>KVMSwitch</v>
          </cell>
          <cell r="C442" t="str">
            <v>-</v>
          </cell>
        </row>
        <row r="443">
          <cell r="A443" t="str">
            <v>AP9224110</v>
          </cell>
          <cell r="B443" t="str">
            <v>APC 24 Port 10/100 Ethernet Switch</v>
          </cell>
          <cell r="C443" t="str">
            <v>-</v>
          </cell>
        </row>
        <row r="444">
          <cell r="A444" t="str">
            <v>AP5201</v>
          </cell>
          <cell r="B444" t="str">
            <v>APC 8 Port Multi-Platform Analog KVM</v>
          </cell>
          <cell r="C444" t="str">
            <v>-</v>
          </cell>
        </row>
        <row r="445">
          <cell r="A445" t="str">
            <v>AP5202</v>
          </cell>
          <cell r="B445" t="str">
            <v>APC 16 Port Multi-Platform Analog KVM</v>
          </cell>
          <cell r="C445" t="str">
            <v>-</v>
          </cell>
        </row>
        <row r="446">
          <cell r="A446" t="str">
            <v>AP5250</v>
          </cell>
          <cell r="B446" t="str">
            <v>APC KVM PS/2 Cable - 6 ft (1.8 m)</v>
          </cell>
          <cell r="C446" t="str">
            <v>-</v>
          </cell>
        </row>
        <row r="447">
          <cell r="A447" t="str">
            <v>AP5253</v>
          </cell>
          <cell r="B447" t="str">
            <v>APC KVM USB Cable - 6 ft (1.8 m)</v>
          </cell>
          <cell r="C447" t="str">
            <v>-</v>
          </cell>
        </row>
        <row r="448">
          <cell r="A448" t="str">
            <v>AP5254</v>
          </cell>
          <cell r="B448" t="str">
            <v>APC KVM PS/2 Cable - 12 ft (3.6 m)</v>
          </cell>
          <cell r="C448" t="str">
            <v>-</v>
          </cell>
        </row>
        <row r="449">
          <cell r="A449" t="str">
            <v>AP5257</v>
          </cell>
          <cell r="B449" t="str">
            <v>APC KVM USB Cable - 12 ft (3.6 m)</v>
          </cell>
          <cell r="C449" t="str">
            <v>-</v>
          </cell>
        </row>
        <row r="450">
          <cell r="A450" t="str">
            <v>AP5258</v>
          </cell>
          <cell r="B450" t="str">
            <v>APC KVM用PS/2ケーブル- 7.6 m</v>
          </cell>
          <cell r="C450" t="str">
            <v>-</v>
          </cell>
        </row>
        <row r="451">
          <cell r="A451" t="str">
            <v>AP5261</v>
          </cell>
          <cell r="B451" t="str">
            <v>APC KVM用USBケーブル- 7.6 m</v>
          </cell>
          <cell r="C451" t="str">
            <v>-</v>
          </cell>
        </row>
        <row r="452">
          <cell r="A452" t="str">
            <v>AP5262</v>
          </cell>
          <cell r="B452" t="str">
            <v>APC KVM Daisy-Chainケーブル - 0.6 m</v>
          </cell>
          <cell r="C452" t="str">
            <v>-</v>
          </cell>
        </row>
        <row r="453">
          <cell r="A453" t="str">
            <v>AP5263</v>
          </cell>
          <cell r="B453" t="str">
            <v>APC KVM Daisy-Chainケーブル - 1.8m</v>
          </cell>
          <cell r="C453" t="str">
            <v>-</v>
          </cell>
        </row>
        <row r="454">
          <cell r="A454" t="str">
            <v>AP5264</v>
          </cell>
          <cell r="B454" t="str">
            <v>APC KVM用PS/2ケーブル - 0.9m</v>
          </cell>
          <cell r="C454" t="str">
            <v>-</v>
          </cell>
        </row>
        <row r="455">
          <cell r="A455" t="str">
            <v>AP5641</v>
          </cell>
          <cell r="B455" t="str">
            <v>APC KVM to APC Switched Rack PDU パワー・マネジメント・ケーブル</v>
          </cell>
          <cell r="C455" t="str">
            <v>-</v>
          </cell>
        </row>
        <row r="456">
          <cell r="A456" t="str">
            <v>KVM1116P</v>
          </cell>
          <cell r="B456" t="str">
            <v>APC KVM 2G, Digital/IP,1 Remote User, 1 Local User,16 ports with Virtual Media</v>
          </cell>
          <cell r="C456" t="str">
            <v>-</v>
          </cell>
        </row>
        <row r="457">
          <cell r="A457" t="str">
            <v>KVM2116P</v>
          </cell>
          <cell r="B457" t="str">
            <v>APC KVM 2G, Enterprise Digital/IP, 2 Remote Users, 1 Local User, 16 ports with  Virtual Media</v>
          </cell>
          <cell r="C457" t="str">
            <v>-</v>
          </cell>
        </row>
        <row r="458">
          <cell r="A458" t="str">
            <v>KVM2132P</v>
          </cell>
          <cell r="B458" t="str">
            <v>APC KVM 2G, Enterprise Digital/IP, 2 Remote Users, 1 Local User, 32 ports with  Virtual Media</v>
          </cell>
          <cell r="C458" t="str">
            <v>-</v>
          </cell>
        </row>
        <row r="459">
          <cell r="A459" t="str">
            <v>KVM0108A</v>
          </cell>
          <cell r="B459" t="str">
            <v>APC KVM 2G, Analog, 1 Local User, 8 ports</v>
          </cell>
          <cell r="C459" t="str">
            <v>-</v>
          </cell>
        </row>
        <row r="460">
          <cell r="A460" t="str">
            <v>KVM0116A</v>
          </cell>
          <cell r="B460" t="str">
            <v>APC KVM 2G, Analog, 1 Local User, 16 ports</v>
          </cell>
          <cell r="C460" t="str">
            <v>-</v>
          </cell>
        </row>
        <row r="461">
          <cell r="A461" t="str">
            <v>KVM0216A</v>
          </cell>
          <cell r="B461" t="str">
            <v>APC KVM 2G, Enterprise Analog, 2 Local Users, 16 ports with Virtual Media</v>
          </cell>
          <cell r="C461" t="str">
            <v>-</v>
          </cell>
        </row>
        <row r="462">
          <cell r="A462" t="str">
            <v>KVM-PS2</v>
          </cell>
          <cell r="B462" t="str">
            <v>APC KVM 2G, Server Module, PS/2</v>
          </cell>
          <cell r="C462" t="str">
            <v>-</v>
          </cell>
        </row>
        <row r="463">
          <cell r="A463" t="str">
            <v>KVM-USB</v>
          </cell>
          <cell r="B463" t="str">
            <v>APC KVM 2G, Server Module, USB</v>
          </cell>
          <cell r="C463" t="str">
            <v>-</v>
          </cell>
        </row>
        <row r="464">
          <cell r="A464" t="str">
            <v>KVM-USBVM</v>
          </cell>
          <cell r="B464" t="str">
            <v>APC KVM 2G, Server Module, USB with Virtual Media</v>
          </cell>
          <cell r="C464" t="str">
            <v>-</v>
          </cell>
        </row>
        <row r="465">
          <cell r="A465" t="str">
            <v>KVM-PS2VM</v>
          </cell>
          <cell r="B465" t="str">
            <v>APC KVM 2G, Server Module, PS/2 with Virtual Media</v>
          </cell>
          <cell r="C465" t="str">
            <v>-</v>
          </cell>
        </row>
        <row r="466">
          <cell r="A466" t="str">
            <v>KVM-SERIAL</v>
          </cell>
          <cell r="B466" t="str">
            <v>APC KVM 2G, Server Module, Serial</v>
          </cell>
          <cell r="C466" t="str">
            <v>-</v>
          </cell>
        </row>
        <row r="467">
          <cell r="A467" t="str">
            <v>KVM-LCDMOUNT</v>
          </cell>
          <cell r="B467" t="str">
            <v>APC KVM 2G, LCD Rear Mounting Kit</v>
          </cell>
          <cell r="C467" t="str">
            <v>-</v>
          </cell>
        </row>
        <row r="468">
          <cell r="A468" t="str">
            <v>LCDMonitor/KeyboardDrawer</v>
          </cell>
          <cell r="C468" t="str">
            <v>-</v>
          </cell>
        </row>
        <row r="469">
          <cell r="A469" t="str">
            <v>AP5717J</v>
          </cell>
          <cell r="B469" t="str">
            <v>APC 17" Rack LCD Console - Japanese</v>
          </cell>
          <cell r="C469" t="str">
            <v>-</v>
          </cell>
        </row>
        <row r="470">
          <cell r="A470" t="str">
            <v>AP5717</v>
          </cell>
          <cell r="B470" t="str">
            <v>APC 17" Rack LCD Console - English (US)</v>
          </cell>
          <cell r="C470" t="str">
            <v>-</v>
          </cell>
        </row>
        <row r="471">
          <cell r="A471" t="str">
            <v>AP5719</v>
          </cell>
          <cell r="B471" t="str">
            <v>APC 19" Rack LCD Console - English (US)</v>
          </cell>
          <cell r="C471" t="str">
            <v>-</v>
          </cell>
        </row>
        <row r="472">
          <cell r="A472" t="str">
            <v>AP5808</v>
          </cell>
          <cell r="B472" t="str">
            <v>17" Rack LCD Console - English (US) with Integrated 8 Port Analog KVM Switch</v>
          </cell>
          <cell r="C472" t="str">
            <v>-</v>
          </cell>
        </row>
        <row r="473">
          <cell r="A473" t="str">
            <v>AP5816</v>
          </cell>
          <cell r="B473" t="str">
            <v>17" Rack LCD Console - English (US) with Integrated 16 Port Analog KVM Switch</v>
          </cell>
          <cell r="C473" t="str">
            <v>-</v>
          </cell>
        </row>
        <row r="474">
          <cell r="A474" t="str">
            <v>AP5821</v>
          </cell>
          <cell r="B474" t="str">
            <v>APC INTEGRATED LCD KVM USB CABLE - 6 FT (1.8m)</v>
          </cell>
          <cell r="C474" t="str">
            <v>-</v>
          </cell>
        </row>
        <row r="475">
          <cell r="A475" t="str">
            <v>AP5822</v>
          </cell>
          <cell r="B475" t="str">
            <v>APC INTEGRATED LCD KVM USB CABLE - 12 ft (3m)</v>
          </cell>
          <cell r="C475" t="str">
            <v>-</v>
          </cell>
        </row>
        <row r="476">
          <cell r="A476" t="str">
            <v>AP5823</v>
          </cell>
          <cell r="B476" t="str">
            <v>APC INTEGRATED LCD KVM USB CABLE - 25ft (6m)</v>
          </cell>
          <cell r="C476" t="str">
            <v>-</v>
          </cell>
        </row>
        <row r="477">
          <cell r="A477" t="str">
            <v>NetShelterＶX/ＳX/CX/WXAccessory</v>
          </cell>
          <cell r="C477" t="str">
            <v>-</v>
          </cell>
        </row>
        <row r="478">
          <cell r="A478" t="str">
            <v>ACF501</v>
          </cell>
          <cell r="B478" t="str">
            <v>NetShelter SX　600mm幅 天井ファン　100V</v>
          </cell>
          <cell r="C478" t="str">
            <v>-</v>
          </cell>
        </row>
        <row r="479">
          <cell r="A479" t="str">
            <v>ACF502</v>
          </cell>
          <cell r="B479" t="str">
            <v>NetShelter SX　600mm幅 天井ファン　200V</v>
          </cell>
          <cell r="C479" t="str">
            <v>-</v>
          </cell>
        </row>
        <row r="480">
          <cell r="A480" t="str">
            <v>ACF503</v>
          </cell>
          <cell r="B480" t="str">
            <v>NetShelter SX　750mm幅 天井ファン　100V</v>
          </cell>
          <cell r="C480" t="str">
            <v>-</v>
          </cell>
        </row>
        <row r="481">
          <cell r="A481" t="str">
            <v>ACF504</v>
          </cell>
          <cell r="B481" t="str">
            <v>NetShelter SX　750mm幅 天井ファン　200V</v>
          </cell>
          <cell r="C481" t="str">
            <v>-</v>
          </cell>
        </row>
        <row r="482">
          <cell r="A482" t="str">
            <v>AP9513</v>
          </cell>
          <cell r="B482" t="str">
            <v>Measure-UPS Switch Kit</v>
          </cell>
          <cell r="C482" t="str">
            <v>-</v>
          </cell>
        </row>
        <row r="483">
          <cell r="A483" t="str">
            <v>AR4000MV</v>
          </cell>
          <cell r="B483" t="str">
            <v>NetShelter CX Mini soundproofed Server Room in a Box Enclosure</v>
          </cell>
          <cell r="C483" t="str">
            <v>-</v>
          </cell>
        </row>
        <row r="484">
          <cell r="A484" t="str">
            <v>AR4000MV12U</v>
          </cell>
          <cell r="B484" t="str">
            <v xml:space="preserve">NetShelter CX Mini 12U Vertical Mounting Rail Kit </v>
          </cell>
          <cell r="C484" t="str">
            <v>-</v>
          </cell>
        </row>
        <row r="485">
          <cell r="A485" t="str">
            <v>AR4000MV-FR</v>
          </cell>
          <cell r="B485" t="str">
            <v xml:space="preserve">NetShelter CX Mini Fixed Rail Kit </v>
          </cell>
          <cell r="C485" t="str">
            <v>-</v>
          </cell>
        </row>
        <row r="486">
          <cell r="A486" t="str">
            <v>AR4703</v>
          </cell>
          <cell r="B486" t="str">
            <v>NetShelter CX Fan Booster Kit</v>
          </cell>
          <cell r="C486" t="str">
            <v>-</v>
          </cell>
        </row>
        <row r="487">
          <cell r="A487" t="str">
            <v>AR7202</v>
          </cell>
          <cell r="B487" t="str">
            <v>NetShelter SX-&gt;VX　天井アダプタ（750mmSX用）</v>
          </cell>
          <cell r="C487" t="str">
            <v>-</v>
          </cell>
        </row>
        <row r="488">
          <cell r="A488" t="str">
            <v>AR7203</v>
          </cell>
          <cell r="B488" t="str">
            <v>NetShelter SX-&gt;VX　天井アダプタ（600mmSX用）</v>
          </cell>
          <cell r="C488" t="str">
            <v>-</v>
          </cell>
        </row>
        <row r="489">
          <cell r="A489" t="str">
            <v>AR7209</v>
          </cell>
          <cell r="B489" t="str">
            <v>NetShelter SX 天井ブリッジ</v>
          </cell>
          <cell r="C489" t="str">
            <v>-</v>
          </cell>
        </row>
        <row r="490">
          <cell r="A490" t="str">
            <v>AR7252</v>
          </cell>
          <cell r="B490" t="str">
            <v>NetShelter SX 750mm Wide x 1070mm Deep Networking Roof</v>
          </cell>
          <cell r="C490" t="str">
            <v>-</v>
          </cell>
        </row>
        <row r="491">
          <cell r="A491" t="str">
            <v>AR7305A</v>
          </cell>
          <cell r="B491" t="str">
            <v>NetShelter SX 42U1070 Split FeedThrough Side PanelsBlack Qty 2</v>
          </cell>
          <cell r="C491" t="str">
            <v>-</v>
          </cell>
        </row>
        <row r="492">
          <cell r="A492" t="str">
            <v>AR7313</v>
          </cell>
          <cell r="B492" t="str">
            <v>NetShelter SX 42U1200 Split FeedThrough Side PanelsBlack Qty 2</v>
          </cell>
          <cell r="C492" t="str">
            <v>-</v>
          </cell>
        </row>
        <row r="493">
          <cell r="A493" t="str">
            <v>AR7314</v>
          </cell>
          <cell r="B493" t="str">
            <v>NetShelter SX 48U1200 Split FeedThrough Side PanelsBlack Qty 2</v>
          </cell>
          <cell r="C493" t="str">
            <v>-</v>
          </cell>
        </row>
        <row r="494">
          <cell r="A494" t="str">
            <v>AR7375</v>
          </cell>
          <cell r="B494" t="str">
            <v>NetShelter SX 48U1070 Split FeedThrough Side PanelsBlack Qty 2</v>
          </cell>
          <cell r="C494" t="str">
            <v>-</v>
          </cell>
        </row>
        <row r="495">
          <cell r="A495" t="str">
            <v>AR7502</v>
          </cell>
          <cell r="B495" t="str">
            <v>NetShelter SX 42U ケーブルチャネル</v>
          </cell>
          <cell r="C495" t="str">
            <v>-</v>
          </cell>
        </row>
        <row r="496">
          <cell r="A496" t="str">
            <v>AR7503</v>
          </cell>
          <cell r="B496" t="str">
            <v>NetShelter SX 42U 600mm幅　追加19"マウントレール</v>
          </cell>
          <cell r="C496" t="str">
            <v>-</v>
          </cell>
        </row>
        <row r="497">
          <cell r="A497" t="str">
            <v>AR7504</v>
          </cell>
          <cell r="B497" t="str">
            <v>NetShelter SX 48U 600mm幅　追加19"マウントレール</v>
          </cell>
          <cell r="C497" t="str">
            <v>-</v>
          </cell>
        </row>
        <row r="498">
          <cell r="A498" t="str">
            <v>AR7505</v>
          </cell>
          <cell r="B498" t="str">
            <v>NetShelter SX リアケーブルトレイ</v>
          </cell>
          <cell r="C498" t="str">
            <v>-</v>
          </cell>
        </row>
        <row r="499">
          <cell r="A499" t="str">
            <v>AR7508</v>
          </cell>
          <cell r="B499" t="str">
            <v>NetShelter SX 42U 750mm幅　追加19"マウントレール</v>
          </cell>
          <cell r="C499" t="str">
            <v>-</v>
          </cell>
        </row>
        <row r="500">
          <cell r="A500" t="str">
            <v>AR7511</v>
          </cell>
          <cell r="B500" t="str">
            <v>NetShelter SX, 42U  Narrow Vertical Cable Organizer</v>
          </cell>
          <cell r="C500" t="str">
            <v>-</v>
          </cell>
        </row>
        <row r="501">
          <cell r="A501" t="str">
            <v>AR7540</v>
          </cell>
          <cell r="B501" t="str">
            <v>Toolless Cable Management Rings (Qty 10)</v>
          </cell>
          <cell r="C501" t="str">
            <v>-</v>
          </cell>
        </row>
        <row r="502">
          <cell r="A502" t="str">
            <v>AR7540100</v>
          </cell>
          <cell r="B502" t="str">
            <v>Toolless Cable Management Rings (Qty 100)</v>
          </cell>
          <cell r="C502" t="str">
            <v>-</v>
          </cell>
        </row>
        <row r="503">
          <cell r="A503" t="str">
            <v>AR7572</v>
          </cell>
          <cell r="B503" t="str">
            <v>NetShelter SX 48U ケーブルチャネル</v>
          </cell>
          <cell r="C503" t="str">
            <v>-</v>
          </cell>
        </row>
        <row r="504">
          <cell r="A504" t="str">
            <v>AR7578</v>
          </cell>
          <cell r="B504" t="str">
            <v>NetShelter SX 48U 750mm幅　追加19"マウントレール</v>
          </cell>
          <cell r="C504" t="str">
            <v>-</v>
          </cell>
        </row>
        <row r="505">
          <cell r="A505" t="str">
            <v>AR7580A</v>
          </cell>
          <cell r="B505" t="str">
            <v>Vertical Cable Manager for NetShelter SX 750mm Wide 42U (Qty 2)</v>
          </cell>
          <cell r="C505" t="str">
            <v>-</v>
          </cell>
        </row>
        <row r="506">
          <cell r="A506" t="str">
            <v>AR7581A</v>
          </cell>
          <cell r="B506" t="str">
            <v>Hinged Covers for NetShelter SX 750mm Wide 42U Vertical Cable Manager (Qty 2)</v>
          </cell>
          <cell r="C506" t="str">
            <v>-</v>
          </cell>
        </row>
        <row r="507">
          <cell r="A507" t="str">
            <v>AR7582A</v>
          </cell>
          <cell r="B507" t="str">
            <v>Cable Retainer for NetShelter SX 750mm Wide Vertical Cable Managers (Qty 6)</v>
          </cell>
          <cell r="C507" t="str">
            <v>-</v>
          </cell>
        </row>
        <row r="508">
          <cell r="A508" t="str">
            <v>AR7585</v>
          </cell>
          <cell r="B508" t="str">
            <v>Vertical Cable Manager for NetShelter SX 750mm Wide 45U (Qty 2)</v>
          </cell>
          <cell r="C508" t="str">
            <v>-</v>
          </cell>
        </row>
        <row r="509">
          <cell r="A509" t="str">
            <v>AR7586</v>
          </cell>
          <cell r="B509" t="str">
            <v>Hinged Covers for NetShelter SX 750mm Wide 45U Vertical Cable Manager (Qty 2)</v>
          </cell>
          <cell r="C509" t="str">
            <v>-</v>
          </cell>
        </row>
        <row r="510">
          <cell r="A510" t="str">
            <v>AR7588</v>
          </cell>
          <cell r="B510" t="str">
            <v>Vertical Cable Manager for NetShelter SX 750mm Wide 48U (Qty 2)</v>
          </cell>
          <cell r="C510" t="str">
            <v>-</v>
          </cell>
        </row>
        <row r="511">
          <cell r="A511" t="str">
            <v>AR7589</v>
          </cell>
          <cell r="B511" t="str">
            <v>Hinged Covers for NetShelter SX 750mm Wide 48U Vertical Cable Manager (Qty 2)</v>
          </cell>
          <cell r="C511" t="str">
            <v>-</v>
          </cell>
        </row>
        <row r="512">
          <cell r="A512" t="str">
            <v>AR7600</v>
          </cell>
          <cell r="B512" t="str">
            <v>NetShelter 42U/48U24”連結用トリム</v>
          </cell>
          <cell r="C512" t="str">
            <v>-</v>
          </cell>
        </row>
        <row r="513">
          <cell r="A513" t="str">
            <v>AR7700</v>
          </cell>
          <cell r="B513" t="str">
            <v>NetShelter SX　スタビライザ</v>
          </cell>
          <cell r="C513" t="str">
            <v>-</v>
          </cell>
        </row>
        <row r="514">
          <cell r="A514" t="str">
            <v>AR7701</v>
          </cell>
          <cell r="B514" t="str">
            <v>NetShelter SX　アンカー固定用ブラケット</v>
          </cell>
          <cell r="C514" t="str">
            <v>-</v>
          </cell>
        </row>
        <row r="515">
          <cell r="A515" t="str">
            <v>AR7706</v>
          </cell>
          <cell r="B515" t="str">
            <v>NetShelter SX 750mm 19"マウンティングレール用ブラシストリップ</v>
          </cell>
          <cell r="C515" t="str">
            <v>-</v>
          </cell>
        </row>
        <row r="516">
          <cell r="A516" t="str">
            <v>AR7707</v>
          </cell>
          <cell r="B516" t="str">
            <v>NetShelter SX 750mm幅用ケーブルリング</v>
          </cell>
          <cell r="C516" t="str">
            <v>-</v>
          </cell>
        </row>
        <row r="517">
          <cell r="A517" t="str">
            <v>AR7708</v>
          </cell>
          <cell r="B517" t="str">
            <v>NetShelter SX 排気循環防止用キット</v>
          </cell>
          <cell r="C517" t="str">
            <v>-</v>
          </cell>
        </row>
        <row r="518">
          <cell r="A518" t="str">
            <v>AR7709</v>
          </cell>
          <cell r="B518" t="str">
            <v>NetShelter SX　架台取付用ブラケット</v>
          </cell>
          <cell r="C518" t="str">
            <v>-</v>
          </cell>
        </row>
        <row r="519">
          <cell r="A519" t="str">
            <v>AR7710</v>
          </cell>
          <cell r="B519" t="str">
            <v>ケーブル固定用ブラケット（PDU 取り付け可能） Qty.6</v>
          </cell>
          <cell r="C519" t="str">
            <v>-</v>
          </cell>
        </row>
        <row r="520">
          <cell r="A520" t="str">
            <v>AR7711</v>
          </cell>
          <cell r="B520" t="str">
            <v>NetShelter ０U アクセサリ　固定用ブラケット</v>
          </cell>
          <cell r="C520" t="str">
            <v>-</v>
          </cell>
        </row>
        <row r="521">
          <cell r="A521" t="str">
            <v>AR7714</v>
          </cell>
          <cell r="B521" t="str">
            <v>NetShelter SX 天板用ブラシストリップ</v>
          </cell>
          <cell r="C521" t="str">
            <v>-</v>
          </cell>
        </row>
        <row r="522">
          <cell r="A522" t="str">
            <v>AR7715</v>
          </cell>
          <cell r="B522" t="str">
            <v>NetShelter SX Side Air Flow Duct Kit</v>
          </cell>
          <cell r="C522" t="str">
            <v>-</v>
          </cell>
        </row>
        <row r="523">
          <cell r="A523" t="str">
            <v>AR7716</v>
          </cell>
          <cell r="B523" t="str">
            <v>NetShelter SX 750mm Wide x 1200mm Deep Networking Roof</v>
          </cell>
          <cell r="C523" t="str">
            <v>-</v>
          </cell>
        </row>
        <row r="524">
          <cell r="A524" t="str">
            <v>AR7717A</v>
          </cell>
          <cell r="B524" t="str">
            <v>Vertical Cable Manager for NetShelter SX Networking Enclosures (Qty 4)</v>
          </cell>
          <cell r="C524" t="str">
            <v>-</v>
          </cell>
        </row>
        <row r="525">
          <cell r="A525" t="str">
            <v>AR7720</v>
          </cell>
          <cell r="B525" t="str">
            <v>KoldLok® インテグラル  (Qty.10)</v>
          </cell>
          <cell r="C525" t="str">
            <v>-</v>
          </cell>
        </row>
        <row r="526">
          <cell r="A526" t="str">
            <v>AR7721</v>
          </cell>
          <cell r="B526" t="str">
            <v>Vertical Cable Manager for NetShelter SX 600mm Wide 42U (Qty 2)</v>
          </cell>
          <cell r="C526" t="str">
            <v>-</v>
          </cell>
        </row>
        <row r="527">
          <cell r="A527" t="str">
            <v>AR7722</v>
          </cell>
          <cell r="B527" t="str">
            <v>Vertical Cable Manager for NetShelter SX 600mm Wide 45U (Qty 2)</v>
          </cell>
          <cell r="C527" t="str">
            <v>-</v>
          </cell>
        </row>
        <row r="528">
          <cell r="A528" t="str">
            <v>AR7723</v>
          </cell>
          <cell r="B528" t="str">
            <v>Vertical Cable Manager for NetShelter SX 600mm Wide 48U (Qty 2)</v>
          </cell>
          <cell r="C528" t="str">
            <v>-</v>
          </cell>
        </row>
        <row r="529">
          <cell r="A529" t="str">
            <v>AR7725</v>
          </cell>
          <cell r="B529" t="str">
            <v>Side Airflow Duct Kit for Cisco Nexus® 7009, 750mm Wide Enclosures</v>
          </cell>
          <cell r="C529" t="str">
            <v>-</v>
          </cell>
        </row>
        <row r="530">
          <cell r="A530" t="str">
            <v>AR7730</v>
          </cell>
          <cell r="B530" t="str">
            <v>KoldLok® サーフェース (Qty.10)</v>
          </cell>
          <cell r="C530" t="str">
            <v>-</v>
          </cell>
        </row>
        <row r="531">
          <cell r="A531" t="str">
            <v>AR7737</v>
          </cell>
          <cell r="B531" t="str">
            <v>Vertical Cable Manager for NetShelter SX 48U Networking Enclosure (Qty 2)</v>
          </cell>
          <cell r="C531" t="str">
            <v>-</v>
          </cell>
        </row>
        <row r="532">
          <cell r="A532" t="str">
            <v>AR7742</v>
          </cell>
          <cell r="B532" t="str">
            <v>NetShelter SX 42U Duct Kit forCisco Nexus® 7018</v>
          </cell>
          <cell r="C532" t="str">
            <v>-</v>
          </cell>
        </row>
        <row r="533">
          <cell r="A533" t="str">
            <v>AR7747</v>
          </cell>
          <cell r="B533" t="str">
            <v>NetShelter SX 48U Duct Kit forCisco Nexus® 7018</v>
          </cell>
          <cell r="C533" t="str">
            <v>-</v>
          </cell>
        </row>
        <row r="534">
          <cell r="A534" t="str">
            <v>AR7751</v>
          </cell>
          <cell r="B534" t="str">
            <v>VED for 600mm Wide Short Range /Vertical Exhaust Duct Kit for SX Enclosure 600mm幅 垂直排気ダクト短め</v>
          </cell>
          <cell r="C534" t="str">
            <v>-</v>
          </cell>
        </row>
        <row r="535">
          <cell r="A535" t="str">
            <v>AR7752</v>
          </cell>
          <cell r="B535" t="str">
            <v>VED for 600mm Wide Tall Range / Vertical Exhaust Duct Kit for SX Enclosure 600mm幅 垂直排気ダクト長め</v>
          </cell>
          <cell r="C535" t="str">
            <v>-</v>
          </cell>
        </row>
        <row r="536">
          <cell r="A536" t="str">
            <v>AR7753</v>
          </cell>
          <cell r="B536" t="str">
            <v>VED for 750mm Wide Short Range / Vertical Exhaust Duct Kit for SX Enclosure 750mm幅 垂直排気ダクト短め</v>
          </cell>
          <cell r="C536" t="str">
            <v>-</v>
          </cell>
        </row>
        <row r="537">
          <cell r="A537" t="str">
            <v>AR7754</v>
          </cell>
          <cell r="B537" t="str">
            <v>VED for 750mm Wide Tall Range / Vertical Exhaust Duct Kit for SX Enclosure 750mm幅 垂直排気ダクト長め</v>
          </cell>
          <cell r="C537" t="str">
            <v>-</v>
          </cell>
        </row>
        <row r="538">
          <cell r="A538" t="str">
            <v>AR7755</v>
          </cell>
          <cell r="B538" t="str">
            <v>Overhead Cable Extension 600mm Wide / Vertical Exhaust Duct Kit for SX Enclosure  ケーブルエクステンション600mm幅</v>
          </cell>
          <cell r="C538" t="str">
            <v>-</v>
          </cell>
        </row>
        <row r="539">
          <cell r="A539" t="str">
            <v>AR7756</v>
          </cell>
          <cell r="B539" t="str">
            <v>Overhead Cable Extension 750mm Wide / Vertical Exhaust Duct Kit for SX Enclosure ケーブルエクステンション750mm幅</v>
          </cell>
          <cell r="C539" t="str">
            <v>-</v>
          </cell>
        </row>
        <row r="540">
          <cell r="A540" t="str">
            <v>AR8005</v>
          </cell>
          <cell r="B540" t="str">
            <v>#10-32 Hardware Kit</v>
          </cell>
          <cell r="C540" t="str">
            <v>-</v>
          </cell>
        </row>
        <row r="541">
          <cell r="A541" t="str">
            <v>AR8006A</v>
          </cell>
          <cell r="B541" t="str">
            <v>NetShelter 600mm幅用サポートレール</v>
          </cell>
          <cell r="C541" t="str">
            <v>-</v>
          </cell>
        </row>
        <row r="542">
          <cell r="A542" t="str">
            <v>AR8008BLK</v>
          </cell>
          <cell r="B542" t="str">
            <v>ロングサイドケーブルトラフ　470mm-775mm</v>
          </cell>
          <cell r="C542" t="str">
            <v>-</v>
          </cell>
        </row>
        <row r="543">
          <cell r="A543" t="str">
            <v>AR8016ABLK</v>
          </cell>
          <cell r="B543" t="str">
            <v>ショートサイドケーブルトラフ　320mm-500mm</v>
          </cell>
          <cell r="C543" t="str">
            <v>-</v>
          </cell>
        </row>
        <row r="544">
          <cell r="A544" t="str">
            <v>AR8100</v>
          </cell>
          <cell r="B544" t="str">
            <v>M6 Hardware Kit</v>
          </cell>
          <cell r="C544" t="str">
            <v>-</v>
          </cell>
        </row>
        <row r="545">
          <cell r="A545" t="str">
            <v>AR8101BLK</v>
          </cell>
          <cell r="B545" t="str">
            <v>Blanking Panel Kit Black</v>
          </cell>
          <cell r="C545" t="str">
            <v>-</v>
          </cell>
        </row>
        <row r="546">
          <cell r="A546" t="str">
            <v>AR8105BLK</v>
          </cell>
          <cell r="B546" t="str">
            <v>Cantilever Shelf Black</v>
          </cell>
          <cell r="C546" t="str">
            <v>-</v>
          </cell>
        </row>
        <row r="547">
          <cell r="A547" t="str">
            <v>AR8108BLK</v>
          </cell>
          <cell r="B547" t="str">
            <v>1U Blanking Panel Kit Black</v>
          </cell>
          <cell r="C547" t="str">
            <v>-</v>
          </cell>
        </row>
        <row r="548">
          <cell r="A548" t="str">
            <v>AR8112BLK</v>
          </cell>
          <cell r="B548" t="str">
            <v>Bolt-Down Bracket Kit Black</v>
          </cell>
          <cell r="C548" t="str">
            <v>-</v>
          </cell>
        </row>
        <row r="549">
          <cell r="A549" t="str">
            <v>AR8113A</v>
          </cell>
          <cell r="B549" t="str">
            <v>Cable Management Hoops</v>
          </cell>
          <cell r="C549" t="str">
            <v>-</v>
          </cell>
        </row>
        <row r="550">
          <cell r="A550" t="str">
            <v>AR8122BLK</v>
          </cell>
          <cell r="B550" t="str">
            <v>Fixed Shelf 114kg Black</v>
          </cell>
          <cell r="C550" t="str">
            <v>-</v>
          </cell>
        </row>
        <row r="551">
          <cell r="A551" t="str">
            <v>AR8123BLK</v>
          </cell>
          <cell r="B551" t="str">
            <v>Sliding Shelf 45kg  Black</v>
          </cell>
          <cell r="C551" t="str">
            <v>-</v>
          </cell>
        </row>
        <row r="552">
          <cell r="A552" t="str">
            <v>AR8126ABLK</v>
          </cell>
          <cell r="B552" t="str">
            <v>Keyboard Drawer 17inchキーボード用 Black</v>
          </cell>
          <cell r="C552" t="str">
            <v>-</v>
          </cell>
        </row>
        <row r="553">
          <cell r="A553" t="str">
            <v>AR8127BLK</v>
          </cell>
          <cell r="B553" t="str">
            <v>Rotating Keyboard Drawer 19inchキーボード用 Black</v>
          </cell>
          <cell r="C553" t="str">
            <v>-</v>
          </cell>
        </row>
        <row r="554">
          <cell r="A554" t="str">
            <v>AR8128BLK</v>
          </cell>
          <cell r="B554" t="str">
            <v>Sliding Shelf 91kg Black</v>
          </cell>
          <cell r="C554" t="str">
            <v>-</v>
          </cell>
        </row>
        <row r="555">
          <cell r="A555" t="str">
            <v>AR8129</v>
          </cell>
          <cell r="B555" t="str">
            <v>Cable Management Arm</v>
          </cell>
          <cell r="C555" t="str">
            <v>-</v>
          </cell>
        </row>
        <row r="556">
          <cell r="A556" t="str">
            <v>AR8132A</v>
          </cell>
          <cell r="B556" t="str">
            <v>3桁コンビネーションロックハンドル</v>
          </cell>
          <cell r="C556" t="str">
            <v>-</v>
          </cell>
        </row>
        <row r="557">
          <cell r="A557" t="str">
            <v>AR8136BLK</v>
          </cell>
          <cell r="B557" t="str">
            <v>1U 19" Toolless Blanking Panel - Qty 10</v>
          </cell>
          <cell r="C557" t="str">
            <v>-</v>
          </cell>
        </row>
        <row r="558">
          <cell r="A558" t="str">
            <v>AR8136BLK200</v>
          </cell>
          <cell r="B558" t="str">
            <v>1U 19" Toolless Blanking Panel－Qty 200</v>
          </cell>
          <cell r="C558" t="str">
            <v>-</v>
          </cell>
        </row>
        <row r="559">
          <cell r="A559" t="str">
            <v>AR8162ABLK</v>
          </cell>
          <cell r="B559" t="str">
            <v>データケーブル用シールドパーティション・ソリッドタイプ Black</v>
          </cell>
          <cell r="C559" t="str">
            <v>-</v>
          </cell>
        </row>
        <row r="560">
          <cell r="A560" t="str">
            <v>AR8163ABLK</v>
          </cell>
          <cell r="B560" t="str">
            <v>データケーブル用シールドパーティション・スルータイプ Black</v>
          </cell>
          <cell r="C560" t="str">
            <v>-</v>
          </cell>
        </row>
        <row r="561">
          <cell r="A561" t="str">
            <v>AR8164AKIT</v>
          </cell>
          <cell r="B561" t="str">
            <v>データケーブル用ラダー15cm</v>
          </cell>
          <cell r="C561" t="str">
            <v>-</v>
          </cell>
        </row>
        <row r="562">
          <cell r="A562" t="str">
            <v>AR8165AKIT</v>
          </cell>
          <cell r="B562" t="str">
            <v>電源ケーブル用ラダー30cm</v>
          </cell>
          <cell r="C562" t="str">
            <v>-</v>
          </cell>
        </row>
        <row r="563">
          <cell r="A563" t="str">
            <v>AR8166ABLK</v>
          </cell>
          <cell r="B563" t="str">
            <v>ラダー用フックキット</v>
          </cell>
          <cell r="C563" t="str">
            <v>-</v>
          </cell>
        </row>
        <row r="564">
          <cell r="A564" t="str">
            <v>AR8169</v>
          </cell>
          <cell r="B564" t="str">
            <v>ラダー用連結キット</v>
          </cell>
          <cell r="C564" t="str">
            <v>-</v>
          </cell>
        </row>
        <row r="565">
          <cell r="A565" t="str">
            <v>AR8172BLK</v>
          </cell>
          <cell r="B565" t="str">
            <v>データケーブル用シールドパーティション・ソリッドタイプ Wide Black</v>
          </cell>
          <cell r="C565" t="str">
            <v>-</v>
          </cell>
        </row>
        <row r="566">
          <cell r="A566" t="str">
            <v>AR8173BLK</v>
          </cell>
          <cell r="B566" t="str">
            <v>データケーブル用シールドパーティション・スルータイプ Wide Black</v>
          </cell>
          <cell r="C566" t="str">
            <v>-</v>
          </cell>
        </row>
        <row r="567">
          <cell r="A567" t="str">
            <v>AR8177BLK</v>
          </cell>
          <cell r="B567" t="str">
            <v>750mm Wide Partition Brackets</v>
          </cell>
          <cell r="C567" t="str">
            <v>-</v>
          </cell>
        </row>
        <row r="568">
          <cell r="A568" t="str">
            <v>AR8181BLK</v>
          </cell>
          <cell r="B568" t="str">
            <v>Power Cable Trough, NetShelter, 700mm Wide電源ケーブル用シールドトラフ（700mm SX用）</v>
          </cell>
          <cell r="C568" t="str">
            <v>-</v>
          </cell>
        </row>
        <row r="569">
          <cell r="A569" t="str">
            <v>AR8186</v>
          </cell>
          <cell r="B569" t="str">
            <v>Bracket Kit, Cable Ladder Elevation</v>
          </cell>
          <cell r="C569" t="str">
            <v>-</v>
          </cell>
        </row>
        <row r="570">
          <cell r="A570" t="str">
            <v>AR8187BLK</v>
          </cell>
          <cell r="B570" t="str">
            <v>Data Cable Partition, NetShelter, 700mm Wide, Solid データケーブル用シールドパーティション･ソリッドタイプ （700mmSX用）</v>
          </cell>
          <cell r="C570" t="str">
            <v>-</v>
          </cell>
        </row>
        <row r="571">
          <cell r="A571" t="str">
            <v>AR8188BLK</v>
          </cell>
          <cell r="B571" t="str">
            <v>Data Cable Partition, NetShelter, 700mm Wide, Pass-Through データケーブル用シールドパーティション・スルータイプ(700mm SX用)</v>
          </cell>
          <cell r="C571" t="str">
            <v>-</v>
          </cell>
        </row>
        <row r="572">
          <cell r="A572" t="str">
            <v>AR8190BLK</v>
          </cell>
          <cell r="B572" t="str">
            <v>他社ラック用ルーフアダプタ</v>
          </cell>
          <cell r="C572" t="str">
            <v>-</v>
          </cell>
        </row>
        <row r="573">
          <cell r="A573" t="str">
            <v>AR8355</v>
          </cell>
          <cell r="B573" t="str">
            <v>Wall-Mount Ventilation Plate</v>
          </cell>
          <cell r="C573" t="str">
            <v>-</v>
          </cell>
        </row>
        <row r="574">
          <cell r="A574" t="str">
            <v>AR8359</v>
          </cell>
          <cell r="B574" t="str">
            <v>NetShelter WX Caster Kit</v>
          </cell>
          <cell r="C574" t="str">
            <v>-</v>
          </cell>
        </row>
        <row r="575">
          <cell r="A575" t="str">
            <v>AR8417</v>
          </cell>
          <cell r="B575" t="str">
            <v>NetShelter 4Post Rack PDU Adapter Brackets</v>
          </cell>
          <cell r="C575" t="str">
            <v>-</v>
          </cell>
        </row>
        <row r="576">
          <cell r="A576" t="str">
            <v>AR8425A</v>
          </cell>
          <cell r="B576" t="str">
            <v>1U Horizontal Cable Organizer Black</v>
          </cell>
          <cell r="C576" t="str">
            <v>-</v>
          </cell>
        </row>
        <row r="577">
          <cell r="A577" t="str">
            <v>AR8426A</v>
          </cell>
          <cell r="B577" t="str">
            <v>2U Horizontal Cable Organizer Black</v>
          </cell>
          <cell r="C577" t="str">
            <v>-</v>
          </cell>
        </row>
        <row r="578">
          <cell r="A578" t="str">
            <v>AR8427A</v>
          </cell>
          <cell r="B578" t="str">
            <v>2U Patch Cord Organizer Black</v>
          </cell>
          <cell r="C578" t="str">
            <v>-</v>
          </cell>
        </row>
        <row r="579">
          <cell r="A579" t="str">
            <v>AR8428</v>
          </cell>
          <cell r="B579" t="str">
            <v>2U Horizontal Cable Organizer w/ Pass-Thru Black</v>
          </cell>
          <cell r="C579" t="str">
            <v>-</v>
          </cell>
        </row>
        <row r="580">
          <cell r="A580" t="str">
            <v>AR8429</v>
          </cell>
          <cell r="B580" t="str">
            <v>1U Cable Pass-Thru w/Brush Strip Black</v>
          </cell>
          <cell r="C580" t="str">
            <v>-</v>
          </cell>
        </row>
        <row r="581">
          <cell r="A581" t="str">
            <v>AR8442</v>
          </cell>
          <cell r="B581" t="str">
            <v>Vertical Cable Organizer for NetShelter VX Channel</v>
          </cell>
          <cell r="C581" t="str">
            <v>-</v>
          </cell>
        </row>
        <row r="582">
          <cell r="A582" t="str">
            <v>AR8444</v>
          </cell>
          <cell r="B582" t="str">
            <v>光ファイバー 用スプール  (Qty.4)</v>
          </cell>
          <cell r="C582" t="str">
            <v>-</v>
          </cell>
        </row>
        <row r="583">
          <cell r="A583" t="str">
            <v>AR8450A</v>
          </cell>
          <cell r="B583" t="str">
            <v>4 Post Open Frame Trough and Partition Adapter</v>
          </cell>
          <cell r="C583" t="str">
            <v>-</v>
          </cell>
        </row>
        <row r="584">
          <cell r="A584" t="str">
            <v>AR8461</v>
          </cell>
          <cell r="B584" t="str">
            <v>ラダーコーナークランプキット</v>
          </cell>
          <cell r="C584" t="str">
            <v>-</v>
          </cell>
        </row>
        <row r="585">
          <cell r="A585" t="str">
            <v>AR8462</v>
          </cell>
          <cell r="B585" t="str">
            <v>ラダーアングルクランプキット</v>
          </cell>
          <cell r="C585" t="str">
            <v>-</v>
          </cell>
        </row>
        <row r="586">
          <cell r="A586" t="str">
            <v>AR8463</v>
          </cell>
          <cell r="B586" t="str">
            <v>ラダー２段取り付けキット</v>
          </cell>
          <cell r="C586" t="str">
            <v>-</v>
          </cell>
        </row>
        <row r="587">
          <cell r="A587" t="str">
            <v>AR8465</v>
          </cell>
          <cell r="B587" t="str">
            <v>ラダーエンド壁取付キット</v>
          </cell>
          <cell r="C587" t="str">
            <v>-</v>
          </cell>
        </row>
        <row r="588">
          <cell r="A588" t="str">
            <v>AR8560</v>
          </cell>
          <cell r="B588" t="str">
            <v>Cable Trough, Open Bottom, 600mm</v>
          </cell>
          <cell r="C588" t="str">
            <v>-</v>
          </cell>
        </row>
        <row r="589">
          <cell r="A589" t="str">
            <v>AR8561</v>
          </cell>
          <cell r="B589" t="str">
            <v>Cable Trough, 600mm</v>
          </cell>
          <cell r="C589" t="str">
            <v>-</v>
          </cell>
        </row>
        <row r="590">
          <cell r="A590" t="str">
            <v>AR8567</v>
          </cell>
          <cell r="B590" t="str">
            <v>Trough End Cap &amp; T-Intersection Kit</v>
          </cell>
          <cell r="C590" t="str">
            <v>-</v>
          </cell>
        </row>
        <row r="591">
          <cell r="A591" t="str">
            <v>AR8570</v>
          </cell>
          <cell r="B591" t="str">
            <v>Cable Trough, Open Bottom, PDU 750mm</v>
          </cell>
          <cell r="C591" t="str">
            <v>-</v>
          </cell>
        </row>
        <row r="592">
          <cell r="A592" t="str">
            <v>AR8571</v>
          </cell>
          <cell r="B592" t="str">
            <v>Cable Trough, 750mm</v>
          </cell>
          <cell r="C592" t="str">
            <v>-</v>
          </cell>
        </row>
        <row r="593">
          <cell r="A593" t="str">
            <v>AR8574</v>
          </cell>
          <cell r="B593" t="str">
            <v>Perforated Cover, Cable Trough, 600mm</v>
          </cell>
          <cell r="C593" t="str">
            <v>-</v>
          </cell>
        </row>
        <row r="594">
          <cell r="A594" t="str">
            <v>AR8575</v>
          </cell>
          <cell r="B594" t="str">
            <v>Perforated Cover, Cable Trough, 750mm</v>
          </cell>
          <cell r="C594" t="str">
            <v>-</v>
          </cell>
        </row>
        <row r="595">
          <cell r="A595" t="str">
            <v>AR8576</v>
          </cell>
          <cell r="B595" t="str">
            <v>Trough Cable-Ladder Hanger Kit</v>
          </cell>
          <cell r="C595" t="str">
            <v>-</v>
          </cell>
        </row>
        <row r="596">
          <cell r="A596" t="str">
            <v>AR8579</v>
          </cell>
          <cell r="B596" t="str">
            <v>GROMMETS, ISX TROUGH</v>
          </cell>
          <cell r="C596" t="str">
            <v>-</v>
          </cell>
        </row>
        <row r="597">
          <cell r="A597" t="str">
            <v>AR8585</v>
          </cell>
          <cell r="B597" t="str">
            <v>Trough Adapter Kit for Nexus7018 ducts</v>
          </cell>
          <cell r="C597" t="str">
            <v>-</v>
          </cell>
        </row>
        <row r="598">
          <cell r="A598" t="str">
            <v>AR8600A</v>
          </cell>
          <cell r="B598" t="str">
            <v>Horizontal Cable Manager, 2U x 4" Deep, Single-Sided with Cover</v>
          </cell>
          <cell r="C598" t="str">
            <v>-</v>
          </cell>
        </row>
        <row r="599">
          <cell r="A599" t="str">
            <v>AR8602A</v>
          </cell>
          <cell r="B599" t="str">
            <v>Horizontal Cable Manager, 1U x 4" Deep, Single-Sided with Cover</v>
          </cell>
          <cell r="C599" t="str">
            <v>-</v>
          </cell>
        </row>
        <row r="600">
          <cell r="A600" t="str">
            <v>AR8603A</v>
          </cell>
          <cell r="B600" t="str">
            <v>Horizontal Cable Manager, 2U x 6" Deep with Cable Tie-off bottom plate, Single-Sided with Cover</v>
          </cell>
          <cell r="C600" t="str">
            <v>-</v>
          </cell>
        </row>
        <row r="601">
          <cell r="A601" t="str">
            <v>AR8605</v>
          </cell>
          <cell r="B601" t="str">
            <v>Horizontal Cable Manager, 3U x 6" Deep, Single-Sided with Cover</v>
          </cell>
          <cell r="C601" t="str">
            <v>-</v>
          </cell>
        </row>
        <row r="602">
          <cell r="A602" t="str">
            <v>AR8606</v>
          </cell>
          <cell r="B602" t="str">
            <v>Horizontal Cable Manager, 2U x 6" Deep, Single-Sided with Cover</v>
          </cell>
          <cell r="C602" t="str">
            <v>-</v>
          </cell>
        </row>
        <row r="603">
          <cell r="A603" t="str">
            <v>AR8612</v>
          </cell>
          <cell r="B603" t="str">
            <v>Horizontal Cable Manager, 1U x 6" Deep, Single-Sided with Cover</v>
          </cell>
          <cell r="C603" t="str">
            <v>-</v>
          </cell>
        </row>
        <row r="604">
          <cell r="A604" t="str">
            <v>AR8621</v>
          </cell>
          <cell r="B604" t="str">
            <v>Toolless Hook and Loop Cable Managers (Qty 10)</v>
          </cell>
          <cell r="C604" t="str">
            <v>-</v>
          </cell>
        </row>
        <row r="605">
          <cell r="A605" t="str">
            <v>AR8652</v>
          </cell>
          <cell r="B605" t="str">
            <v>Spacer Bracket for 4 Post Racks, 6" Wide (Qty 2)</v>
          </cell>
          <cell r="C605" t="str">
            <v>-</v>
          </cell>
        </row>
        <row r="606">
          <cell r="A606" t="str">
            <v>AR8654</v>
          </cell>
          <cell r="B606" t="str">
            <v>Cable Fall (radius drop) for NetShelter Racks, Enclosures, and Cable Ladders (Qty 2)</v>
          </cell>
          <cell r="C606" t="str">
            <v>-</v>
          </cell>
        </row>
        <row r="607">
          <cell r="A607" t="str">
            <v>AR8715</v>
          </cell>
          <cell r="B607" t="str">
            <v>Valueline, Vertical Cable Manager for 2 &amp; 4 Post Racks, 84"H X 6"W, Single-Sided with Door</v>
          </cell>
          <cell r="C607" t="str">
            <v>-</v>
          </cell>
        </row>
        <row r="608">
          <cell r="A608" t="str">
            <v>AR8725</v>
          </cell>
          <cell r="B608" t="str">
            <v>Valueline, Vertical Cable Manager for 2 &amp; 4 Post Racks, 84"H X 6"W, Double-Sided with Doors</v>
          </cell>
          <cell r="C608" t="str">
            <v>-</v>
          </cell>
        </row>
        <row r="609">
          <cell r="A609" t="str">
            <v>AR8765</v>
          </cell>
          <cell r="B609" t="str">
            <v>Valueline, Vertical Cable Manager for 2 &amp; 4 Post Racks, 84"H X 12"W, Single-Sided with Door</v>
          </cell>
          <cell r="C609" t="str">
            <v>-</v>
          </cell>
        </row>
        <row r="610">
          <cell r="A610" t="str">
            <v>AR8775</v>
          </cell>
          <cell r="B610" t="str">
            <v>Valueline, Vertical Cable Manager for 2 &amp; 4 Post Racks, 84"H X 12"W, Double-Sided with Doors</v>
          </cell>
          <cell r="C610" t="str">
            <v>-</v>
          </cell>
        </row>
        <row r="611">
          <cell r="A611" t="str">
            <v>Service</v>
          </cell>
          <cell r="C611" t="str">
            <v>-</v>
          </cell>
        </row>
        <row r="612">
          <cell r="A612" t="str">
            <v>WADVPLN1P-BU-01</v>
          </cell>
          <cell r="B612" t="str">
            <v>翌営業日オンサイトサービス更新時1年</v>
          </cell>
          <cell r="C612" t="str">
            <v>-</v>
          </cell>
        </row>
        <row r="613">
          <cell r="A613" t="str">
            <v>WADVPLN1P-SU-01</v>
          </cell>
          <cell r="B613" t="str">
            <v>翌営業日オンサイトサービス更新時1年</v>
          </cell>
          <cell r="C613" t="str">
            <v>製品保証期間内サービスの延長 1年</v>
          </cell>
        </row>
        <row r="614">
          <cell r="A614" t="str">
            <v>WADVPLN1P-SU-02</v>
          </cell>
          <cell r="B614" t="str">
            <v>翌営業日オンサイトサービス更新時1年</v>
          </cell>
          <cell r="C614" t="str">
            <v>製品保証期間内サービスの延長 1年</v>
          </cell>
        </row>
        <row r="615">
          <cell r="A615" t="str">
            <v>WADVPLN1P-SU-03</v>
          </cell>
          <cell r="B615" t="str">
            <v>翌営業日オンサイトサービス更新時1年</v>
          </cell>
          <cell r="C615" t="str">
            <v>製品保証期間内サービスの延長 1年</v>
          </cell>
        </row>
        <row r="616">
          <cell r="A616" t="str">
            <v>WADVPLN1P-SU-05</v>
          </cell>
          <cell r="B616" t="str">
            <v>翌営業日オンサイトサービス更新時1年</v>
          </cell>
          <cell r="C616" t="str">
            <v>製品保証期間内サービスの延長 1年</v>
          </cell>
        </row>
        <row r="617">
          <cell r="A617" t="str">
            <v>WADVPLN1P-SU-06</v>
          </cell>
          <cell r="B617" t="str">
            <v>翌営業日オンサイトサービス更新時1年</v>
          </cell>
          <cell r="C617" t="str">
            <v>-</v>
          </cell>
        </row>
        <row r="618">
          <cell r="A618" t="str">
            <v>WADVPLN1P-SU-07</v>
          </cell>
          <cell r="B618" t="str">
            <v>翌営業日オンサイトサービス更新時1年</v>
          </cell>
          <cell r="C618" t="str">
            <v>-</v>
          </cell>
        </row>
        <row r="619">
          <cell r="A619" t="str">
            <v>WADVPLN1P-SU-08</v>
          </cell>
          <cell r="B619" t="str">
            <v>翌営業日オンサイトサービス更新時1年</v>
          </cell>
          <cell r="C619" t="str">
            <v>-</v>
          </cell>
        </row>
        <row r="620">
          <cell r="A620" t="str">
            <v>WADVPLN1P-SY-06</v>
          </cell>
          <cell r="B620" t="str">
            <v>翌営業日オンサイトサービス更新時1年</v>
          </cell>
          <cell r="C620" t="str">
            <v>製品保証期間内サービスの延長 1年</v>
          </cell>
        </row>
        <row r="621">
          <cell r="A621" t="str">
            <v>WADVPLN1P-SY-07</v>
          </cell>
          <cell r="B621" t="str">
            <v>翌営業日オンサイトサービス更新時1年</v>
          </cell>
          <cell r="C621" t="str">
            <v>-</v>
          </cell>
        </row>
        <row r="622">
          <cell r="A622" t="str">
            <v>WADVPLN1P-SY-08</v>
          </cell>
          <cell r="B622" t="str">
            <v>翌営業日オンサイトサービス更新時1年</v>
          </cell>
          <cell r="C622" t="str">
            <v>-</v>
          </cell>
        </row>
        <row r="623">
          <cell r="A623" t="str">
            <v>WEXT1YR-BU-01</v>
          </cell>
          <cell r="B623" t="str">
            <v>製品保証延長サービス1年</v>
          </cell>
          <cell r="C623" t="str">
            <v>-</v>
          </cell>
        </row>
        <row r="624">
          <cell r="A624" t="str">
            <v>WEXT1YR-SU-01</v>
          </cell>
          <cell r="B624" t="str">
            <v>製品保証延長サービス1年</v>
          </cell>
          <cell r="C624" t="str">
            <v>製品保証期間内サービスの延長 1年</v>
          </cell>
        </row>
        <row r="625">
          <cell r="A625" t="str">
            <v>WEXT1YR-SU-02</v>
          </cell>
          <cell r="B625" t="str">
            <v>製品保証延長サービス1年</v>
          </cell>
          <cell r="C625" t="str">
            <v>製品保証期間内サービスの延長 1年</v>
          </cell>
        </row>
        <row r="626">
          <cell r="A626" t="str">
            <v>WEXT1YR-SU-03</v>
          </cell>
          <cell r="B626" t="str">
            <v>製品保証延長サービス1年</v>
          </cell>
          <cell r="C626" t="str">
            <v>製品保証期間内サービスの延長 1年</v>
          </cell>
        </row>
        <row r="627">
          <cell r="A627" t="str">
            <v>WEXT1YR-SU-05</v>
          </cell>
          <cell r="B627" t="str">
            <v>製品保証延長サービス1年</v>
          </cell>
          <cell r="C627" t="str">
            <v>製品保証期間内サービスの延長 1年</v>
          </cell>
        </row>
        <row r="628">
          <cell r="A628" t="str">
            <v>WEXT1YR-SU-06</v>
          </cell>
          <cell r="B628" t="str">
            <v>製品保証延長サービス1年</v>
          </cell>
          <cell r="C628" t="str">
            <v>-</v>
          </cell>
        </row>
        <row r="629">
          <cell r="A629" t="str">
            <v>WEXT1YR-SU-07</v>
          </cell>
          <cell r="B629" t="str">
            <v>製品保証延長サービス1年</v>
          </cell>
          <cell r="C629" t="str">
            <v>-</v>
          </cell>
        </row>
        <row r="630">
          <cell r="A630" t="str">
            <v>WEXT1YR-SU-08</v>
          </cell>
          <cell r="B630" t="str">
            <v>製品保証延長サービス1年</v>
          </cell>
          <cell r="C630" t="str">
            <v>-</v>
          </cell>
        </row>
        <row r="631">
          <cell r="A631" t="str">
            <v>WEXT1YR-SY-06</v>
          </cell>
          <cell r="B631" t="str">
            <v>製品保証延長サービス1年</v>
          </cell>
          <cell r="C631" t="str">
            <v>-</v>
          </cell>
        </row>
        <row r="632">
          <cell r="A632" t="str">
            <v>WEXT1YR-SY-07</v>
          </cell>
          <cell r="B632" t="str">
            <v>製品保証延長サービス1年</v>
          </cell>
          <cell r="C632" t="str">
            <v>-</v>
          </cell>
        </row>
        <row r="633">
          <cell r="A633" t="str">
            <v>WEXT1YR-SY-08</v>
          </cell>
          <cell r="B633" t="str">
            <v>製品保証延長サービス1年</v>
          </cell>
          <cell r="C633" t="str">
            <v>-</v>
          </cell>
        </row>
        <row r="634">
          <cell r="A634" t="str">
            <v>WEXT3YR-BU-01</v>
          </cell>
          <cell r="B634" t="str">
            <v>製品保証延長サービス3年</v>
          </cell>
          <cell r="C634" t="str">
            <v>-</v>
          </cell>
        </row>
        <row r="635">
          <cell r="A635" t="str">
            <v>WEXT3YR-SU-01</v>
          </cell>
          <cell r="B635" t="str">
            <v>製品保証延長サービス3年</v>
          </cell>
          <cell r="C635" t="str">
            <v>製品保証期間内サービスの延長 3年</v>
          </cell>
        </row>
        <row r="636">
          <cell r="A636" t="str">
            <v>WEXT3YR-SU-02</v>
          </cell>
          <cell r="B636" t="str">
            <v>製品保証延長サービス3年</v>
          </cell>
          <cell r="C636" t="str">
            <v>-</v>
          </cell>
        </row>
        <row r="637">
          <cell r="A637" t="str">
            <v>WEXT3YR-SU-03</v>
          </cell>
          <cell r="B637" t="str">
            <v>製品保証延長サービス3年</v>
          </cell>
          <cell r="C637" t="str">
            <v>-</v>
          </cell>
        </row>
        <row r="638">
          <cell r="A638" t="str">
            <v>WEXT3YR-SU-05</v>
          </cell>
          <cell r="B638" t="str">
            <v>製品保証延長サービス3年</v>
          </cell>
          <cell r="C638" t="str">
            <v>-</v>
          </cell>
        </row>
        <row r="639">
          <cell r="A639" t="str">
            <v>WEXT3YR-SU-06</v>
          </cell>
          <cell r="B639" t="str">
            <v>製品保証延長サービス3年</v>
          </cell>
          <cell r="C639" t="str">
            <v>-</v>
          </cell>
        </row>
        <row r="640">
          <cell r="A640" t="str">
            <v>WEXT3YR-SU-07</v>
          </cell>
          <cell r="B640" t="str">
            <v>製品保証延長サービス3年</v>
          </cell>
          <cell r="C640" t="str">
            <v>-</v>
          </cell>
        </row>
        <row r="641">
          <cell r="A641" t="str">
            <v>WEXT3YR-SU-08</v>
          </cell>
          <cell r="B641" t="str">
            <v>製品保証延長サービス3年</v>
          </cell>
          <cell r="C641" t="str">
            <v>-</v>
          </cell>
        </row>
        <row r="642">
          <cell r="A642" t="str">
            <v>WEXT3YR-SY-06</v>
          </cell>
          <cell r="B642" t="str">
            <v>製品保証延長サービス3年</v>
          </cell>
          <cell r="C642" t="str">
            <v>-</v>
          </cell>
        </row>
        <row r="643">
          <cell r="A643" t="str">
            <v>WEXT3YR-SY-07</v>
          </cell>
          <cell r="B643" t="str">
            <v>製品保証延長サービス3年</v>
          </cell>
          <cell r="C643" t="str">
            <v>-</v>
          </cell>
        </row>
        <row r="644">
          <cell r="A644" t="str">
            <v>WEXT3YR-SY-08</v>
          </cell>
          <cell r="B644" t="str">
            <v>製品保証延長サービス3年</v>
          </cell>
          <cell r="C644" t="str">
            <v>-</v>
          </cell>
        </row>
        <row r="645">
          <cell r="A645" t="str">
            <v>WEXWAR1Y-AC-01</v>
          </cell>
          <cell r="B645" t="str">
            <v>製品保証延長サービス1年</v>
          </cell>
          <cell r="C645" t="str">
            <v>製品保証期間内サービスの延長 1年</v>
          </cell>
        </row>
        <row r="646">
          <cell r="A646" t="str">
            <v>WEXWAR1Y-AC-02</v>
          </cell>
          <cell r="B646" t="str">
            <v>製品保証延長サービス1年</v>
          </cell>
          <cell r="C646" t="str">
            <v>-</v>
          </cell>
        </row>
        <row r="647">
          <cell r="A647" t="str">
            <v>WEXWAR1Y-AC-03</v>
          </cell>
          <cell r="B647" t="str">
            <v>製品保証延長サービス1年</v>
          </cell>
          <cell r="C647" t="str">
            <v>-</v>
          </cell>
        </row>
        <row r="648">
          <cell r="A648" t="str">
            <v>WEXWAR1Y-AC-04</v>
          </cell>
          <cell r="B648" t="str">
            <v>製品保証延長サービス1年</v>
          </cell>
          <cell r="C648" t="str">
            <v>-</v>
          </cell>
        </row>
        <row r="649">
          <cell r="A649" t="str">
            <v>WEXWAR1Y-AC-05</v>
          </cell>
          <cell r="B649" t="str">
            <v>製品保証延長サービス1年</v>
          </cell>
          <cell r="C649" t="str">
            <v>-</v>
          </cell>
        </row>
        <row r="650">
          <cell r="A650" t="str">
            <v>WOE1YR-AC-01</v>
          </cell>
          <cell r="B650" t="str">
            <v>翌営業日オンサイトサービス初年度1年</v>
          </cell>
          <cell r="C650" t="str">
            <v>翌営業日オンサイトサービス1年</v>
          </cell>
        </row>
        <row r="651">
          <cell r="A651" t="str">
            <v>WOE1YR-AC-02</v>
          </cell>
          <cell r="B651" t="str">
            <v>翌営業日オンサイトサービス初年度1年</v>
          </cell>
          <cell r="C651" t="str">
            <v>-</v>
          </cell>
        </row>
        <row r="652">
          <cell r="A652" t="str">
            <v>WOE1YR-AC-03</v>
          </cell>
          <cell r="B652" t="str">
            <v>翌営業日オンサイトサービス初年度1年</v>
          </cell>
          <cell r="C652" t="str">
            <v>-</v>
          </cell>
        </row>
        <row r="653">
          <cell r="A653" t="str">
            <v>WOE1YR-AC-04</v>
          </cell>
          <cell r="B653" t="str">
            <v>翌営業日オンサイトサービス初年度1年</v>
          </cell>
          <cell r="C653" t="str">
            <v>-</v>
          </cell>
        </row>
        <row r="654">
          <cell r="A654" t="str">
            <v>WOE1YR-AC-05</v>
          </cell>
          <cell r="B654" t="str">
            <v>翌営業日オンサイトサービス初年度1年</v>
          </cell>
          <cell r="C654" t="str">
            <v>-</v>
          </cell>
        </row>
        <row r="655">
          <cell r="A655" t="str">
            <v>WOE1YR-BU-01</v>
          </cell>
          <cell r="B655" t="str">
            <v>翌営業日オンサイトサービス初年度1年</v>
          </cell>
          <cell r="C655" t="str">
            <v>-</v>
          </cell>
        </row>
        <row r="656">
          <cell r="A656" t="str">
            <v>WOE1YR-SU-01</v>
          </cell>
          <cell r="B656" t="str">
            <v>翌営業日オンサイトサービス初年度1年</v>
          </cell>
          <cell r="C656" t="str">
            <v>翌営業日オンサイトサービス1年</v>
          </cell>
        </row>
        <row r="657">
          <cell r="A657" t="str">
            <v>WOE1YR-SU-02</v>
          </cell>
          <cell r="B657" t="str">
            <v>翌営業日オンサイトサービス初年度1年</v>
          </cell>
          <cell r="C657" t="str">
            <v>翌営業日オンサイトサービス1年</v>
          </cell>
        </row>
        <row r="658">
          <cell r="A658" t="str">
            <v>WOE1YR-SU-03</v>
          </cell>
          <cell r="B658" t="str">
            <v>翌営業日オンサイトサービス初年度1年</v>
          </cell>
          <cell r="C658" t="str">
            <v>-</v>
          </cell>
        </row>
        <row r="659">
          <cell r="A659" t="str">
            <v>WOE1YR-SU-05</v>
          </cell>
          <cell r="B659" t="str">
            <v>翌営業日オンサイトサービス初年度1年</v>
          </cell>
          <cell r="C659" t="str">
            <v>-</v>
          </cell>
        </row>
        <row r="660">
          <cell r="A660" t="str">
            <v>WOE1YR-SU-06</v>
          </cell>
          <cell r="B660" t="str">
            <v>翌営業日オンサイトサービス初年度1年</v>
          </cell>
          <cell r="C660" t="str">
            <v>-</v>
          </cell>
        </row>
        <row r="661">
          <cell r="A661" t="str">
            <v>WOE1YR-SU-07</v>
          </cell>
          <cell r="B661" t="str">
            <v>翌営業日オンサイトサービス初年度1年</v>
          </cell>
          <cell r="C661" t="str">
            <v>-</v>
          </cell>
        </row>
        <row r="662">
          <cell r="A662" t="str">
            <v>WOE1YR-SU-08</v>
          </cell>
          <cell r="B662" t="str">
            <v>翌営業日オンサイトサービス初年度1年</v>
          </cell>
          <cell r="C662" t="str">
            <v>-</v>
          </cell>
        </row>
        <row r="663">
          <cell r="A663" t="str">
            <v>WOE1YR-SY-06</v>
          </cell>
          <cell r="B663" t="str">
            <v>翌営業日オンサイトサービス初年度1年</v>
          </cell>
          <cell r="C663" t="str">
            <v>-</v>
          </cell>
        </row>
        <row r="664">
          <cell r="A664" t="str">
            <v>WOE1YR-SY-07</v>
          </cell>
          <cell r="B664" t="str">
            <v>翌営業日オンサイトサービス初年度1年</v>
          </cell>
          <cell r="C664" t="str">
            <v>-</v>
          </cell>
        </row>
        <row r="665">
          <cell r="A665" t="str">
            <v>WOE1YR-SY-08</v>
          </cell>
          <cell r="B665" t="str">
            <v>翌営業日オンサイトサービス初年度1年</v>
          </cell>
          <cell r="C665" t="str">
            <v>-</v>
          </cell>
        </row>
        <row r="666">
          <cell r="A666" t="str">
            <v>WOOWREP-BU-01</v>
          </cell>
          <cell r="B666" t="str">
            <v>交換品先出しスポットサービス</v>
          </cell>
          <cell r="C666" t="str">
            <v>-</v>
          </cell>
        </row>
        <row r="667">
          <cell r="A667" t="str">
            <v>WOOWREP-SU-01</v>
          </cell>
          <cell r="B667" t="str">
            <v>交換品先出しスポットサービス</v>
          </cell>
          <cell r="C667" t="str">
            <v>-</v>
          </cell>
        </row>
        <row r="668">
          <cell r="A668" t="str">
            <v>WOOWREP-SU-02</v>
          </cell>
          <cell r="B668" t="str">
            <v>交換品先出しスポットサービス</v>
          </cell>
          <cell r="C668" t="str">
            <v>-</v>
          </cell>
        </row>
        <row r="669">
          <cell r="A669" t="str">
            <v>WOOWREP-SU-03</v>
          </cell>
          <cell r="B669" t="str">
            <v>交換品先出しスポットサービス</v>
          </cell>
          <cell r="C669" t="str">
            <v>-</v>
          </cell>
        </row>
        <row r="670">
          <cell r="A670" t="str">
            <v>WOOWREP-SU-05</v>
          </cell>
          <cell r="B670" t="str">
            <v>交換品先出しスポットサービス</v>
          </cell>
          <cell r="C670" t="str">
            <v>-</v>
          </cell>
        </row>
        <row r="671">
          <cell r="A671" t="str">
            <v>WOOWREP-SU-06</v>
          </cell>
          <cell r="B671" t="str">
            <v>交換品先出しスポットサービス</v>
          </cell>
          <cell r="C671" t="str">
            <v>-</v>
          </cell>
        </row>
        <row r="672">
          <cell r="A672" t="str">
            <v>WOOWREP-SU-07</v>
          </cell>
          <cell r="B672" t="str">
            <v>交換品先出しスポットサービス</v>
          </cell>
          <cell r="C672" t="str">
            <v>-</v>
          </cell>
        </row>
        <row r="673">
          <cell r="A673" t="str">
            <v>WOOWREP-SU-08</v>
          </cell>
          <cell r="B673" t="str">
            <v>交換品先出しスポットサービス</v>
          </cell>
          <cell r="C673" t="str">
            <v>-</v>
          </cell>
        </row>
        <row r="674">
          <cell r="A674" t="str">
            <v>WOOWREP-SY-05</v>
          </cell>
          <cell r="B674" t="str">
            <v>交換品先出しスポットサービス</v>
          </cell>
          <cell r="C674" t="str">
            <v>-</v>
          </cell>
        </row>
        <row r="675">
          <cell r="A675" t="str">
            <v>WOOWREP-SY-06</v>
          </cell>
          <cell r="B675" t="str">
            <v>交換品先出しスポットサービス</v>
          </cell>
          <cell r="C675" t="str">
            <v>-</v>
          </cell>
        </row>
        <row r="676">
          <cell r="A676" t="str">
            <v>WOOWREP-SY-07</v>
          </cell>
          <cell r="B676" t="str">
            <v>交換品先出しスポットサービス</v>
          </cell>
          <cell r="C676" t="str">
            <v>-</v>
          </cell>
        </row>
        <row r="677">
          <cell r="A677" t="str">
            <v>WOOWREP-SY-08</v>
          </cell>
          <cell r="B677" t="str">
            <v>交換品先出しスポットサービス</v>
          </cell>
          <cell r="C677" t="str">
            <v>-</v>
          </cell>
        </row>
        <row r="678">
          <cell r="A678" t="str">
            <v>WOOWRO-BU-01</v>
          </cell>
          <cell r="B678" t="str">
            <v>オンサイトスポットサービス</v>
          </cell>
          <cell r="C678" t="str">
            <v>-</v>
          </cell>
        </row>
        <row r="679">
          <cell r="A679" t="str">
            <v>WOOWRO-SU-01</v>
          </cell>
          <cell r="B679" t="str">
            <v>オンサイトスポットサービス</v>
          </cell>
          <cell r="C679" t="str">
            <v>-</v>
          </cell>
        </row>
        <row r="680">
          <cell r="A680" t="str">
            <v>WOOWRO-SU-02</v>
          </cell>
          <cell r="B680" t="str">
            <v>オンサイトスポットサービス</v>
          </cell>
          <cell r="C680" t="str">
            <v>-</v>
          </cell>
        </row>
        <row r="681">
          <cell r="A681" t="str">
            <v>WOOWRO-SU-03</v>
          </cell>
          <cell r="B681" t="str">
            <v>オンサイトスポットサービス</v>
          </cell>
          <cell r="C681" t="str">
            <v>-</v>
          </cell>
        </row>
        <row r="682">
          <cell r="A682" t="str">
            <v>WOOWRO-SU-05</v>
          </cell>
          <cell r="B682" t="str">
            <v>オンサイトスポットサービス</v>
          </cell>
          <cell r="C682" t="str">
            <v>-</v>
          </cell>
        </row>
        <row r="683">
          <cell r="A683" t="str">
            <v>WOOWRO-SU-06</v>
          </cell>
          <cell r="B683" t="str">
            <v>オンサイトスポットサービス</v>
          </cell>
          <cell r="C683" t="str">
            <v>-</v>
          </cell>
        </row>
        <row r="684">
          <cell r="A684" t="str">
            <v>WOOWRO-SU-07</v>
          </cell>
          <cell r="B684" t="str">
            <v>オンサイトスポットサービス</v>
          </cell>
          <cell r="C684" t="str">
            <v>-</v>
          </cell>
        </row>
        <row r="685">
          <cell r="A685" t="str">
            <v>WOOWRO-SU-08</v>
          </cell>
          <cell r="B685" t="str">
            <v>オンサイトスポットサービス</v>
          </cell>
          <cell r="C685" t="str">
            <v>-</v>
          </cell>
        </row>
        <row r="686">
          <cell r="A686" t="str">
            <v>WOOWRO-SY-05</v>
          </cell>
          <cell r="B686" t="str">
            <v>オンサイトスポットサービス</v>
          </cell>
          <cell r="C686" t="str">
            <v>-</v>
          </cell>
        </row>
        <row r="687">
          <cell r="A687" t="str">
            <v>WOOWRO-SY-06</v>
          </cell>
          <cell r="B687" t="str">
            <v>オンサイトスポットサービス</v>
          </cell>
          <cell r="C687" t="str">
            <v>-</v>
          </cell>
        </row>
        <row r="688">
          <cell r="A688" t="str">
            <v>WOOWRO-SY-07</v>
          </cell>
          <cell r="B688" t="str">
            <v>オンサイトスポットサービス</v>
          </cell>
          <cell r="C688" t="str">
            <v>-</v>
          </cell>
        </row>
        <row r="689">
          <cell r="A689" t="str">
            <v>WOOWRO-SY-08</v>
          </cell>
          <cell r="B689" t="str">
            <v>オンサイトスポットサービス</v>
          </cell>
          <cell r="C689" t="str">
            <v>-</v>
          </cell>
        </row>
        <row r="690">
          <cell r="A690" t="str">
            <v>WPMV-SU-01</v>
          </cell>
          <cell r="B690" t="str">
            <v>予防保守サービス5x8</v>
          </cell>
          <cell r="C690" t="str">
            <v>-</v>
          </cell>
        </row>
        <row r="691">
          <cell r="A691" t="str">
            <v>WPMV-SU-02</v>
          </cell>
          <cell r="B691" t="str">
            <v>予防保守サービス5x8</v>
          </cell>
          <cell r="C691" t="str">
            <v>-</v>
          </cell>
        </row>
        <row r="692">
          <cell r="A692" t="str">
            <v>WPMV-SU-03</v>
          </cell>
          <cell r="B692" t="str">
            <v>予防保守サービス5x8</v>
          </cell>
          <cell r="C692" t="str">
            <v>-</v>
          </cell>
        </row>
        <row r="693">
          <cell r="A693" t="str">
            <v>WPMV-SU-05</v>
          </cell>
          <cell r="B693" t="str">
            <v>予防保守サービス5x8</v>
          </cell>
          <cell r="C693" t="str">
            <v>-</v>
          </cell>
        </row>
        <row r="694">
          <cell r="A694" t="str">
            <v>WPMV-SU-06</v>
          </cell>
          <cell r="B694" t="str">
            <v>予防保守サービス5x8</v>
          </cell>
          <cell r="C694" t="str">
            <v>-</v>
          </cell>
        </row>
        <row r="695">
          <cell r="A695" t="str">
            <v>WPMV-SU-07</v>
          </cell>
          <cell r="B695" t="str">
            <v>予防保守サービス5x8</v>
          </cell>
          <cell r="C695" t="str">
            <v>-</v>
          </cell>
        </row>
        <row r="696">
          <cell r="A696" t="str">
            <v>WPMV-SU-08</v>
          </cell>
          <cell r="B696" t="str">
            <v>予防保守サービス5x8</v>
          </cell>
          <cell r="C696" t="str">
            <v>-</v>
          </cell>
        </row>
        <row r="697">
          <cell r="A697" t="str">
            <v>WPMV-SY-06</v>
          </cell>
          <cell r="B697" t="str">
            <v>予防保守サービス5x8</v>
          </cell>
          <cell r="C697" t="str">
            <v>-</v>
          </cell>
        </row>
        <row r="698">
          <cell r="A698" t="str">
            <v>WPMV-SY-07</v>
          </cell>
          <cell r="B698" t="str">
            <v>予防保守サービス5x8</v>
          </cell>
          <cell r="C698" t="str">
            <v>-</v>
          </cell>
        </row>
        <row r="699">
          <cell r="A699" t="str">
            <v>WPMV-SY-08</v>
          </cell>
          <cell r="B699" t="str">
            <v>予防保守サービス5x8</v>
          </cell>
          <cell r="C699" t="str">
            <v>-</v>
          </cell>
        </row>
        <row r="700">
          <cell r="A700" t="str">
            <v>WSTRTUP-BU-01</v>
          </cell>
          <cell r="B700" t="str">
            <v>スタートアップサービス 5x8</v>
          </cell>
          <cell r="C700" t="str">
            <v>-</v>
          </cell>
        </row>
        <row r="701">
          <cell r="A701" t="str">
            <v>WSTRTUP-SU-01</v>
          </cell>
          <cell r="B701" t="str">
            <v>スタートアップサービス 5x8</v>
          </cell>
          <cell r="C701" t="str">
            <v>-</v>
          </cell>
        </row>
        <row r="702">
          <cell r="A702" t="str">
            <v>WSTRTUP-SU-02</v>
          </cell>
          <cell r="B702" t="str">
            <v>スタートアップサービス5x8</v>
          </cell>
          <cell r="C702" t="str">
            <v>-</v>
          </cell>
        </row>
        <row r="703">
          <cell r="A703" t="str">
            <v>WSTRTUP-SU-03</v>
          </cell>
          <cell r="B703" t="str">
            <v>スタートアップ サービス5x8</v>
          </cell>
          <cell r="C703" t="str">
            <v>-</v>
          </cell>
        </row>
        <row r="704">
          <cell r="A704" t="str">
            <v>WSTRTUP-SU-05</v>
          </cell>
          <cell r="B704" t="str">
            <v>スタートアップサービス 5x8</v>
          </cell>
          <cell r="C704" t="str">
            <v>-</v>
          </cell>
        </row>
        <row r="705">
          <cell r="A705" t="str">
            <v>WSTRTUP-SU-06</v>
          </cell>
          <cell r="B705" t="str">
            <v>スタートアップサービス 5x8</v>
          </cell>
          <cell r="C705" t="str">
            <v>-</v>
          </cell>
        </row>
        <row r="706">
          <cell r="A706" t="str">
            <v>WSTRTUP-SU-07</v>
          </cell>
          <cell r="B706" t="str">
            <v>スタートアップサービス 5x8</v>
          </cell>
          <cell r="C706" t="str">
            <v>-</v>
          </cell>
        </row>
        <row r="707">
          <cell r="A707" t="str">
            <v>WSTRTUP-SU-08</v>
          </cell>
          <cell r="B707" t="str">
            <v>スタートアップサービス 5x8</v>
          </cell>
          <cell r="C707" t="str">
            <v>-</v>
          </cell>
        </row>
        <row r="708">
          <cell r="A708" t="str">
            <v>WSTRTUP-SY-05</v>
          </cell>
          <cell r="B708" t="str">
            <v>スタートアップサービス 5x8</v>
          </cell>
          <cell r="C708" t="str">
            <v>-</v>
          </cell>
        </row>
        <row r="709">
          <cell r="A709" t="str">
            <v>WSTRTUP-SY-06</v>
          </cell>
          <cell r="B709" t="str">
            <v>スタートアップサービス 5x8</v>
          </cell>
          <cell r="C709" t="str">
            <v>-</v>
          </cell>
        </row>
        <row r="710">
          <cell r="A710" t="str">
            <v>WSTRTUP-SY-07</v>
          </cell>
          <cell r="B710" t="str">
            <v>スタートアップサービス 5x8</v>
          </cell>
          <cell r="C710" t="str">
            <v>-</v>
          </cell>
        </row>
        <row r="711">
          <cell r="A711" t="str">
            <v>WSTRTUP-SY-08</v>
          </cell>
          <cell r="B711" t="str">
            <v>スタートアップサービス 5x8</v>
          </cell>
          <cell r="C711" t="str">
            <v>-</v>
          </cell>
        </row>
        <row r="712">
          <cell r="A712" t="str">
            <v>WUPA</v>
          </cell>
          <cell r="B712" t="str">
            <v>時間外アップグレードサービス</v>
          </cell>
          <cell r="C712" t="str">
            <v>-</v>
          </cell>
        </row>
        <row r="713">
          <cell r="A713" t="str">
            <v>WUPG4HR-SU-00</v>
          </cell>
          <cell r="B713" t="str">
            <v>4時間以内オンサイトサービス7x24アップグレード</v>
          </cell>
          <cell r="C713" t="str">
            <v>保守アップグレード 当日4時間以内オンサイトサービス(7x24)</v>
          </cell>
        </row>
        <row r="714">
          <cell r="A714" t="str">
            <v>WUPG4HR-SU-11</v>
          </cell>
          <cell r="B714" t="str">
            <v>4時間以内オンサイトサービス7x24アップグレード</v>
          </cell>
          <cell r="C714" t="str">
            <v>保守アップグレード 当日4時間以内オンサイトサービス(7x24)</v>
          </cell>
        </row>
        <row r="715">
          <cell r="A715" t="str">
            <v>WUPG4HR-SU-22</v>
          </cell>
          <cell r="B715" t="str">
            <v>4時間以内オンサイトサービス7x24アップグレード</v>
          </cell>
          <cell r="C715" t="str">
            <v>保守アップグレード 当日4時間以内オンサイトサービス(7x24)</v>
          </cell>
        </row>
        <row r="716">
          <cell r="A716" t="str">
            <v>WUPG4HR-SY-00</v>
          </cell>
          <cell r="B716" t="str">
            <v>4時間以内オンサイトサービス7x24アップグレード</v>
          </cell>
          <cell r="C716" t="str">
            <v>保守アップグレード 当日4時間以内オンサイトサービス(7x24)</v>
          </cell>
        </row>
        <row r="717">
          <cell r="A717" t="str">
            <v>WUPG8HR7-SU-11</v>
          </cell>
          <cell r="B717" t="str">
            <v>翌日オンサイトサービス1年アップグレード</v>
          </cell>
          <cell r="C717" t="str">
            <v>-</v>
          </cell>
        </row>
        <row r="718">
          <cell r="A718" t="str">
            <v>WUPG8HR7-SU-22</v>
          </cell>
          <cell r="B718" t="str">
            <v>翌日オンサイトサービス1年アップグレード</v>
          </cell>
          <cell r="C718" t="str">
            <v>-</v>
          </cell>
        </row>
        <row r="719">
          <cell r="A719" t="str">
            <v>WUPG8HR7-SY-00</v>
          </cell>
          <cell r="B719" t="str">
            <v>翌日オンサイトサービス1年アップグレード</v>
          </cell>
          <cell r="C719" t="str">
            <v>-</v>
          </cell>
        </row>
        <row r="720">
          <cell r="A720" t="str">
            <v>WUPGPMV7-SU-00</v>
          </cell>
          <cell r="B720" t="str">
            <v>予防保守サービス7x24アップグレード（追加費用）</v>
          </cell>
          <cell r="C720" t="str">
            <v>-</v>
          </cell>
        </row>
        <row r="721">
          <cell r="A721" t="str">
            <v>WUPGPMV7-SU-11</v>
          </cell>
          <cell r="B721" t="str">
            <v>予防保守サービス7x24アップグレード（追加費用）</v>
          </cell>
          <cell r="C721" t="str">
            <v>-</v>
          </cell>
        </row>
        <row r="722">
          <cell r="A722" t="str">
            <v>WUPGPMV7-SU-22</v>
          </cell>
          <cell r="B722" t="str">
            <v>予防保守サービス7x24アップグレード（追加費用）</v>
          </cell>
          <cell r="C722" t="str">
            <v>-</v>
          </cell>
        </row>
        <row r="723">
          <cell r="A723" t="str">
            <v>WUPGPMV7-SY-00</v>
          </cell>
          <cell r="B723" t="str">
            <v>予防保守サービス7x24アップグレード（追加費用）</v>
          </cell>
          <cell r="C723" t="str">
            <v>-</v>
          </cell>
        </row>
        <row r="724">
          <cell r="A724" t="str">
            <v>WUPGSTUP7-BU-00</v>
          </cell>
          <cell r="B724" t="str">
            <v>スタートアップ7x24アップグレード（追加費用）</v>
          </cell>
          <cell r="C724" t="str">
            <v>-</v>
          </cell>
        </row>
        <row r="725">
          <cell r="A725" t="str">
            <v>WUPGSTUP7-SU-00</v>
          </cell>
          <cell r="B725" t="str">
            <v>スタートアップ7x24アップグレード（追加費用）</v>
          </cell>
          <cell r="C725" t="str">
            <v>-</v>
          </cell>
        </row>
        <row r="726">
          <cell r="A726" t="str">
            <v>WUPGSTUP7-SU-11</v>
          </cell>
          <cell r="B726" t="str">
            <v>スタートアップ7x24アップグレード（追加費用）</v>
          </cell>
          <cell r="C726" t="str">
            <v>-</v>
          </cell>
        </row>
        <row r="727">
          <cell r="A727" t="str">
            <v>WUPGSTUP7-SU-22</v>
          </cell>
          <cell r="B727" t="str">
            <v>スタートアップ7x24アップグレード（追加費用）</v>
          </cell>
          <cell r="C727" t="str">
            <v>-</v>
          </cell>
        </row>
        <row r="728">
          <cell r="A728" t="str">
            <v>WUPGSTUP7-SY-00</v>
          </cell>
          <cell r="B728" t="str">
            <v>スタートアップ7x24アップグレード（追加費用）</v>
          </cell>
          <cell r="C728" t="str">
            <v>-</v>
          </cell>
        </row>
        <row r="729">
          <cell r="A729" t="str">
            <v>WEXT1YR-SU013WPACK</v>
          </cell>
          <cell r="B729" t="str">
            <v>製品保証延長3年　サービスパック</v>
          </cell>
          <cell r="C729" t="str">
            <v>標準保証2年→3年への延長サービスパック（センドバック）</v>
          </cell>
        </row>
        <row r="730">
          <cell r="A730" t="str">
            <v>WEXT3YR-SU015WPACK</v>
          </cell>
          <cell r="B730" t="str">
            <v>製品保証延長5年　サービスパック</v>
          </cell>
          <cell r="C730" t="str">
            <v>標準保証2年→5年への延長サービスパック（センドバック）</v>
          </cell>
        </row>
        <row r="731">
          <cell r="A731" t="str">
            <v>WEXT4YR-SU016WPACK</v>
          </cell>
          <cell r="B731" t="str">
            <v>製品保証延長6年　サービスパック</v>
          </cell>
          <cell r="C731" t="str">
            <v>標準保証2年→6年への延長サービスパック（センドバック）</v>
          </cell>
        </row>
        <row r="732">
          <cell r="A732" t="str">
            <v>WOE3YR-SU-01-PACK</v>
          </cell>
          <cell r="B732" t="str">
            <v>翌営業日オンサイト3年　サービスパック</v>
          </cell>
          <cell r="C732" t="str">
            <v>翌営業日オンサイトサービス3年</v>
          </cell>
        </row>
        <row r="733">
          <cell r="A733" t="str">
            <v>WOE5YR-SU-01-PACK</v>
          </cell>
          <cell r="B733" t="str">
            <v>翌営業日オンサイト5年　サービスパック</v>
          </cell>
          <cell r="C733" t="str">
            <v>翌営業日オンサイトサービス5年</v>
          </cell>
        </row>
        <row r="734">
          <cell r="A734" t="str">
            <v>WOE6YR-SU-01-PACK</v>
          </cell>
          <cell r="B734" t="str">
            <v>翌営業日オンサイト6年　サービスパック</v>
          </cell>
          <cell r="C734" t="str">
            <v>翌営業日オンサイトサービス6年</v>
          </cell>
        </row>
        <row r="735">
          <cell r="A735" t="str">
            <v>WEXT1YR-SU023WPACK</v>
          </cell>
          <cell r="B735" t="str">
            <v>製品保証延長3年　サービスパック</v>
          </cell>
          <cell r="C735" t="str">
            <v>標準保証2年→3年への延長サービスパック（センドバック）</v>
          </cell>
        </row>
        <row r="736">
          <cell r="A736" t="str">
            <v>WEXT3YR-SU025WPACK</v>
          </cell>
          <cell r="B736" t="str">
            <v>製品保証延長5年　サービスパック</v>
          </cell>
          <cell r="C736" t="str">
            <v>標準保証2年→5年への延長サービスパック（センドバック）</v>
          </cell>
        </row>
        <row r="737">
          <cell r="A737" t="str">
            <v>WEXT4YR-SU026WPACK</v>
          </cell>
          <cell r="B737" t="str">
            <v>製品保証延長6年　サービスパック</v>
          </cell>
          <cell r="C737" t="str">
            <v>標準保証2年→6年への延長サービスパック（センドバック）</v>
          </cell>
        </row>
        <row r="738">
          <cell r="A738" t="str">
            <v>WOE3YR-SU-02-PACK</v>
          </cell>
          <cell r="B738" t="str">
            <v>翌営業日オンサイト3年　サービスパック</v>
          </cell>
          <cell r="C738" t="str">
            <v>翌営業日オンサイトサービス3年</v>
          </cell>
        </row>
        <row r="739">
          <cell r="A739" t="str">
            <v>WOE5YR-SU-02-PACK</v>
          </cell>
          <cell r="B739" t="str">
            <v>翌営業日オンサイト5年　サービスパック</v>
          </cell>
          <cell r="C739" t="str">
            <v>翌営業日オンサイトサービス5年</v>
          </cell>
        </row>
        <row r="740">
          <cell r="A740" t="str">
            <v>WOE6YR-SU-02-PACK</v>
          </cell>
          <cell r="B740" t="str">
            <v>翌営業日オンサイト6年　サービスパック</v>
          </cell>
          <cell r="C740" t="str">
            <v>翌営業日オンサイトサービス6年</v>
          </cell>
        </row>
        <row r="741">
          <cell r="A741" t="str">
            <v>WEXT1YR-SU033WPACK</v>
          </cell>
          <cell r="B741" t="str">
            <v>製品保証延長3年　サービスパック</v>
          </cell>
          <cell r="C741" t="str">
            <v>標準保証2年→3年への延長サービスパック（センドバック）</v>
          </cell>
        </row>
        <row r="742">
          <cell r="A742" t="str">
            <v>WEXT3YR-SU035WPACK</v>
          </cell>
          <cell r="B742" t="str">
            <v>製品保証延長5年　サービスパック</v>
          </cell>
          <cell r="C742" t="str">
            <v>標準保証2年→5年への延長サービスパック（センドバック）</v>
          </cell>
        </row>
        <row r="743">
          <cell r="A743" t="str">
            <v>WEXT4YR-SU036WPACK</v>
          </cell>
          <cell r="B743" t="str">
            <v>製品保証延長6年　サービスパック</v>
          </cell>
          <cell r="C743" t="str">
            <v>標準保証2年→6年への延長サービスパック（センドバック）</v>
          </cell>
        </row>
        <row r="744">
          <cell r="A744" t="str">
            <v>WOE3YR-SU-03-PACK</v>
          </cell>
          <cell r="B744" t="str">
            <v>翌営業日オンサイト3年　サービスパック</v>
          </cell>
          <cell r="C744" t="str">
            <v>翌営業日オンサイトサービス3年</v>
          </cell>
        </row>
        <row r="745">
          <cell r="A745" t="str">
            <v>WOE5YR-SU-03-PACK</v>
          </cell>
          <cell r="B745" t="str">
            <v>翌営業日オンサイト5年　サービスパック</v>
          </cell>
          <cell r="C745" t="str">
            <v>翌営業日オンサイトサービス5年</v>
          </cell>
        </row>
        <row r="746">
          <cell r="A746" t="str">
            <v>WOE6YR-SU-03-PACK</v>
          </cell>
          <cell r="B746" t="str">
            <v>翌営業日オンサイト6年　サービスパック</v>
          </cell>
          <cell r="C746" t="str">
            <v>翌営業日オンサイトサービス6年</v>
          </cell>
        </row>
        <row r="747">
          <cell r="A747" t="str">
            <v>WEXT1YR-SU053WPACK</v>
          </cell>
          <cell r="B747" t="str">
            <v>製品保証延長3年　サービスパック</v>
          </cell>
          <cell r="C747" t="str">
            <v>標準保証2年→3年への延長サービスパック（センドバック）</v>
          </cell>
        </row>
        <row r="748">
          <cell r="A748" t="str">
            <v>WEXT3YR-SU055WPACK</v>
          </cell>
          <cell r="B748" t="str">
            <v>製品保証延長5年　サービスパック</v>
          </cell>
          <cell r="C748" t="str">
            <v>標準保証2年→5年への延長サービスパック（センドバック）</v>
          </cell>
        </row>
        <row r="749">
          <cell r="A749" t="str">
            <v>WOE3YR-SU-05-PACK</v>
          </cell>
          <cell r="B749" t="str">
            <v>翌営業日オンサイト3年　サービスパック</v>
          </cell>
          <cell r="C749" t="str">
            <v>翌営業日オンサイトサービス3年</v>
          </cell>
        </row>
        <row r="750">
          <cell r="A750" t="str">
            <v>WOE5YR-SU-05-PACK</v>
          </cell>
          <cell r="B750" t="str">
            <v>翌営業日オンサイト5年　サービスパック</v>
          </cell>
          <cell r="C750" t="str">
            <v>翌営業日オンサイトサービス5年</v>
          </cell>
        </row>
        <row r="751">
          <cell r="A751" t="str">
            <v>WEXT1YR-SU063WPACK</v>
          </cell>
          <cell r="B751" t="str">
            <v>製品保証延長3年　サービスパック</v>
          </cell>
          <cell r="C751" t="str">
            <v>標準保証2年→3年への延長サービスパック（センドバック）</v>
          </cell>
        </row>
        <row r="752">
          <cell r="A752" t="str">
            <v>WEXT3YR-SU065WPACK</v>
          </cell>
          <cell r="B752" t="str">
            <v>製品保証延長5年　サービスパック</v>
          </cell>
          <cell r="C752" t="str">
            <v>標準保証2年→5年への延長サービスパック（センドバック）</v>
          </cell>
        </row>
        <row r="753">
          <cell r="A753" t="str">
            <v>WOE3YR-SU-06-PACK</v>
          </cell>
          <cell r="B753" t="str">
            <v>翌営業日オンサイト3年　サービスパック</v>
          </cell>
          <cell r="C753" t="str">
            <v>翌営業日オンサイトサービス3年</v>
          </cell>
        </row>
        <row r="754">
          <cell r="A754" t="str">
            <v>WOE5YR-SU-06-PACK</v>
          </cell>
          <cell r="B754" t="str">
            <v>翌営業日オンサイト5年　サービスパック</v>
          </cell>
          <cell r="C754" t="str">
            <v>翌営業日オンサイトサービス5年</v>
          </cell>
        </row>
        <row r="755">
          <cell r="A755" t="str">
            <v>BC745B</v>
          </cell>
          <cell r="B755" t="str">
            <v>3PAR 7200 OS Suite ベース使用権 woM</v>
          </cell>
          <cell r="C755" t="str">
            <v>HP 3PAR 7200 OS Suite ベース使用権 (メディアなし)</v>
          </cell>
        </row>
        <row r="756">
          <cell r="A756" t="str">
            <v>BC746A</v>
          </cell>
          <cell r="B756" t="str">
            <v>3PAR 7200 OS Suite ドライブ使用権</v>
          </cell>
          <cell r="C756" t="str">
            <v>ベース使用権１つとドライブ数分のドライブ使用権の購入が必要。
ドライブ使用権は、StoreServ 7200c では 48 台分まで購入可能、49 台目以降のドライブは 48 台分のドライブ使用権に含む。</v>
          </cell>
        </row>
        <row r="757">
          <cell r="A757" t="str">
            <v>BC747A</v>
          </cell>
          <cell r="B757" t="str">
            <v>3PAR 7200 Repli Suite ベース使用権</v>
          </cell>
          <cell r="C757" t="str">
            <v>HP 3PAR 7200 Replication Suite ベース使用権</v>
          </cell>
        </row>
        <row r="758">
          <cell r="A758" t="str">
            <v>BC748A</v>
          </cell>
          <cell r="B758" t="str">
            <v>3PAR 7200 Repli Suite ドライブ使用権</v>
          </cell>
          <cell r="C758" t="str">
            <v>ベース使用権１つとドライブ数分のドライブ使用権の購入が必要。
ドライブ使用権は、StoreServ 7200c では 48 台分まで購入可能、49 台目以降のドライブは 48 台分のドライブ使用権に含む。</v>
          </cell>
        </row>
        <row r="759">
          <cell r="A759" t="str">
            <v>BC751A</v>
          </cell>
          <cell r="B759" t="str">
            <v>3PAR 7200 Security Suite ベース使用権</v>
          </cell>
          <cell r="C759" t="str">
            <v>HP 3PAR 7200 Security Suite ベース使用権</v>
          </cell>
        </row>
        <row r="760">
          <cell r="A760" t="str">
            <v>BC752A</v>
          </cell>
          <cell r="B760" t="str">
            <v>3PAR 7200 Security Suite ドライブ使用権</v>
          </cell>
          <cell r="C760" t="str">
            <v>ベース使用権１つとドライブ数分のドライブ使用権の購入が必要。
ドライブ使用権は、StoreServ 7200c では 48 台分まで購入可能、49 台目以降のドライブは 48 台分のドライブ使用権に含む。</v>
          </cell>
        </row>
        <row r="761">
          <cell r="A761" t="str">
            <v>BC753A</v>
          </cell>
          <cell r="B761" t="str">
            <v>3PAR 7200 Virtual Copy ベース使用権</v>
          </cell>
          <cell r="C761" t="str">
            <v xml:space="preserve">HP 3PAR 7200 Virtual Copy ベース使用権 </v>
          </cell>
        </row>
        <row r="762">
          <cell r="A762" t="str">
            <v>BC754A</v>
          </cell>
          <cell r="B762" t="str">
            <v>3PAR 7200 Virtual Copy ドライブ使用権</v>
          </cell>
          <cell r="C762" t="str">
            <v>ベース使用権１つとドライブ数分のドライブ使用権の購入が必要。
ドライブ使用権は、StoreServ 7200c では 48 台分まで購入可能、49 台目以降のドライブは 48 台分のドライブ使用権に含む。</v>
          </cell>
        </row>
        <row r="763">
          <cell r="A763" t="str">
            <v>BC755A</v>
          </cell>
          <cell r="B763" t="str">
            <v>3PAR 7200 Remote Copy ベース使用権</v>
          </cell>
          <cell r="C763" t="str">
            <v>HP 3PAR 7200 Remote Copy ベース使用権</v>
          </cell>
        </row>
        <row r="764">
          <cell r="A764" t="str">
            <v>BC756A</v>
          </cell>
          <cell r="B764" t="str">
            <v>3PAR 7200 Remote Copy ドライブ使用権</v>
          </cell>
          <cell r="C764" t="str">
            <v>ベース使用権１つとドライブ数分のドライブ使用権の購入が必要。
ドライブ使用権は、StoreServ 7200c では 48 台分まで購入可能、49 台目以降のドライブは 48 台分のドライブ使用権に含む。</v>
          </cell>
        </row>
        <row r="765">
          <cell r="A765" t="str">
            <v>BC757A</v>
          </cell>
          <cell r="B765" t="str">
            <v>3PAR 7200 Dynamic Opt ベース使用権</v>
          </cell>
          <cell r="C765" t="str">
            <v>HP 3PAR 7200 Dynamic Opt ベース使用権</v>
          </cell>
        </row>
        <row r="766">
          <cell r="A766" t="str">
            <v>BC758A</v>
          </cell>
          <cell r="B766" t="str">
            <v>3PAR 7200 Dynamic Opt ドライブ使用権</v>
          </cell>
          <cell r="C766" t="str">
            <v>ベース使用権１つとドライブ数分のドライブ使用権の購入が必要。
ドライブ使用権は、StoreServ 7200c では 48 台分まで購入可能、49 台目以降のドライブは 48 台分のドライブ使用権に含む。</v>
          </cell>
        </row>
        <row r="767">
          <cell r="A767" t="str">
            <v>BC759A</v>
          </cell>
          <cell r="B767" t="str">
            <v>3PAR 7200 Adaptive Opt ベース使用権</v>
          </cell>
          <cell r="C767" t="str">
            <v>HP 3PAR 7200 Adaptive Opt ベース使用権</v>
          </cell>
        </row>
        <row r="768">
          <cell r="A768" t="str">
            <v>BC760A</v>
          </cell>
          <cell r="B768" t="str">
            <v>3PAR 7200 Adaptive Opt ドライブ使用権</v>
          </cell>
          <cell r="C768" t="str">
            <v>ベース使用権１つとドライブ数分のドライブ使用権の購入が必要。
ドライブ使用権は、StoreServ 7200c では 48 台分まで購入可能、49 台目以降のドライブは 48 台分のドライブ使用権に含む。</v>
          </cell>
        </row>
        <row r="769">
          <cell r="A769" t="str">
            <v>BC761A</v>
          </cell>
          <cell r="B769" t="str">
            <v>3PAR 7200 Peer Motion ベース使用権</v>
          </cell>
          <cell r="C769" t="str">
            <v xml:space="preserve">HP 3PAR 7200 Peer Motion ベース使用権 </v>
          </cell>
        </row>
        <row r="770">
          <cell r="A770" t="str">
            <v>BC762A</v>
          </cell>
          <cell r="B770" t="str">
            <v>3PAR 7200 Peer Motion ドライブ使用権</v>
          </cell>
          <cell r="C770" t="str">
            <v>ベース使用権１つとドライブ数分のドライブ使用権の購入が必要。
ドライブ使用権は、StoreServ 7200c では 48 台分まで購入可能、49 台目以降のドライブは 48 台分のドライブ使用権に含む。</v>
          </cell>
        </row>
        <row r="771">
          <cell r="A771" t="str">
            <v>BC763A</v>
          </cell>
          <cell r="B771" t="str">
            <v>3PAR 7200 Virtual Domains ベース使用権</v>
          </cell>
          <cell r="C771" t="str">
            <v xml:space="preserve">HP 3PAR 7200 Virtual Domains ベース使用権 </v>
          </cell>
        </row>
        <row r="772">
          <cell r="A772" t="str">
            <v>BC764A</v>
          </cell>
          <cell r="B772" t="str">
            <v>3PAR 7200 Virtual Domains ドライブ使用権</v>
          </cell>
          <cell r="C772" t="str">
            <v>ベース使用権１つとドライブ数分のドライブ使用権の購入が必要。
ドライブ使用権は、StoreServ 7200c では 48 台分まで購入可能、49 台目以降のドライブは 48 台分のドライブ使用権に含む。</v>
          </cell>
        </row>
        <row r="773">
          <cell r="A773" t="str">
            <v>BC765A</v>
          </cell>
          <cell r="B773" t="str">
            <v>3PAR 7200 Virtual Lock ベース使用権</v>
          </cell>
          <cell r="C773" t="str">
            <v xml:space="preserve">HP 3PAR 7200 Virtual Lock ベース使用権 </v>
          </cell>
        </row>
        <row r="774">
          <cell r="A774" t="str">
            <v>BC766A</v>
          </cell>
          <cell r="B774" t="str">
            <v>3PAR 7200 Virtual Lock ドライブ使用権</v>
          </cell>
          <cell r="C774" t="str">
            <v>ベース使用権１つとドライブ数分のドライブ使用権の購入が必要。
ドライブ使用権は、StoreServ 7200c では 48 台分まで購入可能、49 台目以降のドライブは 48 台分のドライブ使用権に含む。</v>
          </cell>
        </row>
        <row r="775">
          <cell r="A775" t="str">
            <v>BC767B</v>
          </cell>
          <cell r="B775" t="str">
            <v>3PAR 7200 Reporting Suite 使用権 woM</v>
          </cell>
          <cell r="C775" t="str">
            <v xml:space="preserve">HP 3PAR 7200 Reporting Suite 使用権 (メディアなし) </v>
          </cell>
        </row>
        <row r="776">
          <cell r="A776" t="str">
            <v>BC769B</v>
          </cell>
          <cell r="B776" t="str">
            <v>3PAR 7200 App St for Exchange 使用権 woM</v>
          </cell>
          <cell r="C776" t="str">
            <v>HP 3PAR 7200 App Suite for Exchange 使用権 (メディアなし)</v>
          </cell>
        </row>
        <row r="777">
          <cell r="A777" t="str">
            <v>BC771B</v>
          </cell>
          <cell r="B777" t="str">
            <v>3PAR 7200 App St for Oracle 使用権 woM</v>
          </cell>
          <cell r="C777" t="str">
            <v xml:space="preserve">HP 3PAR 7200 App Suite for Oracle 使用権 (メディアなし) </v>
          </cell>
        </row>
        <row r="778">
          <cell r="A778" t="str">
            <v>BC773B</v>
          </cell>
          <cell r="B778" t="str">
            <v>3PAR 7400 OS Suite ベース使用権 woM</v>
          </cell>
          <cell r="C778" t="str">
            <v xml:space="preserve">HP 3PAR 7400 OS Suite ベース使用権(メディアなし) </v>
          </cell>
        </row>
        <row r="779">
          <cell r="A779" t="str">
            <v>BC774A</v>
          </cell>
          <cell r="B779" t="str">
            <v>3PAR 7400 OS Suite ドライブ使用権</v>
          </cell>
          <cell r="C779" t="str">
            <v>ベース使用権１つとドライブ数分のドライブ使用権の購入が必要。
ドライブ使用権は、StoreServ 7400c では 168 台分まで購入可能で、169 台目以降のドライブは 168 台分のドライブ使用権に含む。</v>
          </cell>
        </row>
        <row r="780">
          <cell r="A780" t="str">
            <v>BC775A</v>
          </cell>
          <cell r="B780" t="str">
            <v>3PAR 7400 Repli Suite ベース使用権</v>
          </cell>
          <cell r="C780" t="str">
            <v xml:space="preserve">HP 3PAR 7400 Replication Suite ベース使用権 </v>
          </cell>
        </row>
        <row r="781">
          <cell r="A781" t="str">
            <v>BC776A</v>
          </cell>
          <cell r="B781" t="str">
            <v>3PAR 7400 Repli Suite ドライブ使用権</v>
          </cell>
          <cell r="C781" t="str">
            <v>ベース使用権１つとドライブ数分のドライブ使用権の購入が必要。
ドライブ使用権は、StoreServ 7400c では 168 台分まで購入可能で、169 台目以降のドライブは 168 台分のドライブ使用権に含む。</v>
          </cell>
        </row>
        <row r="782">
          <cell r="A782" t="str">
            <v>BC779A</v>
          </cell>
          <cell r="B782" t="str">
            <v>3PAR 7400 Security Suite ベース使用権</v>
          </cell>
          <cell r="C782" t="str">
            <v>HP 3PAR 7400 Security Suite ベース使用権</v>
          </cell>
        </row>
        <row r="783">
          <cell r="A783" t="str">
            <v>BC780A</v>
          </cell>
          <cell r="B783" t="str">
            <v>3PAR 7400 Security Suite ドライブ使用権</v>
          </cell>
          <cell r="C783" t="str">
            <v>ベース使用権１つとドライブ数分のドライブ使用権の購入が必要。
ドライブ使用権は、StoreServ 7400c では 168 台分まで購入可能で、169 台目以降のドライブは 168 台分のドライブ使用権に含む。</v>
          </cell>
        </row>
        <row r="784">
          <cell r="A784" t="str">
            <v>BC781A</v>
          </cell>
          <cell r="B784" t="str">
            <v>3PAR 7400 Virtual Copy ベース使用権</v>
          </cell>
          <cell r="C784" t="str">
            <v>HP 3PAR 7400 Virtual Copy ベース使用権</v>
          </cell>
        </row>
        <row r="785">
          <cell r="A785" t="str">
            <v>BC782A</v>
          </cell>
          <cell r="B785" t="str">
            <v>3PAR 7400 Virtual Copy ドライブ使用権</v>
          </cell>
          <cell r="C785" t="str">
            <v>ベース使用権１つとドライブ数分のドライブ使用権の購入が必要。
ドライブ使用権は、StoreServ 7400c では 168 台分まで購入可能で、169 台目以降のドライブは 168 台分のドライブ使用権に含む。</v>
          </cell>
        </row>
        <row r="786">
          <cell r="A786" t="str">
            <v>BC783A</v>
          </cell>
          <cell r="B786" t="str">
            <v>3PAR 7400 Remote Copy ベース使用権</v>
          </cell>
          <cell r="C786" t="str">
            <v>HP 3PAR 7400 Remote Copy ベース使用権</v>
          </cell>
        </row>
        <row r="787">
          <cell r="A787" t="str">
            <v>BC784A</v>
          </cell>
          <cell r="B787" t="str">
            <v>3PAR 7400 Remote Copy ドライブ使用権</v>
          </cell>
          <cell r="C787" t="str">
            <v>ベース使用権１つとドライブ数分のドライブ使用権の購入が必要。
ドライブ使用権は、StoreServ 7400c では 168 台分まで購入可能で、169 台目以降のドライブは 168 台分のドライブ使用権に含む。</v>
          </cell>
        </row>
        <row r="788">
          <cell r="A788" t="str">
            <v>BC785A</v>
          </cell>
          <cell r="B788" t="str">
            <v>3PAR 7400 Dynamic Opt ベース使用権</v>
          </cell>
          <cell r="C788" t="str">
            <v xml:space="preserve">HP 3PAR 7400 Dynamic Opt ベース使用権 </v>
          </cell>
        </row>
        <row r="789">
          <cell r="A789" t="str">
            <v>BC786A</v>
          </cell>
          <cell r="B789" t="str">
            <v>3PAR 7400 Dynamic Opt ドライブ使用権</v>
          </cell>
          <cell r="C789" t="str">
            <v>ベース使用権１つとドライブ数分のドライブ使用権の購入が必要。
ドライブ使用権は、StoreServ 7400c では 168 台分まで購入可能で、169 台目以降のドライブは 168 台分のドライブ使用権に含む。</v>
          </cell>
        </row>
        <row r="790">
          <cell r="A790" t="str">
            <v>BC787A</v>
          </cell>
          <cell r="B790" t="str">
            <v>3PAR 7400 Adaptive Opt ベース使用権</v>
          </cell>
          <cell r="C790" t="str">
            <v xml:space="preserve">HP 3PAR 7400 Adaptive Opt ベース使用権 </v>
          </cell>
        </row>
        <row r="791">
          <cell r="A791" t="str">
            <v>BC788A</v>
          </cell>
          <cell r="B791" t="str">
            <v>3PAR 7400 Adaptive Opt ドライブ使用権</v>
          </cell>
          <cell r="C791" t="str">
            <v>ベース使用権１つとドライブ数分のドライブ使用権の購入が必要。
ドライブ使用権は、StoreServ 7400c では 168 台分まで購入可能で、169 台目以降のドライブは 168 台分のドライブ使用権に含む。</v>
          </cell>
        </row>
        <row r="792">
          <cell r="A792" t="str">
            <v>BC789A</v>
          </cell>
          <cell r="B792" t="str">
            <v>3PAR 7400 Peer Motion ベース使用権</v>
          </cell>
          <cell r="C792" t="str">
            <v>HP 3PAR 7400 Peer Motion ベース使用権</v>
          </cell>
        </row>
        <row r="793">
          <cell r="A793" t="str">
            <v>BC790A</v>
          </cell>
          <cell r="B793" t="str">
            <v>3PAR 7400 Peer Motion ドライブ使用権</v>
          </cell>
          <cell r="C793" t="str">
            <v>ベース使用権１つとドライブ数分のドライブ使用権の購入が必要。
ドライブ使用権は、StoreServ 7400c では 168 台分まで購入可能で、169 台目以降のドライブは 168 台分のドライブ使用権に含む。</v>
          </cell>
        </row>
        <row r="794">
          <cell r="A794" t="str">
            <v>BC791A</v>
          </cell>
          <cell r="B794" t="str">
            <v>3PAR 7400 Virtual Domains ベース使用権</v>
          </cell>
          <cell r="C794" t="str">
            <v>HP 3PAR 7400 Virtual Domains ベース使用権</v>
          </cell>
        </row>
        <row r="795">
          <cell r="A795" t="str">
            <v>BC792A</v>
          </cell>
          <cell r="B795" t="str">
            <v>3PAR 7400 Virtual Domains ドライブ使用権</v>
          </cell>
          <cell r="C795" t="str">
            <v>ベース使用権１つとドライブ数分のドライブ使用権の購入が必要。
ドライブ使用権は、StoreServ 7400c では 168 台分まで購入可能で、169 台目以降のドライブは 168 台分のドライブ使用権に含む。</v>
          </cell>
        </row>
        <row r="796">
          <cell r="A796" t="str">
            <v>BC793A</v>
          </cell>
          <cell r="B796" t="str">
            <v>3PAR 7400 Virtual Lock ベース使用権</v>
          </cell>
          <cell r="C796" t="str">
            <v>HP 3PAR 7400 Virtual Lock ベース使用権</v>
          </cell>
        </row>
        <row r="797">
          <cell r="A797" t="str">
            <v>BC794A</v>
          </cell>
          <cell r="B797" t="str">
            <v>3PAR 7400 Virtual Lock ドライブ使用権</v>
          </cell>
          <cell r="C797" t="str">
            <v>ベース使用権１つとドライブ数分のドライブ使用権の購入が必要。
ドライブ使用権は、StoreServ 7400c では 168 台分まで購入可能で、169 台目以降のドライブは 168 台分のドライブ使用権に含む。</v>
          </cell>
        </row>
        <row r="798">
          <cell r="A798" t="str">
            <v>BC795B</v>
          </cell>
          <cell r="B798" t="str">
            <v>3PAR 7400 Reporting Suite 使用権 woM</v>
          </cell>
          <cell r="C798" t="str">
            <v xml:space="preserve">HP 3PAR 7400 Reporting Suite 使用権 (メディアなし) </v>
          </cell>
        </row>
        <row r="799">
          <cell r="A799" t="str">
            <v>BC797B</v>
          </cell>
          <cell r="B799" t="str">
            <v>3PAR 7400 App St for Exchange 使用権 woM</v>
          </cell>
          <cell r="C799" t="str">
            <v>HP 3PAR 7400 App Suite for Exchange 使用権 (メディアなし)</v>
          </cell>
        </row>
        <row r="800">
          <cell r="A800" t="str">
            <v>BC799B</v>
          </cell>
          <cell r="B800" t="str">
            <v>3PAR 7400 App St for Oracle 使用権 woM</v>
          </cell>
          <cell r="C800" t="str">
            <v>HP 3PAR 7400 App Suite for Oracle 使用権 (メディアなし)</v>
          </cell>
        </row>
        <row r="801">
          <cell r="A801" t="str">
            <v>BC800A</v>
          </cell>
          <cell r="B801" t="str">
            <v>3PAR 7200 Peer Persis ベース使用権</v>
          </cell>
          <cell r="C801" t="str">
            <v>HP 3PAR 7200 PeerPersistence ベース使用権</v>
          </cell>
        </row>
        <row r="802">
          <cell r="A802" t="str">
            <v>BC801A</v>
          </cell>
          <cell r="B802" t="str">
            <v>3PAR 7200 Peer Persis ドライブ使用権</v>
          </cell>
          <cell r="C802" t="str">
            <v>ベース使用権１つとドライブ数分のドライブ使用権の購入が必要。
ドライブ使用権は、StoreServ 7200c では 48 台分まで購入可能、49 台目以降のドライブは 48 台分のドライブ使用権に含む。</v>
          </cell>
        </row>
        <row r="803">
          <cell r="A803" t="str">
            <v>BC802A</v>
          </cell>
          <cell r="B803" t="str">
            <v>3PAR 7400 Peer Persis ベース使用権</v>
          </cell>
          <cell r="C803" t="str">
            <v>HP 3PAR 7400 PeerPersistence ベース使用権</v>
          </cell>
        </row>
        <row r="804">
          <cell r="A804" t="str">
            <v>BC803A</v>
          </cell>
          <cell r="B804" t="str">
            <v>3PAR 7400 Peer Persis ドライブ使用権</v>
          </cell>
          <cell r="C804" t="str">
            <v>ベース使用権１つとドライブ数分のドライブ使用権の購入が必要。
ドライブ使用権は、StoreServ 7400c では 168 台分まで購入可能で、169 台目以降のドライブは 168 台分のドライブ使用権に含む。</v>
          </cell>
        </row>
        <row r="805">
          <cell r="A805" t="str">
            <v>BC890B</v>
          </cell>
          <cell r="B805" t="str">
            <v>3PAR 7450 OS Suite ベース使用権 woM</v>
          </cell>
          <cell r="C805" t="str">
            <v>HP 3PAR 7450 OS Suite ベース使用権 (メディアなし)</v>
          </cell>
        </row>
        <row r="806">
          <cell r="A806" t="str">
            <v>BC891A</v>
          </cell>
          <cell r="B806" t="str">
            <v>3PAR 7450 OS Suite ドライブ使用権</v>
          </cell>
          <cell r="C806" t="str">
            <v>ベース使用権１つとドライブ数分のドライブ使用権の購入が必要。
ドライブ使用権は、StoreServ 7450c では 168 台分まで購入可能で、169 台目以降のドライブは 168 台分のドライブ使用権に含む。</v>
          </cell>
        </row>
        <row r="807">
          <cell r="A807" t="str">
            <v>BC892A</v>
          </cell>
          <cell r="B807" t="str">
            <v>3PAR 7450 Repli Suite ベース使用権</v>
          </cell>
          <cell r="C807" t="str">
            <v>HP 3PAR 7450 Replication Suite ベース使用権</v>
          </cell>
        </row>
        <row r="808">
          <cell r="A808" t="str">
            <v>BC893A</v>
          </cell>
          <cell r="B808" t="str">
            <v>3PAR 7450 Repli Suite ドライブ使用権</v>
          </cell>
          <cell r="C808" t="str">
            <v>ベース使用権１つとドライブ数分のドライブ使用権の購入が必要。
ドライブ使用権は、StoreServ 7450c では 168 台分まで購入可能で、169 台目以降のドライブは 168 台分のドライブ使用権に含む。</v>
          </cell>
        </row>
        <row r="809">
          <cell r="A809" t="str">
            <v>BC894A</v>
          </cell>
          <cell r="B809" t="str">
            <v>3PAR 7450 Remote Copy ベース使用権</v>
          </cell>
          <cell r="C809" t="str">
            <v>HP 3PAR 7450 Remote Copy ベース使用権</v>
          </cell>
        </row>
        <row r="810">
          <cell r="A810" t="str">
            <v>BC895A</v>
          </cell>
          <cell r="B810" t="str">
            <v>3PAR 7450 Remote Copy ドライブ使用権</v>
          </cell>
          <cell r="C810" t="str">
            <v>ベース使用権１つとドライブ数分のドライブ使用権の購入が必要。
ドライブ使用権は、StoreServ 7450c では 168 台分まで購入可能で、169 台目以降のドライブは 168 台分のドライブ使用権に含む。</v>
          </cell>
        </row>
        <row r="811">
          <cell r="A811" t="str">
            <v>BC896A</v>
          </cell>
          <cell r="B811" t="str">
            <v>3PAR 7450 Virtual Copy ベース使用権</v>
          </cell>
          <cell r="C811" t="str">
            <v>HP 3PAR 7450 Virtual Copy ベース使用権</v>
          </cell>
        </row>
        <row r="812">
          <cell r="A812" t="str">
            <v>BC897A</v>
          </cell>
          <cell r="B812" t="str">
            <v>3PAR 7450 Virtual Copy ドライブ使用権</v>
          </cell>
          <cell r="C812" t="str">
            <v>ベース使用権１つとドライブ数分のドライブ使用権の購入が必要。
ドライブ使用権は、StoreServ 7450c では 168 台分まで購入可能で、169 台目以降のドライブは 168 台分のドライブ使用権に含む。</v>
          </cell>
        </row>
        <row r="813">
          <cell r="A813" t="str">
            <v>BC898A</v>
          </cell>
          <cell r="B813" t="str">
            <v>3PAR 7450 Peer Persist ベース使用権</v>
          </cell>
          <cell r="C813" t="str">
            <v>HP 3PAR 7450 Peer Persistence ベース使用権</v>
          </cell>
        </row>
        <row r="814">
          <cell r="A814" t="str">
            <v>BC899A</v>
          </cell>
          <cell r="B814" t="str">
            <v>3PAR 7450 Peer Persist ドライブ使用権</v>
          </cell>
          <cell r="C814" t="str">
            <v>ベース使用権１つとドライブ数分のドライブ使用権の購入が必要。
ドライブ使用権は、StoreServ 7450c では 168 台分まで購入可能で、169 台目以降のドライブは 168 台分のドライブ使用権に含む。</v>
          </cell>
        </row>
        <row r="815">
          <cell r="A815" t="str">
            <v>BC902A</v>
          </cell>
          <cell r="B815" t="str">
            <v>3PAR 7450 Adaptive Opt ベース使用権</v>
          </cell>
          <cell r="C815" t="str">
            <v>HP 3PAR 7450 Adaptive Optimization ベース使用権</v>
          </cell>
        </row>
        <row r="816">
          <cell r="A816" t="str">
            <v>BC903A</v>
          </cell>
          <cell r="B816" t="str">
            <v>3PAR 7450 Adaptive Opt ドライブ使用権</v>
          </cell>
          <cell r="C816" t="str">
            <v>ベース使用権１つとドライブ数分のドライブ使用権の購入が必要。
ドライブ使用権は、StoreServ 7450c では 168 台分まで購入可能で、169 台目以降のドライブは 168 台分のドライブ使用権に含む。</v>
          </cell>
        </row>
        <row r="817">
          <cell r="A817" t="str">
            <v>BC904A</v>
          </cell>
          <cell r="B817" t="str">
            <v>3PAR 7450 Dynamic Opt ベース使用権</v>
          </cell>
          <cell r="C817" t="str">
            <v>HP 3PAR 7450 Dynamic Optimization ベース使用権</v>
          </cell>
        </row>
        <row r="818">
          <cell r="A818" t="str">
            <v>BC905A</v>
          </cell>
          <cell r="B818" t="str">
            <v>3PAR 7450 Dynamic Opt ドライブ使用権</v>
          </cell>
          <cell r="C818" t="str">
            <v>ベース使用権１つとドライブ数分のドライブ使用権の購入が必要。
ドライブ使用権は、StoreServ 7450c では 168 台分まで購入可能で、169 台目以降のドライブは 168 台分のドライブ使用権に含む。</v>
          </cell>
        </row>
        <row r="819">
          <cell r="A819" t="str">
            <v>BC906A</v>
          </cell>
          <cell r="B819" t="str">
            <v>3PAR 7450 Peer Motion ベース使用権</v>
          </cell>
          <cell r="C819" t="str">
            <v xml:space="preserve">HP 3PAR 7450 Peer Motion ベース使用権 </v>
          </cell>
        </row>
        <row r="820">
          <cell r="A820" t="str">
            <v>BC907A</v>
          </cell>
          <cell r="B820" t="str">
            <v>3PAR 7450 Peer Motion ドライブ使用権</v>
          </cell>
          <cell r="C820" t="str">
            <v>ベース使用権１つとドライブ数分のドライブ使用権の購入が必要。
ドライブ使用権は、StoreServ 7450c では 168 台分まで購入可能で、169 台目以降のドライブは 168 台分のドライブ使用権に含む。</v>
          </cell>
        </row>
        <row r="821">
          <cell r="A821" t="str">
            <v>BC908A</v>
          </cell>
          <cell r="B821" t="str">
            <v>3PAR 7450 Security St ベース使用権</v>
          </cell>
          <cell r="C821" t="str">
            <v>HP 3PAR 7450 Security Suite ベース使用権</v>
          </cell>
        </row>
        <row r="822">
          <cell r="A822" t="str">
            <v>BC909A</v>
          </cell>
          <cell r="B822" t="str">
            <v>3PAR 7450 Security St ドライブ使用権</v>
          </cell>
          <cell r="C822" t="str">
            <v>ベース使用権１つとドライブ数分のドライブ使用権の購入が必要。
ドライブ使用権は、StoreServ 7450c では 168 台分まで購入可能で、169 台目以降のドライブは 168 台分のドライブ使用権に含む。</v>
          </cell>
        </row>
        <row r="823">
          <cell r="A823" t="str">
            <v>BC910A</v>
          </cell>
          <cell r="B823" t="str">
            <v>3PAR 7450 Virtual Dom ベース使用権</v>
          </cell>
          <cell r="C823" t="str">
            <v>HP 3PAR 7450 Virtual Domains ベース使用権</v>
          </cell>
        </row>
        <row r="824">
          <cell r="A824" t="str">
            <v>BC911A</v>
          </cell>
          <cell r="B824" t="str">
            <v>3PAR 7450 Virtual Dom ドライブ使用権</v>
          </cell>
          <cell r="C824" t="str">
            <v>ベース使用権１つとドライブ数分のドライブ使用権の購入が必要。
ドライブ使用権は、StoreServ 7450c では 168 台分まで購入可能で、169 台目以降のドライブは 168 台分のドライブ使用権に含む。</v>
          </cell>
        </row>
        <row r="825">
          <cell r="A825" t="str">
            <v>BC912A</v>
          </cell>
          <cell r="B825" t="str">
            <v>3PAR 7450 Virtual Lock ベース使用権</v>
          </cell>
          <cell r="C825" t="str">
            <v>HP 3PAR 7450 Virtual Lock ベース使用権</v>
          </cell>
        </row>
        <row r="826">
          <cell r="A826" t="str">
            <v>BC913A</v>
          </cell>
          <cell r="B826" t="str">
            <v>3PAR 7450 Virtual Lock ドライブ使用権</v>
          </cell>
          <cell r="C826" t="str">
            <v>ベース使用権１つとドライブ数分のドライブ使用権の購入が必要。
ドライブ使用権は、StoreServ 7450c では 168 台分まで購入可能で、169 台目以降のドライブは 168 台分のドライブ使用権に含む。</v>
          </cell>
        </row>
        <row r="827">
          <cell r="A827" t="str">
            <v>BC914B</v>
          </cell>
          <cell r="B827" t="str">
            <v>3PAR 7450 Reporting Suite 使用権 woM</v>
          </cell>
          <cell r="C827" t="str">
            <v>HP 3PAR 7450 Reporting Suite 使用権 (メディアなし)</v>
          </cell>
        </row>
        <row r="828">
          <cell r="A828" t="str">
            <v>BC916B</v>
          </cell>
          <cell r="B828" t="str">
            <v>3PAR 7450 App St Exchange 使用権 woM</v>
          </cell>
          <cell r="C828" t="str">
            <v xml:space="preserve">HP 3PAR 7450 App Suite for Exchange 使用権 (メディアなし) </v>
          </cell>
        </row>
        <row r="829">
          <cell r="A829" t="str">
            <v>BC918B</v>
          </cell>
          <cell r="B829" t="str">
            <v>3PAR 7450 App St for Oracle 使用権 woM</v>
          </cell>
          <cell r="C829" t="str">
            <v xml:space="preserve">HP 3PAR 7450 App Suite for Oracle 使用権(メディアなし) </v>
          </cell>
        </row>
        <row r="830">
          <cell r="A830" t="str">
            <v>BC983A</v>
          </cell>
          <cell r="B830" t="str">
            <v>3PAR 7200 Data Encryption 使用権</v>
          </cell>
          <cell r="C830" t="str">
            <v>暗号化使用権(暗号化対応ドライブ使用時に必要)</v>
          </cell>
        </row>
        <row r="831">
          <cell r="A831" t="str">
            <v>BC984A</v>
          </cell>
          <cell r="B831" t="str">
            <v>3PAR 7400 Data Encryption 使用権</v>
          </cell>
          <cell r="C831" t="str">
            <v>暗号化使用権(暗号化対応ドライブ使用時に必要)</v>
          </cell>
        </row>
        <row r="832">
          <cell r="A832" t="str">
            <v>BC985A</v>
          </cell>
          <cell r="B832" t="str">
            <v>3PAR 7450 Data Encryption 使用権</v>
          </cell>
          <cell r="C832" t="str">
            <v>暗号化使用権(暗号化対応ドライブ使用時に必要)</v>
          </cell>
        </row>
        <row r="833">
          <cell r="A833" t="str">
            <v>BC986A</v>
          </cell>
          <cell r="B833" t="str">
            <v>3PAR 7200 Priority Opt ベース使用権</v>
          </cell>
          <cell r="C833" t="str">
            <v xml:space="preserve">HP 3PAR 7200 Priority Opt ベース使用権 </v>
          </cell>
        </row>
        <row r="834">
          <cell r="A834" t="str">
            <v>BC987A</v>
          </cell>
          <cell r="B834" t="str">
            <v>3PAR 7200 Priority Opt ドライブ使用権</v>
          </cell>
          <cell r="C834" t="str">
            <v>ベース使用権１つとドライブ数分のドライブ使用権の購入が必要。
ドライブ使用権は、StoreServ 7200c では 48 台分まで購入可能、49 台目以降のドライブは 48 台分のドライブ使用権に含む。</v>
          </cell>
        </row>
        <row r="835">
          <cell r="A835" t="str">
            <v>BC988A</v>
          </cell>
          <cell r="B835" t="str">
            <v>3PAR 7400 Priority Opt ベース使用権</v>
          </cell>
          <cell r="C835" t="str">
            <v>HP 3PAR 7400 Priority Opt ベース使用権</v>
          </cell>
        </row>
        <row r="836">
          <cell r="A836" t="str">
            <v>BC989A</v>
          </cell>
          <cell r="B836" t="str">
            <v>3PAR 7400 Priority Opt ドライブ使用権</v>
          </cell>
          <cell r="C836" t="str">
            <v>ベース使用権１つとドライブ数分のドライブ使用権の購入が必要。
ドライブ使用権は、StoreServ 7400c では 168 台分まで購入可能で、169 台目以降のドライブは 168 台分のドライブ使用権に含む。</v>
          </cell>
        </row>
        <row r="837">
          <cell r="A837" t="str">
            <v>BC990A</v>
          </cell>
          <cell r="B837" t="str">
            <v>3PAR 7450 Priority Opt ベース使用権</v>
          </cell>
          <cell r="C837" t="str">
            <v>HP 3PAR 7450 Priority Optimization ベース使用権</v>
          </cell>
        </row>
        <row r="838">
          <cell r="A838" t="str">
            <v>BC991A</v>
          </cell>
          <cell r="B838" t="str">
            <v>3PAR 7450 Priority Opt ドライブ使用権</v>
          </cell>
          <cell r="C838" t="str">
            <v>ベース使用権１つとドライブ数分のドライブ使用権の購入が必要。
ドライブ使用権は、StoreServ 7450c では 168 台分まで購入可能で、169 台目以降のドライブは 168 台分のドライブ使用権に含む。</v>
          </cell>
        </row>
        <row r="839">
          <cell r="A839" t="str">
            <v>BD178B</v>
          </cell>
          <cell r="B839" t="str">
            <v>3PAR 7200 App St for Hyper-V 使用権 woM</v>
          </cell>
          <cell r="C839" t="str">
            <v>HP 3PAR 7200 App Suite for Hyper-V 使用権 (メディアなし)</v>
          </cell>
        </row>
        <row r="840">
          <cell r="A840" t="str">
            <v>BD179B</v>
          </cell>
          <cell r="B840" t="str">
            <v>3PAR 7400 App St for Hyper-V 使用権 woM</v>
          </cell>
          <cell r="C840" t="str">
            <v>HP 3PAR 7400 App Suite for Hyper-V 使用権 (メディアなし)</v>
          </cell>
        </row>
        <row r="841">
          <cell r="A841" t="str">
            <v>BD190B</v>
          </cell>
          <cell r="B841" t="str">
            <v>3PAR 7450 App St for Hyper-V 使用権 woM</v>
          </cell>
          <cell r="C841" t="str">
            <v xml:space="preserve">HP 3PAR 7450 App Suite for Hyper-V 使用権 (メディアなし) </v>
          </cell>
        </row>
        <row r="842">
          <cell r="A842" t="str">
            <v>BD191A</v>
          </cell>
          <cell r="B842" t="str">
            <v>3PAR 7200 Online Imp 180日 使用権</v>
          </cell>
          <cell r="C842" t="str">
            <v>HP 3PAR 7200 Online Import 180 日間 使用権</v>
          </cell>
        </row>
        <row r="843">
          <cell r="A843" t="str">
            <v>BD192A</v>
          </cell>
          <cell r="B843" t="str">
            <v>3PAR 7400 Online Imp 180日 使用権</v>
          </cell>
          <cell r="C843" t="str">
            <v>HP 3PAR 7400 Online Import 180 日間 使用権</v>
          </cell>
        </row>
        <row r="844">
          <cell r="A844" t="str">
            <v>BD195A</v>
          </cell>
          <cell r="B844" t="str">
            <v>3PAR 7450 Online Imp 180日 使用権</v>
          </cell>
          <cell r="C844" t="str">
            <v>HP 3PAR 7450 Online Import 180 日間 使用権</v>
          </cell>
        </row>
        <row r="845">
          <cell r="A845" t="str">
            <v>BD268A</v>
          </cell>
          <cell r="B845" t="str">
            <v>3PAR 7200 Adv Data Opt ベース使用権</v>
          </cell>
          <cell r="C845" t="str">
            <v>HP 3PAR 7200 Advanced Data Optimization Software Suite ベース使用権</v>
          </cell>
        </row>
        <row r="846">
          <cell r="A846" t="str">
            <v>BD269A</v>
          </cell>
          <cell r="B846" t="str">
            <v>3PAR 7200 Adv Data Opt ドライブ使用権</v>
          </cell>
          <cell r="C846" t="str">
            <v>ベース使用権１つとドライブ数分のドライブ使用権の購入が必要。
ドライブ使用権は、StoreServ 7200c では 48 台分まで購入可能、49 台目以降のドライブは 48 台分のドライブ使用権に含む。</v>
          </cell>
        </row>
        <row r="847">
          <cell r="A847" t="str">
            <v>BD270A</v>
          </cell>
          <cell r="B847" t="str">
            <v>3PAR 7400 Adv Data Opt ベース使用権</v>
          </cell>
          <cell r="C847" t="str">
            <v>HP 3PAR 7400 Advanced Data Optimization Software Suite ベース使用権</v>
          </cell>
        </row>
        <row r="848">
          <cell r="A848" t="str">
            <v>BD271A</v>
          </cell>
          <cell r="B848" t="str">
            <v>3PAR 7400 Adv Data Opt ドライブ使用権</v>
          </cell>
          <cell r="C848" t="str">
            <v>ベース使用権１つとドライブ数分のドライブ使用権の購入が必要。
ドライブ使用権は、StoreServ 7400c では 168 台分まで購入可能で、169 台目以降のドライブは 168 台分のドライブ使用権に含む。</v>
          </cell>
        </row>
        <row r="849">
          <cell r="A849" t="str">
            <v>BD272A</v>
          </cell>
          <cell r="B849" t="str">
            <v>3PAR 7450 Adv Data Opt ベース使用権</v>
          </cell>
          <cell r="C849" t="str">
            <v>HP 3PAR 7450 Advanced Data Optimization Software Suite ベース使用権</v>
          </cell>
        </row>
        <row r="850">
          <cell r="A850" t="str">
            <v>BD273A</v>
          </cell>
          <cell r="B850" t="str">
            <v>3PAR 7450 Adv Data Opt ドライブ使用権</v>
          </cell>
          <cell r="C850" t="str">
            <v>ベース使用権１つとドライブ数分のドライブ使用権の購入が必要。
ドライブ使用権は、StoreServ 7450c では 168 台分まで購入可能で、169 台目以降のドライブは 168 台分のドライブ使用権に含む。</v>
          </cell>
        </row>
        <row r="851">
          <cell r="A851" t="str">
            <v>BD362A</v>
          </cell>
          <cell r="B851" t="str">
            <v>3PAR StoreServ Mgmt/Core SW メディア</v>
          </cell>
          <cell r="C851" t="str">
            <v>HP 3PAR StoreServ 7000 の管理に必要なソフトウェア ツールキット
※サイトに１つメディアが必要</v>
          </cell>
        </row>
        <row r="852">
          <cell r="A852" t="str">
            <v>BD363A</v>
          </cell>
          <cell r="B852" t="str">
            <v>3PAR StoreServ OS Suiteメディア</v>
          </cell>
          <cell r="C852" t="str">
            <v>3PAR StoreServ OS Suite メディア
※3PAR OS、仮想サービス プロセッサー、SmartStart、パッチ用メディア
※サイトに１つメディアが必要</v>
          </cell>
        </row>
        <row r="853">
          <cell r="A853" t="str">
            <v>BD365A</v>
          </cell>
          <cell r="B853" t="str">
            <v>3PAR Service Processor SW メディア</v>
          </cell>
          <cell r="C853" t="str">
            <v>Service Prosessor 再インストール用メディア
※サイトに 1 つ必要</v>
          </cell>
        </row>
        <row r="854">
          <cell r="A854" t="str">
            <v>BD368A</v>
          </cell>
          <cell r="B854" t="str">
            <v>3PAR App Suite for Exchange メディア</v>
          </cell>
          <cell r="C854" t="str">
            <v>HP 3PAR App Suite for Exchange メディア 
※サイトに１つメディアが必要</v>
          </cell>
        </row>
        <row r="855">
          <cell r="A855" t="str">
            <v>BD369A</v>
          </cell>
          <cell r="B855" t="str">
            <v>3PAR App Suite for Hyper-V メディア</v>
          </cell>
          <cell r="C855" t="str">
            <v>HP 3PAR App Suite for Hyper-V メディア 
※サイトに１つメディアが必要</v>
          </cell>
        </row>
        <row r="856">
          <cell r="A856" t="str">
            <v>BD370A</v>
          </cell>
          <cell r="B856" t="str">
            <v>3PAR App Suite for Oracle メディア</v>
          </cell>
          <cell r="C856" t="str">
            <v>HP 3PAR App Suite for Oracle メディア   
※サイトに１つメディアが必要</v>
          </cell>
        </row>
        <row r="857">
          <cell r="A857" t="str">
            <v>BD371A</v>
          </cell>
          <cell r="B857" t="str">
            <v>3PAR App Suite for SQL メディア</v>
          </cell>
          <cell r="C857" t="str">
            <v>HP 3PAR App Suite for SQL メディア  
※サイトに１つメディアが必要</v>
          </cell>
        </row>
        <row r="858">
          <cell r="A858" t="str">
            <v>BD372A</v>
          </cell>
          <cell r="B858" t="str">
            <v>3PAR App Suite for VMware メディア</v>
          </cell>
          <cell r="C858" t="str">
            <v>HP 3PAR Application Suite for VMware メディア
※サイトに１つメディアが必要</v>
          </cell>
        </row>
        <row r="859">
          <cell r="A859" t="str">
            <v>BD374A</v>
          </cell>
          <cell r="B859" t="str">
            <v>3PAR 7440 OS Suite ベース使用権 woM</v>
          </cell>
          <cell r="C859" t="str">
            <v xml:space="preserve">HP 3PAR 7440 OS Suite ベース使用権 (メディアなし) </v>
          </cell>
        </row>
        <row r="860">
          <cell r="A860" t="str">
            <v>BD375A</v>
          </cell>
          <cell r="B860" t="str">
            <v>3PAR 7440 Reporting Suite 使用権 woM</v>
          </cell>
          <cell r="C860" t="str">
            <v>HP 3PAR 7440 Reporting Suite 使用権 (メディアなし)</v>
          </cell>
        </row>
        <row r="861">
          <cell r="A861" t="str">
            <v>BD377A</v>
          </cell>
          <cell r="B861" t="str">
            <v>3PAR 7440 App St for Exchange 使用権 woM</v>
          </cell>
          <cell r="C861" t="str">
            <v>HP 3PAR 7440 App Suite for Exchange 使用権(メディアなし)</v>
          </cell>
        </row>
        <row r="862">
          <cell r="A862" t="str">
            <v>BD379A</v>
          </cell>
          <cell r="B862" t="str">
            <v>3PAR 7440 App St for Oracle 使用権 woM</v>
          </cell>
          <cell r="C862" t="str">
            <v>HP 3PAR 7440 App Suite for Oracle 使用権(メディアなし)</v>
          </cell>
        </row>
        <row r="863">
          <cell r="A863" t="str">
            <v>BD380A</v>
          </cell>
          <cell r="B863" t="str">
            <v>3PAR 7440 App St for Hyper-V 使用権 woM</v>
          </cell>
          <cell r="C863" t="str">
            <v>HP 3PAR 7440 App Suite for Hyper-V 使用権 (メディアなし)</v>
          </cell>
        </row>
        <row r="864">
          <cell r="A864" t="str">
            <v>BD381A</v>
          </cell>
          <cell r="B864" t="str">
            <v>3PAR 7440 OS Suite ドライブ使用権</v>
          </cell>
          <cell r="C864" t="str">
            <v>ベース使用権１つとドライブ数分のドライブ使用権の購入が必要。
ドライブ使用権は、StoreServ 7440c では 320 台分まで購入可能で、321 台目以降のドライブは 320 台分のドライブ使用権に含む。</v>
          </cell>
        </row>
        <row r="865">
          <cell r="A865" t="str">
            <v>BD382A</v>
          </cell>
          <cell r="B865" t="str">
            <v>3PAR 7440 Repli Suite ベース使用権</v>
          </cell>
          <cell r="C865" t="str">
            <v xml:space="preserve">HP 3PAR 7440 Repli Suite ベース使用権 </v>
          </cell>
        </row>
        <row r="866">
          <cell r="A866" t="str">
            <v>BD383A</v>
          </cell>
          <cell r="B866" t="str">
            <v>3PAR 7440 Repli Suite ドライブ使用権</v>
          </cell>
          <cell r="C866" t="str">
            <v>ベース使用権１つとドライブ数分のドライブ使用権の購入が必要。
ドライブ使用権は、StoreServ 7440c では 320 台分まで購入可能で、321 台目以降のドライブは 320 台分のドライブ使用権に含む。</v>
          </cell>
        </row>
        <row r="867">
          <cell r="A867" t="str">
            <v>BD384A</v>
          </cell>
          <cell r="B867" t="str">
            <v>3PAR 7440 Security Suite ベース使用権</v>
          </cell>
          <cell r="C867" t="str">
            <v>P 3PAR 7440 Security Suite ベース使用権</v>
          </cell>
        </row>
        <row r="868">
          <cell r="A868" t="str">
            <v>BD385A</v>
          </cell>
          <cell r="B868" t="str">
            <v>3PAR 7440 Security Suite ドライブ使用権</v>
          </cell>
          <cell r="C868" t="str">
            <v>ベース使用権１つとドライブ数分のドライブ使用権の購入が必要。
ドライブ使用権は、StoreServ 7440c では 320 台分まで購入可能で、321 台目以降のドライブは 320 台分のドライブ使用権に含む。</v>
          </cell>
        </row>
        <row r="869">
          <cell r="A869" t="str">
            <v>BD386A</v>
          </cell>
          <cell r="B869" t="str">
            <v>3PAR 7440 Virtual Copy ベース使用権</v>
          </cell>
          <cell r="C869" t="str">
            <v>HP 3PAR 7440 Virtual Copy ベース使用権</v>
          </cell>
        </row>
        <row r="870">
          <cell r="A870" t="str">
            <v>BD387A</v>
          </cell>
          <cell r="B870" t="str">
            <v>3PAR 7440 Virtual Copy ドライブ使用権</v>
          </cell>
          <cell r="C870" t="str">
            <v>ベース使用権１つとドライブ数分のドライブ使用権の購入が必要。
ドライブ使用権は、StoreServ 7440c では 320 台分まで購入可能で、321 台目以降のドライブは 320 台分のドライブ使用権に含む。</v>
          </cell>
        </row>
        <row r="871">
          <cell r="A871" t="str">
            <v>BD388A</v>
          </cell>
          <cell r="B871" t="str">
            <v>3PAR 7440 Remote Copy ベース使用権</v>
          </cell>
          <cell r="C871" t="str">
            <v xml:space="preserve">HP 3PAR 7440 Remote Copy ベース使用権 </v>
          </cell>
        </row>
        <row r="872">
          <cell r="A872" t="str">
            <v>BD389A</v>
          </cell>
          <cell r="B872" t="str">
            <v>3PAR 7440 Remote Copy ドライブ使用権</v>
          </cell>
          <cell r="C872" t="str">
            <v>ベース使用権１つとドライブ数分のドライブ使用権の購入が必要。
ドライブ使用権は、StoreServ 7440c では 320 台分まで購入可能で、321 台目以降のドライブは 320 台分のドライブ使用権に含む。</v>
          </cell>
        </row>
        <row r="873">
          <cell r="A873" t="str">
            <v>BD390A</v>
          </cell>
          <cell r="B873" t="str">
            <v>3PAR 7440 Dynamic Opt ベース使用権</v>
          </cell>
          <cell r="C873" t="str">
            <v>HP 3PAR 7440 Dynamic Optimization ベース使用権</v>
          </cell>
        </row>
        <row r="874">
          <cell r="A874" t="str">
            <v>BD391A</v>
          </cell>
          <cell r="B874" t="str">
            <v>3PAR 7440 Dynamic Opt ドライブ使用権</v>
          </cell>
          <cell r="C874" t="str">
            <v>ベース使用権１つとドライブ数分のドライブ使用権の購入が必要。
ドライブ使用権は、StoreServ 7440c では 320 台分まで購入可能で、321 台目以降のドライブは 320 台分のドライブ使用権に含む。</v>
          </cell>
        </row>
        <row r="875">
          <cell r="A875" t="str">
            <v>BD392A</v>
          </cell>
          <cell r="B875" t="str">
            <v>3PAR 7440 Adaptive Opt ベース使用権</v>
          </cell>
          <cell r="C875" t="str">
            <v>HP 3PAR 7440 Adaptive Optimization ベース使用権</v>
          </cell>
        </row>
        <row r="876">
          <cell r="A876" t="str">
            <v>BD393A</v>
          </cell>
          <cell r="B876" t="str">
            <v>3PAR 7440 Adaptive Opt ドライブ使用権</v>
          </cell>
          <cell r="C876" t="str">
            <v>ベース使用権１つとドライブ数分のドライブ使用権の購入が必要。
ドライブ使用権は、StoreServ 7440c では 320 台分まで購入可能で、321 台目以降のドライブは 320 台分のドライブ使用権に含む。</v>
          </cell>
        </row>
        <row r="877">
          <cell r="A877" t="str">
            <v>BD394A</v>
          </cell>
          <cell r="B877" t="str">
            <v>3PAR 7440 Peer Motion ベース使用権</v>
          </cell>
          <cell r="C877" t="str">
            <v>HP 3PAR 7440 Peer Motion ベース使用権</v>
          </cell>
        </row>
        <row r="878">
          <cell r="A878" t="str">
            <v>BD395A</v>
          </cell>
          <cell r="B878" t="str">
            <v>3PAR 7440 Peer Motion ドライブ使用権</v>
          </cell>
          <cell r="C878" t="str">
            <v>ベース使用権１つとドライブ数分のドライブ使用権の購入が必要。
ドライブ使用権は、StoreServ 7440c では 320 台分まで購入可能で、321 台目以降のドライブは 320 台分のドライブ使用権に含む。</v>
          </cell>
        </row>
        <row r="879">
          <cell r="A879" t="str">
            <v>BD396A</v>
          </cell>
          <cell r="B879" t="str">
            <v>3PAR 7440 Virtual Dom ベース使用権</v>
          </cell>
          <cell r="C879" t="str">
            <v>HP 3PAR 7440 Virtual Domains ベース使用権</v>
          </cell>
        </row>
        <row r="880">
          <cell r="A880" t="str">
            <v>BD397A</v>
          </cell>
          <cell r="B880" t="str">
            <v>3PAR 7440 Virtual Dom ドライブ使用権</v>
          </cell>
          <cell r="C880" t="str">
            <v>ベース使用権１つとドライブ数分のドライブ使用権の購入が必要。
ドライブ使用権は、StoreServ 7440c では 320 台分まで購入可能で、321 台目以降のドライブは 320 台分のドライブ使用権に含む。</v>
          </cell>
        </row>
        <row r="881">
          <cell r="A881" t="str">
            <v>BD398A</v>
          </cell>
          <cell r="B881" t="str">
            <v>3PAR 7440 Virtual Lock ベース使用権</v>
          </cell>
          <cell r="C881" t="str">
            <v>HP 3PAR 7440 Virtual Lock ベース使用権</v>
          </cell>
        </row>
        <row r="882">
          <cell r="A882" t="str">
            <v>BD399A</v>
          </cell>
          <cell r="B882" t="str">
            <v>3PAR 7440 Virtual Lock ドライブ使用権</v>
          </cell>
          <cell r="C882" t="str">
            <v>ベース使用権１つとドライブ数分のドライブ使用権の購入が必要。
ドライブ使用権は、StoreServ 7440c では 320 台分まで購入可能で、321 台目以降のドライブは 320 台分のドライブ使用権に含む。</v>
          </cell>
        </row>
        <row r="883">
          <cell r="A883" t="str">
            <v>BD400A</v>
          </cell>
          <cell r="B883" t="str">
            <v>3PAR 7440 Peer Persist ベース使用権</v>
          </cell>
          <cell r="C883" t="str">
            <v>HP 3PAR 7440 Peer Persistence ベース使用権</v>
          </cell>
        </row>
        <row r="884">
          <cell r="A884" t="str">
            <v>BD401A</v>
          </cell>
          <cell r="B884" t="str">
            <v>3PAR 7440 Peer Persist ドライブ使用権</v>
          </cell>
          <cell r="C884" t="str">
            <v>ベース使用権１つとドライブ数分のドライブ使用権の購入が必要。
ドライブ使用権は、StoreServ 7440c では 320 台分まで購入可能で、321 台目以降のドライブは 320 台分のドライブ使用権に含む。</v>
          </cell>
        </row>
        <row r="885">
          <cell r="A885" t="str">
            <v>BD402A</v>
          </cell>
          <cell r="B885" t="str">
            <v>3PAR 7440 Priority Opt ベース使用権</v>
          </cell>
          <cell r="C885" t="str">
            <v>HP 3PAR 7440 Priority Optimization ベース使用権</v>
          </cell>
        </row>
        <row r="886">
          <cell r="A886" t="str">
            <v>BD403A</v>
          </cell>
          <cell r="B886" t="str">
            <v>3PAR 7440 Priority Opt ドライブ使用権</v>
          </cell>
          <cell r="C886" t="str">
            <v>ベース使用権１つとドライブ数分のドライブ使用権の購入が必要。
ドライブ使用権は、StoreServ 7440c では 320 台分まで購入可能で、321 台目以降のドライブは 320 台分のドライブ使用権に含む。</v>
          </cell>
        </row>
        <row r="887">
          <cell r="A887" t="str">
            <v>BD404A</v>
          </cell>
          <cell r="B887" t="str">
            <v>3PAR 7440 Adv Data Opt ベース使用権</v>
          </cell>
          <cell r="C887" t="str">
            <v>HP 3PAR 7440 Advanced Data Optimization Suite ベース使用権</v>
          </cell>
        </row>
        <row r="888">
          <cell r="A888" t="str">
            <v>BD405A</v>
          </cell>
          <cell r="B888" t="str">
            <v>3PAR 7440 Adv Data Opt ドライブ使用権</v>
          </cell>
          <cell r="C888" t="str">
            <v>ベース使用権１つとドライブ数分のドライブ使用権の購入が必要。
ドライブ使用権は、StoreServ 7440c では 320 台分まで購入可能で、321 台目以降のドライブは 320 台分のドライブ使用権に含む。</v>
          </cell>
        </row>
        <row r="889">
          <cell r="A889" t="str">
            <v>BD406A</v>
          </cell>
          <cell r="B889" t="str">
            <v>3PAR 7440 Data Encryption 使用権</v>
          </cell>
          <cell r="C889" t="str">
            <v>暗号化使用権(暗号化対応ドライブ使用時に必要)</v>
          </cell>
        </row>
        <row r="890">
          <cell r="A890" t="str">
            <v>BD407A</v>
          </cell>
          <cell r="B890" t="str">
            <v>3PAR 7440 Online Imp 180日 使用権</v>
          </cell>
          <cell r="C890" t="str">
            <v>HP 3PAR 7440 Online Import 180 日間 使用権</v>
          </cell>
        </row>
        <row r="891">
          <cell r="A891" t="str">
            <v>BD408A</v>
          </cell>
          <cell r="B891" t="str">
            <v>3PAR 7200c File Persona 1TB 使用権</v>
          </cell>
          <cell r="C891" t="str">
            <v>HP 3PAR 7200c File Persona 1TB 使用権
※3PAR OS 3.2.1-MU3 以降でサポート
※オーバーヘッド分としてノードあたり 200GiB の物理容量が使用されます。(2 ノード：400GiB)</v>
          </cell>
        </row>
        <row r="892">
          <cell r="A892" t="str">
            <v>BD409A</v>
          </cell>
          <cell r="B892" t="str">
            <v>3PAR 7400c File Persona 1TB 使用権</v>
          </cell>
          <cell r="C892" t="str">
            <v>HP 3PAR 7400c File Persona 1TB 使用権
※3PAR OS 3.2.1-MU3 以降でサポート
※オーバーヘッド分としてノードあたり 200GiB の物理容量が使用されます。(2 ノード：400GiB、4 ノード：800GiB)</v>
          </cell>
        </row>
        <row r="893">
          <cell r="A893" t="str">
            <v>BD410A</v>
          </cell>
          <cell r="B893" t="str">
            <v>3PAR 7440c File Persona 1TB 使用権</v>
          </cell>
          <cell r="C893" t="str">
            <v>HP 3PAR 7440c File Persona 1TB 使用権 
※3PAR OS 3.2.1-MU3 以降でサポート
※オーバーヘッド分としてノードあたり 200GiB の物理容量が使用されます。(2 ノード：400GiB、4 ノード：800GiB)</v>
          </cell>
        </row>
        <row r="894">
          <cell r="A894" t="str">
            <v>BD411A</v>
          </cell>
          <cell r="B894" t="str">
            <v>3PAR 7450c File Persona 1TB 使用権</v>
          </cell>
          <cell r="C894" t="str">
            <v>HP 3PAR 7450c File Persona 1TB 使用権
※3PAR OS 3.2.1-MU3 以降でサポート
※オーバーヘッド分としてノードあたり 200GiB の物理容量が使用されます。(2 ノード：400GiB、4 ノード：800GiB)</v>
          </cell>
        </row>
        <row r="895">
          <cell r="A895" t="str">
            <v>BD454A</v>
          </cell>
          <cell r="B895" t="str">
            <v>3PAR OS Suite Media</v>
          </cell>
          <cell r="C895" t="str">
            <v>3PAR StoreServ OS Suite メディア
※3PAR OS、仮想サービス プロセッサー、SmartStart、パッチ用メディア
※サイトに１つメディアが必要</v>
          </cell>
        </row>
        <row r="896">
          <cell r="A896" t="str">
            <v>BD455A</v>
          </cell>
          <cell r="B896" t="str">
            <v>3PAR Service Processor SW Media</v>
          </cell>
          <cell r="C896" t="str">
            <v>3PAR StoreServ サービスプロセッサ再インストール用メディア
※サイトに 1 つ必要</v>
          </cell>
        </row>
        <row r="897">
          <cell r="A897" t="str">
            <v>D4T81A</v>
          </cell>
          <cell r="B897" t="str">
            <v>SF Analytics vROps 3PAR 使用権</v>
          </cell>
          <cell r="C897" t="str">
            <v>StoreFront Analytics for VMware vRealize Operations and 3PAR StoreServ Software 使用権 
※VMware 社から提供される仮想化環境を診断する vROPS ソフトウェアと連携するソフトウェア</v>
          </cell>
        </row>
        <row r="898">
          <cell r="A898" t="str">
            <v>L7B67A</v>
          </cell>
          <cell r="B898" t="str">
            <v>3PAR 8200 Data Encryption使用権</v>
          </cell>
          <cell r="C898" t="str">
            <v>暗号化対応ドライブを使用してシステムを暗号化する場合、システム毎に 1 つ必要</v>
          </cell>
        </row>
        <row r="899">
          <cell r="A899" t="str">
            <v>L7B91A</v>
          </cell>
          <cell r="B899" t="str">
            <v>3PAR 8400 Data Encryption 使用権</v>
          </cell>
          <cell r="C899" t="str">
            <v>暗号化対応ドライブを使用してシステムを暗号化する場合、システム毎に 1 つ必要</v>
          </cell>
        </row>
        <row r="900">
          <cell r="A900" t="str">
            <v>L7C15A</v>
          </cell>
          <cell r="B900" t="str">
            <v>3PAR 8440 Data Encryption 使用権</v>
          </cell>
          <cell r="C900" t="str">
            <v>暗号化対応ドライブを使用してシステムを暗号化する場合、システム毎に 1 つ必要</v>
          </cell>
        </row>
        <row r="901">
          <cell r="A901" t="str">
            <v>L7C39A</v>
          </cell>
          <cell r="B901" t="str">
            <v>3PAR 8450 Data Encryption 使用権</v>
          </cell>
          <cell r="C901" t="str">
            <v>暗号化対応ドライブを使用してシステムを暗号化する場合、システム毎に 1 つ必要</v>
          </cell>
        </row>
        <row r="902">
          <cell r="A902" t="str">
            <v>L7E34A</v>
          </cell>
          <cell r="B902" t="str">
            <v>3PAR StoreServ CSI メディアキット</v>
          </cell>
          <cell r="C902" t="str">
            <v xml:space="preserve">3PAR StoreServ Customer Self Installation メディアキット </v>
          </cell>
        </row>
        <row r="903">
          <cell r="A903" t="str">
            <v>L7E69A</v>
          </cell>
          <cell r="B903" t="str">
            <v>3PAR 8200 All-in Multi-system SW LTU</v>
          </cell>
          <cell r="C903" t="str">
            <v>3PAR 8200 All-inclusive Multi-system Software 使用権 
※Peer Motion、Remote Copy、Peer Persistence、Cluster Extension (CLX) のパッケージソフトウェア</v>
          </cell>
        </row>
        <row r="904">
          <cell r="A904" t="str">
            <v>L7E70A</v>
          </cell>
          <cell r="B904" t="str">
            <v>3PAR 8400 All-in Multi-system SW LTU</v>
          </cell>
          <cell r="C904" t="str">
            <v>3PAR 8400 All-inclusive Multi-system Software 使用権
※Peer Motion、Remote Copy、Peer Persistence、Cluster Extension (CLX) のパッケージソフトウェア</v>
          </cell>
        </row>
        <row r="905">
          <cell r="A905" t="str">
            <v>L7E71A</v>
          </cell>
          <cell r="B905" t="str">
            <v>3PAR 8440 All-in Multi-system SW LTU</v>
          </cell>
          <cell r="C905" t="str">
            <v>3PAR 8440 All-inclusive Multi-system Software 使用権
※Peer Motion、Remote Copy、Peer Persistence、Cluster Extension (CLX) のパッケージソフトウェア</v>
          </cell>
        </row>
        <row r="906">
          <cell r="A906" t="str">
            <v>L7E72A</v>
          </cell>
          <cell r="B906" t="str">
            <v>3PAR 8450 All-in Multi-system SW LTU</v>
          </cell>
          <cell r="C906" t="str">
            <v>3PAR 8450 All-inclusive Multi-system Software 使用権
※Peer Motion、Remote Copy、Peer Persistence、Cluster Extension (CLX) のパッケージソフトウェア</v>
          </cell>
        </row>
        <row r="907">
          <cell r="A907" t="str">
            <v>L7E73A</v>
          </cell>
          <cell r="B907" t="str">
            <v>3PAR 8200 Transition All-inc SW LTU</v>
          </cell>
          <cell r="C907" t="str">
            <v>3PAR 8200 Transition All-inclusive Software 使用権
※既存モデルを All Inclusive Software モデルと同等にアップグレードするためのライセンス</v>
          </cell>
        </row>
        <row r="908">
          <cell r="A908" t="str">
            <v>L7E74A</v>
          </cell>
          <cell r="B908" t="str">
            <v>3PAR 8400 Transition All-inc SW LTU</v>
          </cell>
          <cell r="C908" t="str">
            <v>3PAR 8400 Transition All-inclusive Software 使用権
※既存モデルを All Inclusive Software モデルと同等にアップグレードするためのライセンス</v>
          </cell>
        </row>
        <row r="909">
          <cell r="A909" t="str">
            <v>L7E75A</v>
          </cell>
          <cell r="B909" t="str">
            <v>3PAR 8440 Transition All-inc SW LTU</v>
          </cell>
          <cell r="C909" t="str">
            <v>3PAR 8440 Transition All-inclusive Software 使用権
※既存モデルを All Inclusive Software モデルと同等にアップグレードするためのライセンス</v>
          </cell>
        </row>
        <row r="910">
          <cell r="A910" t="str">
            <v>L7E76A</v>
          </cell>
          <cell r="B910" t="str">
            <v>3PAR 8450 Transition All-inc SW LTU</v>
          </cell>
          <cell r="C910" t="str">
            <v>3PAR 8450 Transition All-inclusive Software 使用権
※既存モデルを All Inclusive Software モデルと同等にアップグレードするためのライセンス</v>
          </cell>
        </row>
        <row r="911">
          <cell r="A911" t="str">
            <v>L7F20A</v>
          </cell>
          <cell r="B911" t="str">
            <v>3PAR All-in Sgl-sys SW Current Media</v>
          </cell>
          <cell r="C911" t="str">
            <v>3PAR All-in Sgl-sys SW Current メディア
※3PAR OS、仮想サービスプロセッサー、物理サービスプロセッサー、管理用ソフトウェア キットのメディア
※サイトに１つメディアが必要</v>
          </cell>
        </row>
        <row r="912">
          <cell r="A912" t="str">
            <v>L7F22A</v>
          </cell>
          <cell r="B912" t="str">
            <v>3PAR All-in Mlt-sys SW Current Media</v>
          </cell>
          <cell r="C912" t="str">
            <v>3PAR All-in Mlt-sys SW Current メディア
※Peer Motion、Remote Copy、Peer Persistence、Cluster Extension (CLX)用ソフトウェア キットのメディア
※サイトに１つメディアが必要</v>
          </cell>
        </row>
        <row r="913">
          <cell r="A913" t="str">
            <v>E7X47A</v>
          </cell>
          <cell r="B913" t="str">
            <v>3PAR 7000 2ポート 16Gb/s FCアダプタ</v>
          </cell>
          <cell r="C913" t="str">
            <v>16Gb/s FC 2 ポート アダプタ</v>
          </cell>
        </row>
        <row r="914">
          <cell r="A914" t="str">
            <v>E7X49A</v>
          </cell>
          <cell r="B914" t="str">
            <v>M6710 1.2TB 10K 2.5'' 6G SAS HDD</v>
          </cell>
          <cell r="C914" t="str">
            <v>RAID (D+P) 実効容量約</v>
          </cell>
        </row>
        <row r="915">
          <cell r="A915" t="str">
            <v>E7X64A</v>
          </cell>
          <cell r="B915" t="str">
            <v>M6710 2.5型 SAS エンクロージャー</v>
          </cell>
          <cell r="C915" t="str">
            <v>M6710 2.5 型 SAS ドライブエンクロージャー
※2.5 型ドライブを最大 24 台搭載可能</v>
          </cell>
        </row>
        <row r="916">
          <cell r="A916" t="str">
            <v>E7X66A</v>
          </cell>
          <cell r="B916" t="str">
            <v>M6720 3.5型 SAS エンクロージャー</v>
          </cell>
          <cell r="C916" t="str">
            <v>M6720 3.5 型 SAS ドライブエンクロージャー
※3.5 型ドライブを最大 24 台搭載可能</v>
          </cell>
        </row>
        <row r="917">
          <cell r="A917" t="str">
            <v>E7X83A</v>
          </cell>
          <cell r="B917" t="str">
            <v>3PAR 7440c 増設用 2コントローラーノード</v>
          </cell>
          <cell r="C917" t="str">
            <v>2 コントローラーノード搭載(2U)、4 コントローラーノードへの増設用
※2.5 型ドライブを最大 24 台搭載可能
※8Gb/s FC ポート×4 ポートを装備</v>
          </cell>
        </row>
        <row r="918">
          <cell r="A918" t="str">
            <v>E7X92A</v>
          </cell>
          <cell r="B918" t="str">
            <v>3PAR 7450c 増設用 2コントローラーノード</v>
          </cell>
          <cell r="C918" t="str">
            <v>2 コントローラーノード搭載(2U)、4 コントローラーノードへの増設用
※2.5 型ドライブを最大 24 台搭載可能
※8Gb/s FC ポート×4 ポートを装備</v>
          </cell>
        </row>
        <row r="919">
          <cell r="A919" t="str">
            <v>E7X96A</v>
          </cell>
          <cell r="B919" t="str">
            <v>3PAR 7000 2ポート 10GbE File アダプタ</v>
          </cell>
          <cell r="C919" t="str">
            <v>ファイルサービス専用 10GbE 2 ポートを装備(10GbE SR SFP+付属)</v>
          </cell>
        </row>
        <row r="920">
          <cell r="A920" t="str">
            <v>E7X97A</v>
          </cell>
          <cell r="B920" t="str">
            <v>3PAR 7000 4ポート 1GbE File アダプタ</v>
          </cell>
          <cell r="C920" t="str">
            <v>ファイルサービス専用 1GbE 4 ポートを装備</v>
          </cell>
        </row>
        <row r="921">
          <cell r="A921" t="str">
            <v>E7Y52A</v>
          </cell>
          <cell r="B921" t="str">
            <v>M6710 920GB 2.5型 5年保証 暗号化SSD</v>
          </cell>
          <cell r="C921" t="str">
            <v>RAID (D+P) 実効容量約</v>
          </cell>
        </row>
        <row r="922">
          <cell r="A922" t="str">
            <v>E7Y57A</v>
          </cell>
          <cell r="B922" t="str">
            <v>M6710 1.92TB 2.5型 5年保証 SSD</v>
          </cell>
          <cell r="C922" t="str">
            <v>RAID (D+P) 実効容量約</v>
          </cell>
        </row>
        <row r="923">
          <cell r="A923" t="str">
            <v>E7Y70A</v>
          </cell>
          <cell r="B923" t="str">
            <v>3PAR 8000 2ポート 10GbE File アダプタ</v>
          </cell>
          <cell r="C923" t="str">
            <v>ファイルサービス(File Persona)専用 10GbE 2 ポートを装備(10GbE SR SFP+×2 付属)</v>
          </cell>
        </row>
        <row r="924">
          <cell r="A924" t="str">
            <v>E7Y71A</v>
          </cell>
          <cell r="B924" t="str">
            <v>3PAR 8000 2.5型 SAS エンクロージャー</v>
          </cell>
          <cell r="C924" t="str">
            <v>3PAR 8000 2.5 型 SAS ドライブエンクロージャー
※2.5 型ドライブを最大 24 台搭載可能</v>
          </cell>
        </row>
        <row r="925">
          <cell r="A925" t="str">
            <v>E7Y72A</v>
          </cell>
          <cell r="B925" t="str">
            <v>3PAR 8000 3.5型 SAS エンクロージャー</v>
          </cell>
          <cell r="C925" t="str">
            <v>3PAR 8000 3.5 型 SAS ドライブエンクロージャー
※3.5 型ドライブを最大 24 台搭載可能</v>
          </cell>
        </row>
        <row r="926">
          <cell r="A926" t="str">
            <v>H6Y96B</v>
          </cell>
          <cell r="B926" t="str">
            <v>3PAR 8400 2N+SW Storage Field Base</v>
          </cell>
          <cell r="C926" t="str">
            <v>HPE 3PAR StoreServ 8400 2 コントローラーノード+SW
※2.5 型ドライブを最大 24 台搭載可能
※16Gb/s FC ポート×4 ポートを装備</v>
          </cell>
        </row>
        <row r="927">
          <cell r="A927" t="str">
            <v>H6Z00A</v>
          </cell>
          <cell r="B927" t="str">
            <v>3PAR 8000 4ポート 16Gb/s FCアダプタ</v>
          </cell>
          <cell r="C927" t="str">
            <v>16Gb/s FC 4 ポートを装備 (16Gb 短波長 SFP+×4 付属)</v>
          </cell>
        </row>
        <row r="928">
          <cell r="A928" t="str">
            <v>H6Z02B</v>
          </cell>
          <cell r="B928" t="str">
            <v>3PAR 8400 4N+SW Storage Field Base</v>
          </cell>
          <cell r="C928" t="str">
            <v>HPE 3PAR StoreServ 8400 4 コントローラーノード+SW 
※2.5 型ドライブを最大 48 台搭載可能
※16Gb/s FC ポート×8 ポートを装備</v>
          </cell>
        </row>
        <row r="929">
          <cell r="A929" t="str">
            <v>H6Z05A</v>
          </cell>
          <cell r="B929" t="str">
            <v>3PAR 8000 4ポート 1GbE File アダプタ</v>
          </cell>
          <cell r="C929" t="str">
            <v>ファイルサービス(File Persona)専用 1GbE 4 ポートを装備(RJ-45 コネクター×4)</v>
          </cell>
        </row>
        <row r="930">
          <cell r="A930" t="str">
            <v>H6Z06B</v>
          </cell>
          <cell r="B930" t="str">
            <v>3PAR 8400+SW Upgrade Node Pair</v>
          </cell>
          <cell r="C930" t="str">
            <v>3PAR StoreServ 8400 増設用 2 コントローラーノード+SW
※2 コントローラーノード搭載(2U)、4 コントローラーノードへの増設用
※2.5 型ドライブを最大 24 台搭載可能
※16Gb/s FC ポート×4 ポートを装備</v>
          </cell>
        </row>
        <row r="931">
          <cell r="A931" t="str">
            <v>H6Z07B</v>
          </cell>
          <cell r="B931" t="str">
            <v>3PAR 8440 2N+SW Storage Field Base</v>
          </cell>
          <cell r="C931" t="str">
            <v>HPE 3PAR StoreServ 8440 2 コントローラーノード+SW
※2.5 型ドライブを最大 24 台搭載可能
※16Gb/s FC ポート×4 ポートを装備</v>
          </cell>
        </row>
        <row r="932">
          <cell r="A932" t="str">
            <v>H6Z08B</v>
          </cell>
          <cell r="B932" t="str">
            <v>3PAR 8440+SW Upgrade Node Pair</v>
          </cell>
          <cell r="C932" t="str">
            <v>3PAR StoreServ 8440 増設用 2 コントローラーノード+SW 
※2 コントローラーノード搭載(2U)、4 コントローラーノードへの増設用
※2.5 型ドライブを最大 24 台搭載可能
※16Gb/s FC ポート×4 ポートを装備</v>
          </cell>
        </row>
        <row r="933">
          <cell r="A933" t="str">
            <v>H6Z10A</v>
          </cell>
          <cell r="B933" t="str">
            <v>3PAR 8000 2-pt iSCSI/FCoE 10GbEアダプタ</v>
          </cell>
          <cell r="C933" t="str">
            <v>iSCSI/FCoE 対応 10GbE 2 ポートを装備 (10GbE SR SFP+×2 付属)</v>
          </cell>
        </row>
        <row r="934">
          <cell r="A934" t="str">
            <v>H6Z13B</v>
          </cell>
          <cell r="B934" t="str">
            <v>3PAR 8440 4N+SW Storage Field Base</v>
          </cell>
          <cell r="C934" t="str">
            <v>HPE 3PAR StoreServ 8440 4 コントローラーノード+SW
※2.5 型ドライブを最大 48 台搭載可能
※16Gb/s FC ポート×8 ポートを装備</v>
          </cell>
        </row>
        <row r="935">
          <cell r="A935" t="str">
            <v>H6Z18B</v>
          </cell>
          <cell r="B935" t="str">
            <v>3PAR 8450 2N+SW Storage Field Base</v>
          </cell>
          <cell r="C935" t="str">
            <v>HPE 3PAR StoreServ 8450 2 コントローラーノード+SW
※2.5 型ドライブを最大 24 台搭載可能
※16Gb/s FC ポート×4 ポートを装備</v>
          </cell>
        </row>
        <row r="936">
          <cell r="A936" t="str">
            <v>H6Z19B</v>
          </cell>
          <cell r="B936" t="str">
            <v>3PAR 8450+SW Upgrade Node Pair</v>
          </cell>
          <cell r="C936" t="str">
            <v>3PAR StoreServ 8450 増設用 2 コントローラーノード+SW
※2 コントローラーノード搭載(2U)、4 コントローラーノードへの増設用
※2.5 型ドライブを最大 24 台搭載可能
※16Gb/s FC ポート×4 ポートを装備</v>
          </cell>
        </row>
        <row r="937">
          <cell r="A937" t="str">
            <v>H6Z24B</v>
          </cell>
          <cell r="B937" t="str">
            <v>3PAR 8450 4N+SW Storage Field Base</v>
          </cell>
          <cell r="C937" t="str">
            <v>HPE 3PAR StoreServ 8450 4 コントローラーノード+SW
※2.5 型ドライブを最大 48 台搭載可能
※16Gb/s FC ポート×8 ポートを装備</v>
          </cell>
        </row>
        <row r="938">
          <cell r="A938" t="str">
            <v>H6Z87A</v>
          </cell>
          <cell r="B938" t="str">
            <v>M6720 4TB 7.2K 3.5'' 6G NL SAS HDD</v>
          </cell>
          <cell r="C938" t="str">
            <v>RAID (D+P) 実効容量約</v>
          </cell>
        </row>
        <row r="939">
          <cell r="A939" t="str">
            <v>K0F23A</v>
          </cell>
          <cell r="B939" t="str">
            <v>M6710 600GB 15K 2.5in 6G SAS HDD</v>
          </cell>
          <cell r="C939" t="str">
            <v>RAID (D+P) 実効容量約</v>
          </cell>
        </row>
        <row r="940">
          <cell r="A940" t="str">
            <v>K0F24A</v>
          </cell>
          <cell r="B940" t="str">
            <v>M6710 600GB 15K 2.5in 6G SAS FIPS HDD</v>
          </cell>
          <cell r="C940" t="str">
            <v>RAID (D+P) 実効容量約</v>
          </cell>
        </row>
        <row r="941">
          <cell r="A941" t="str">
            <v>K0F25A</v>
          </cell>
          <cell r="B941" t="str">
            <v>M6710 1.2TB 10K 2.5in 6G SAS FIPS HDD</v>
          </cell>
          <cell r="C941" t="str">
            <v>RAID (D+P) 実効容量約</v>
          </cell>
        </row>
        <row r="942">
          <cell r="A942" t="str">
            <v>K0F26A</v>
          </cell>
          <cell r="B942" t="str">
            <v>M6710 1.8TB 10K 2.5in 6G SAS HDD</v>
          </cell>
          <cell r="C942" t="str">
            <v>RAID (D+P) 実効容量約</v>
          </cell>
        </row>
        <row r="943">
          <cell r="A943" t="str">
            <v>K0F27A</v>
          </cell>
          <cell r="B943" t="str">
            <v>M6710 1.92TB 2.5型 5年保証 暗号化SSD</v>
          </cell>
          <cell r="C943" t="str">
            <v>RAID (D+P) 実効容量約</v>
          </cell>
        </row>
        <row r="944">
          <cell r="A944" t="str">
            <v>K0F28A</v>
          </cell>
          <cell r="B944" t="str">
            <v>M6720 6TB 7.2K 3.5in 6G NL SAS HDD</v>
          </cell>
          <cell r="C944" t="str">
            <v>RAID (D+P) 実効容量約</v>
          </cell>
        </row>
        <row r="945">
          <cell r="A945" t="str">
            <v>K2P85B</v>
          </cell>
          <cell r="B945" t="str">
            <v>3PAR 8K 1.2TB+SW 10K SFF FE HDD</v>
          </cell>
          <cell r="C945" t="str">
            <v>RAID (D+P) 実効容量約</v>
          </cell>
        </row>
        <row r="946">
          <cell r="A946" t="str">
            <v>K2P86B</v>
          </cell>
          <cell r="B946" t="str">
            <v>3PAR 8K 6TB+SW 7.2K LFF FE HDD</v>
          </cell>
          <cell r="C946" t="str">
            <v>RAID (D+P) 実効容量約</v>
          </cell>
        </row>
        <row r="947">
          <cell r="A947" t="str">
            <v>K2P87B</v>
          </cell>
          <cell r="B947" t="str">
            <v>3PAR 8K 4TB+SW 7.2K LFF HDD</v>
          </cell>
          <cell r="C947" t="str">
            <v>RAID (D+P) 実効容量約</v>
          </cell>
        </row>
        <row r="948">
          <cell r="A948" t="str">
            <v>K2P89B</v>
          </cell>
          <cell r="B948" t="str">
            <v>3PAR 8K 1.92TB+SW SFF SSD</v>
          </cell>
          <cell r="C948" t="str">
            <v>RAID (D+P) 実効容量約</v>
          </cell>
        </row>
        <row r="949">
          <cell r="A949" t="str">
            <v>K2P90B</v>
          </cell>
          <cell r="B949" t="str">
            <v>3PAR 8K 920GB+SW SFF FE SSD</v>
          </cell>
          <cell r="C949" t="str">
            <v>RAID (D+P) 実効容量約</v>
          </cell>
        </row>
        <row r="950">
          <cell r="A950" t="str">
            <v>K2P91B</v>
          </cell>
          <cell r="B950" t="str">
            <v>3PAR 8K 3.84TB+SW SFF SSD</v>
          </cell>
          <cell r="C950" t="str">
            <v>RAID (D+P) 実効容量約</v>
          </cell>
        </row>
        <row r="951">
          <cell r="A951" t="str">
            <v>K2P92B</v>
          </cell>
          <cell r="B951" t="str">
            <v>3PAR 8K 600GB+SW 15K SFF FE HDD</v>
          </cell>
          <cell r="C951" t="str">
            <v>RAID (D+P) 実効容量約</v>
          </cell>
        </row>
        <row r="952">
          <cell r="A952" t="str">
            <v>K2P93B</v>
          </cell>
          <cell r="B952" t="str">
            <v>3PAR 8K 1.2TB+SW 10K SFF HDD</v>
          </cell>
          <cell r="C952" t="str">
            <v>RAID (D+P) 実効容量約</v>
          </cell>
        </row>
        <row r="953">
          <cell r="A953" t="str">
            <v>K2P94B</v>
          </cell>
          <cell r="B953" t="str">
            <v>3PAR 8K 1.8TB+SW 10K SFF HDD</v>
          </cell>
          <cell r="C953" t="str">
            <v>RAID (D+P) 実効容量約</v>
          </cell>
        </row>
        <row r="954">
          <cell r="A954" t="str">
            <v>K2P95B</v>
          </cell>
          <cell r="B954" t="str">
            <v>3PAR 8K 2TB+SW 7.2K LFF HDD</v>
          </cell>
          <cell r="C954" t="str">
            <v>RAID (D+P) 実効容量約</v>
          </cell>
        </row>
        <row r="955">
          <cell r="A955" t="str">
            <v>K2P96B</v>
          </cell>
          <cell r="B955" t="str">
            <v>3PAR 8K 6TB+SW 7.2K LFF HDD</v>
          </cell>
          <cell r="C955" t="str">
            <v>RAID (D+P) 実効容量約</v>
          </cell>
        </row>
        <row r="956">
          <cell r="A956" t="str">
            <v>K2P97B</v>
          </cell>
          <cell r="B956" t="str">
            <v>3PAR 8K 300GB+SW 15K SFF HDD</v>
          </cell>
          <cell r="C956" t="str">
            <v>RAID (D+P) 実効容量約</v>
          </cell>
        </row>
        <row r="957">
          <cell r="A957" t="str">
            <v>K2P98B</v>
          </cell>
          <cell r="B957" t="str">
            <v>3PAR 8K 600GB+SW 15K SFF HDD</v>
          </cell>
          <cell r="C957" t="str">
            <v>RAID (D+P) 実効容量約</v>
          </cell>
        </row>
        <row r="958">
          <cell r="A958" t="str">
            <v>K2P99B</v>
          </cell>
          <cell r="B958" t="str">
            <v>3PAR 8K 600GB+SW 10K SFF HDD</v>
          </cell>
          <cell r="C958" t="str">
            <v>RAID (D+P) 実効容量約</v>
          </cell>
        </row>
        <row r="959">
          <cell r="A959" t="str">
            <v>K2Q36B</v>
          </cell>
          <cell r="B959" t="str">
            <v>3PAR 8200 2N+SW Storage Field Base</v>
          </cell>
          <cell r="C959" t="str">
            <v>HPE 3PAR StoreServ 8200 2 コントローラーノード+SW
※2.5 型ドライブを最大 24 台搭載可能
※16Gb/s FC ポート×4 ポートを装備</v>
          </cell>
        </row>
        <row r="960">
          <cell r="A960" t="str">
            <v>K2Q91A</v>
          </cell>
          <cell r="B960" t="str">
            <v>M6710 3.84TB 2.5型 5年保証 SSD</v>
          </cell>
          <cell r="C960" t="str">
            <v>RAID (D+P) 実効容量約</v>
          </cell>
        </row>
        <row r="961">
          <cell r="A961" t="str">
            <v>K2R27B</v>
          </cell>
          <cell r="B961" t="str">
            <v>3PAR 8K 1.92TB+SW SFF FE SSD</v>
          </cell>
          <cell r="C961" t="str">
            <v>RAID (D+P) 実効容量約</v>
          </cell>
        </row>
        <row r="962">
          <cell r="A962" t="str">
            <v>K2R28A</v>
          </cell>
          <cell r="B962" t="str">
            <v>3PAR StoreServ サービスプロセッサ SPS</v>
          </cell>
          <cell r="C962" t="str">
            <v>HPE 3PAR StoreServ の管理及びリモート保守用ハードウェアアプライアンス製品
※ProLiant DL120 Gen9 ベース
※100V 電源ケーブル(NEMA 5-15P)×1、200V PDU 用電源ケーブル(IEC320 C14)×1 付属</v>
          </cell>
        </row>
        <row r="963">
          <cell r="A963" t="str">
            <v>M0S91A</v>
          </cell>
          <cell r="B963" t="str">
            <v>M6710 2TB 7.2K 2.5in 6G SAS NL HDD</v>
          </cell>
          <cell r="C963" t="str">
            <v>RAID (D+P) 実効容量約</v>
          </cell>
        </row>
        <row r="964">
          <cell r="A964" t="str">
            <v>M0S92B</v>
          </cell>
          <cell r="B964" t="str">
            <v>3PAR 8K 2TB+SW 7.2K SFF HDD</v>
          </cell>
          <cell r="C964" t="str">
            <v>RAID (D+P) 実効容量約</v>
          </cell>
        </row>
        <row r="965">
          <cell r="A965" t="str">
            <v>M0T66B</v>
          </cell>
          <cell r="B965" t="str">
            <v>3PAR 8K 3.84TB+SW SFF FE SSD</v>
          </cell>
          <cell r="C965" t="str">
            <v>RAID (D+P) 実効容量約</v>
          </cell>
        </row>
        <row r="966">
          <cell r="A966" t="str">
            <v>M0T67A</v>
          </cell>
          <cell r="B966" t="str">
            <v>M6710 3.84TB 2.5型 5年保証 暗号化SSD</v>
          </cell>
          <cell r="C966" t="str">
            <v>RAID (D+P) 実効容量約</v>
          </cell>
        </row>
        <row r="967">
          <cell r="A967" t="str">
            <v>N9Y05B</v>
          </cell>
          <cell r="B967" t="str">
            <v>3PAR 8K 4TB+SW 7.2K LFF FE HDD</v>
          </cell>
          <cell r="C967" t="str">
            <v>RAID (D+P) 実効容量約</v>
          </cell>
        </row>
        <row r="968">
          <cell r="A968" t="str">
            <v>N9Y06B</v>
          </cell>
          <cell r="B968" t="str">
            <v>3PAR 8K 400GB+SW SFF SSD</v>
          </cell>
          <cell r="C968" t="str">
            <v>RAID (D+P) 実効容量約</v>
          </cell>
        </row>
        <row r="969">
          <cell r="A969" t="str">
            <v>N9Y07A</v>
          </cell>
          <cell r="B969" t="str">
            <v>M6710 400GB 2.5型 5年保証 SSD</v>
          </cell>
          <cell r="C969" t="str">
            <v>RAID (D+P) 実効容量約</v>
          </cell>
        </row>
        <row r="970">
          <cell r="A970" t="str">
            <v>N9Z18A</v>
          </cell>
          <cell r="B970" t="str">
            <v>3PAR 8000 4-pt 10GbE/16Gb FC Adapter</v>
          </cell>
          <cell r="C970" t="str">
            <v>※ファイルサービス(File Persona)専用 10GbE 2 ポートを装備(10GbE SR SFP+×2 付属)
※16Gb/s FC 2 ポートを装備 (16Gb 短波長 SFP+×2 付属)</v>
          </cell>
        </row>
        <row r="971">
          <cell r="A971" t="str">
            <v>N9Z19A</v>
          </cell>
          <cell r="B971" t="str">
            <v>3PAR 8000 4-pt 10GbE Combo Adapter</v>
          </cell>
          <cell r="C971" t="str">
            <v>※ファイルサービス(File Persona)専用 10GbE 2 ポートを装備(10GbE SR SFP+×2 付属)
※iSCSI 対応 10GbE 2 ポートを装備(10GbE SR SFP+×2 付属)</v>
          </cell>
        </row>
        <row r="972">
          <cell r="A972" t="str">
            <v>P9B44B</v>
          </cell>
          <cell r="B972" t="str">
            <v>3PAR 8000 8TB+SW 7.2K LFF HDD</v>
          </cell>
          <cell r="C972" t="str">
            <v>RAID (D+P) 実効容量約</v>
          </cell>
        </row>
        <row r="973">
          <cell r="A973" t="str">
            <v>P9B45B</v>
          </cell>
          <cell r="B973" t="str">
            <v>3PAR 8000 8TB+SW 7.2K LFF FE HDD</v>
          </cell>
          <cell r="C973" t="str">
            <v>RAID (D+P) 実効容量約</v>
          </cell>
        </row>
        <row r="974">
          <cell r="A974" t="str">
            <v>P9L83B</v>
          </cell>
          <cell r="B974" t="str">
            <v>3PAR 8K 7.68TB+SW SFF SSD</v>
          </cell>
          <cell r="C974" t="str">
            <v>RAID (D+P) 実効容量約</v>
          </cell>
        </row>
        <row r="975">
          <cell r="A975" t="str">
            <v>P9L84B</v>
          </cell>
          <cell r="B975" t="str">
            <v>3PAR 8000 7.68TB+SW SFF FE SSD</v>
          </cell>
          <cell r="C975" t="str">
            <v>RAID (D+P) 実効容量約</v>
          </cell>
        </row>
        <row r="976">
          <cell r="A976" t="str">
            <v>P9M59B</v>
          </cell>
          <cell r="B976" t="str">
            <v>3PAR 8000 15.36TB+SW SFF SSD</v>
          </cell>
          <cell r="C976" t="str">
            <v>RAID (D+P) 実効容量約</v>
          </cell>
        </row>
        <row r="977">
          <cell r="A977" t="str">
            <v>P9M60B</v>
          </cell>
          <cell r="B977" t="str">
            <v>3PAR 8000 15.36TB+SW SFF FE SSD</v>
          </cell>
          <cell r="C977" t="str">
            <v>RAID (D+P) 実効容量約</v>
          </cell>
        </row>
        <row r="978">
          <cell r="A978" t="str">
            <v>QR484A</v>
          </cell>
          <cell r="B978" t="str">
            <v>3PAR 7400 増設用 2コントローラーノード</v>
          </cell>
          <cell r="C978" t="str">
            <v>2 コントローラーノード搭載、4 コントローラーノードへの増設用オプション
※2.5 型ドライブを最大 24 台搭載可能
※8Gb/s FC ポート×4 ポートを装備</v>
          </cell>
        </row>
        <row r="979">
          <cell r="A979" t="str">
            <v>QR486A</v>
          </cell>
          <cell r="B979" t="str">
            <v>3PAR 7000 4ポート 8Gb/s FCアダプタ</v>
          </cell>
          <cell r="C979" t="str">
            <v>8Gb/s FC 4 ポートを装備</v>
          </cell>
        </row>
        <row r="980">
          <cell r="A980" t="str">
            <v>QR487A</v>
          </cell>
          <cell r="B980" t="str">
            <v>3PAR 7000 2ポート 10GbE アダプタ</v>
          </cell>
          <cell r="C980" t="str">
            <v>iSCSI/FCoE 対応 10GbE 2 ポートを装備</v>
          </cell>
        </row>
        <row r="981">
          <cell r="A981" t="str">
            <v>QR490A</v>
          </cell>
          <cell r="B981" t="str">
            <v>M6710 2.5型 2U ドライブエンクロージャー</v>
          </cell>
          <cell r="C981" t="str">
            <v xml:space="preserve">M6710 2.5 型 SAS ドライブエンクロージャー
※2.5 型ドライブを最大 24 台搭載可能 </v>
          </cell>
        </row>
        <row r="982">
          <cell r="A982" t="str">
            <v>QR491A</v>
          </cell>
          <cell r="B982" t="str">
            <v>M6720 3.5型 4U ドライブエンクロージャー</v>
          </cell>
          <cell r="C982" t="str">
            <v>M6720 3.5 型 SAS ドライブエンクロージャー
※3.5 型ドライブを最大 24 台搭載可能</v>
          </cell>
        </row>
        <row r="983">
          <cell r="A983" t="str">
            <v>QR492A</v>
          </cell>
          <cell r="B983" t="str">
            <v>M6710 300GB 15K 2.5'' 6G SAS HDD</v>
          </cell>
          <cell r="C983" t="str">
            <v>RAID (D+P) 実効容量約</v>
          </cell>
        </row>
        <row r="984">
          <cell r="A984" t="str">
            <v>QR498A</v>
          </cell>
          <cell r="B984" t="str">
            <v>M6710 1TB 7.2K 2.5'' 6G NL SAS HDD</v>
          </cell>
          <cell r="C984" t="str">
            <v>RAID (D+P) 実効容量約</v>
          </cell>
        </row>
        <row r="985">
          <cell r="A985" t="str">
            <v>QR499A</v>
          </cell>
          <cell r="B985" t="str">
            <v>M6720 2TB 7.2K 3.5'' 6G NL SAS HDD</v>
          </cell>
          <cell r="C985" t="str">
            <v>RAID (D+P) 実効容量約</v>
          </cell>
        </row>
        <row r="986">
          <cell r="A986" t="str">
            <v>QR514A</v>
          </cell>
          <cell r="B986" t="str">
            <v>SAS延長ケーブルキット(1m)</v>
          </cell>
          <cell r="C986" t="str">
            <v>-</v>
          </cell>
        </row>
        <row r="987">
          <cell r="A987" t="str">
            <v>QR515A</v>
          </cell>
          <cell r="B987" t="str">
            <v>3PAR 7400c 増設用 2コントローラーノード</v>
          </cell>
          <cell r="C987" t="str">
            <v>2 コントローラーノード搭載、4 コントローラーノードへの増設用オプション
※2.5 型ドライブを最大 24 台搭載可能
※8Gb/s FC ポート×4 ポートを装備</v>
          </cell>
        </row>
        <row r="988">
          <cell r="A988" t="str">
            <v>806562-B21</v>
          </cell>
          <cell r="B988" t="str">
            <v>Apollo 4200 リダンダントファン</v>
          </cell>
          <cell r="C988" t="str">
            <v>ファン冗長化オプション</v>
          </cell>
        </row>
        <row r="989">
          <cell r="A989" t="str">
            <v>806564-B21</v>
          </cell>
          <cell r="B989" t="str">
            <v>2ベイ SFF(2.5型) + 2 PCIe リアケージ</v>
          </cell>
          <cell r="C989" t="str">
            <v>追加2SFFドライブケージ + 2xPCIeスロットオプション</v>
          </cell>
        </row>
        <row r="990">
          <cell r="A990" t="str">
            <v>806565-B21</v>
          </cell>
          <cell r="B990" t="str">
            <v>iLO専用マネジメントポート モジュール</v>
          </cell>
          <cell r="C990" t="str">
            <v>iLO 4 リモート管理用の専用 RJ-45 ポートを増設するためのオプション</v>
          </cell>
        </row>
        <row r="991">
          <cell r="A991" t="str">
            <v>822731-B21</v>
          </cell>
          <cell r="B991" t="str">
            <v>HP 2Uシェルフマウント型調整可能レール</v>
          </cell>
          <cell r="C991" t="str">
            <v>ラックレールキット</v>
          </cell>
        </row>
        <row r="992">
          <cell r="A992" t="str">
            <v>830718-B21</v>
          </cell>
          <cell r="B992" t="str">
            <v>E5-2620v4 2.10GHz 1P/8C CPU Apollo 4200</v>
          </cell>
          <cell r="C992" t="str">
            <v>追加CPU：Xeon E5-2620v4 2.10GHz 2P/16C</v>
          </cell>
        </row>
        <row r="993">
          <cell r="A993" t="str">
            <v>838823-B21</v>
          </cell>
          <cell r="B993" t="str">
            <v>Smart HBA接続ケーブルキット</v>
          </cell>
          <cell r="C993" t="str">
            <v>H240 Smart HBAと、4LFF または 2SFF リアドライブ ケージとの接続用ケーブル</v>
          </cell>
        </row>
        <row r="994">
          <cell r="A994" t="str">
            <v>838833-B21</v>
          </cell>
          <cell r="B994" t="str">
            <v>Apollo 4200 Gen9 6SFF リアケージキット</v>
          </cell>
          <cell r="C994" t="str">
            <v>追加6SFFドライブケージオプション</v>
          </cell>
        </row>
        <row r="995">
          <cell r="A995" t="str">
            <v>841374-B21</v>
          </cell>
          <cell r="B995" t="str">
            <v>Apollo 4200 Gen9 P440 リアケーブルキット</v>
          </cell>
          <cell r="C995" t="str">
            <v>Smart アレイ P440 コントローラーと4LFF または 2SFF リアドライブ ケージとの接続用ケーブル</v>
          </cell>
        </row>
        <row r="996">
          <cell r="A996" t="str">
            <v>849878-291</v>
          </cell>
          <cell r="B996" t="str">
            <v>Apollo 4200 Gen9 E5-2620v4 1P8C 16GB LFF</v>
          </cell>
          <cell r="C996" t="str">
            <v xml:space="preserve">Xeon E5-2620v4 2.10GHz 1P/8C MEM：16GB P840ar/2GB NIC：1GbEx2p </v>
          </cell>
        </row>
        <row r="997">
          <cell r="A997" t="str">
            <v>849879-291</v>
          </cell>
          <cell r="B997" t="str">
            <v>Apollo 4200 Gen9 E5-2620v4 1P8C 16GB SFF</v>
          </cell>
          <cell r="C997" t="str">
            <v xml:space="preserve">Xeon E5-2620v4 2.10GHz 1P/8C MEM：16GB P840ar/2GB NIC：1GbEx2p </v>
          </cell>
        </row>
        <row r="998">
          <cell r="A998" t="str">
            <v>845779-B21</v>
          </cell>
          <cell r="B998" t="str">
            <v>Wide Temp Wi-Fi オプションキット</v>
          </cell>
          <cell r="C998" t="str">
            <v>-</v>
          </cell>
        </row>
        <row r="999">
          <cell r="A999" t="str">
            <v>845788-B21</v>
          </cell>
          <cell r="B999" t="str">
            <v>Wide Temp WAN 3G オプションキット</v>
          </cell>
          <cell r="C999" t="str">
            <v>-</v>
          </cell>
        </row>
        <row r="1000">
          <cell r="A1000" t="str">
            <v>847910-B21</v>
          </cell>
          <cell r="B1000" t="str">
            <v>Edgeline GL20</v>
          </cell>
          <cell r="C1000" t="str">
            <v>-</v>
          </cell>
        </row>
        <row r="1001">
          <cell r="A1001" t="str">
            <v>847976-B21</v>
          </cell>
          <cell r="B1001" t="str">
            <v>Edgeline GL10</v>
          </cell>
          <cell r="C1001" t="str">
            <v>-</v>
          </cell>
        </row>
        <row r="1002">
          <cell r="A1002" t="str">
            <v>848461-B21</v>
          </cell>
          <cell r="B1002" t="str">
            <v>GL10 VESA マウントキット</v>
          </cell>
          <cell r="C1002" t="str">
            <v>-</v>
          </cell>
        </row>
        <row r="1003">
          <cell r="A1003" t="str">
            <v>K2R12A</v>
          </cell>
          <cell r="B1003" t="str">
            <v>StoreEasy 1450 3.5型 4TB SATA</v>
          </cell>
          <cell r="C1003" t="str">
            <v xml:space="preserve">Xeon E5-2603v3 1.60GHz 1P/6C MEM：8GB P440/4GB NIC：1GbEx2p 1TB SATA HDD x4set </v>
          </cell>
        </row>
        <row r="1004">
          <cell r="A1004" t="str">
            <v>K2R13A</v>
          </cell>
          <cell r="B1004" t="str">
            <v>StoreEasy 1450 3.5型 8TB SATA</v>
          </cell>
          <cell r="C1004" t="str">
            <v xml:space="preserve">Xeon E5-2603v3 1.60GHz 1P/6C MEM：8GB P440/4GB NIC：1GbEx2p 2TB SATA HDD x4set </v>
          </cell>
        </row>
        <row r="1005">
          <cell r="A1005" t="str">
            <v>K2R14A</v>
          </cell>
          <cell r="B1005" t="str">
            <v>StoreEasy 1450 3.5型 16TB SATA</v>
          </cell>
          <cell r="C1005" t="str">
            <v xml:space="preserve">Xeon E5-2603v3 1.60GHz 1P/6C MEM：8GB P440/4GB NIC：1GbEx2p 4TB SATA HDD x4set </v>
          </cell>
        </row>
        <row r="1006">
          <cell r="A1006" t="str">
            <v>K2R15A</v>
          </cell>
          <cell r="B1006" t="str">
            <v>StoreEasy 1650 3.5型 ベースモデル</v>
          </cell>
          <cell r="C1006" t="str">
            <v>Xeon E5-2609v3 1.90GHz 1P/6C MEM：16GB(8GB x2) P440ar/2GB + SAS Expander NIC：1GbEx4p OS用SSD x2set</v>
          </cell>
        </row>
        <row r="1007">
          <cell r="A1007" t="str">
            <v>K2R16A</v>
          </cell>
          <cell r="B1007" t="str">
            <v>StoreEasy 1650 3.5型 16TB MDL-SAS</v>
          </cell>
          <cell r="C1007" t="str">
            <v xml:space="preserve">Xeon E5-2609v3 1.90GHz 1P/6C MEM：16GB(8GB x2) P440ar/2GB + SAS Expander NIC：1GbEx4p OS用SSD x2set、User用2TB NL SAS HDD x8set </v>
          </cell>
        </row>
        <row r="1008">
          <cell r="A1008" t="str">
            <v>K2R17A</v>
          </cell>
          <cell r="B1008" t="str">
            <v>StoreEasy 1650 3.5型 32TB MDL-SAS</v>
          </cell>
          <cell r="C1008" t="str">
            <v xml:space="preserve">Xeon E5-2609v3 1.90GHz 1P/6C MEM：16GB(8GB x2) P440ar/2GB + SAS Expander NIC：1GbEx4p OS用SSD x2set、User用4TB NL SAS HDD x8set </v>
          </cell>
        </row>
        <row r="1009">
          <cell r="A1009" t="str">
            <v>K2R18A</v>
          </cell>
          <cell r="B1009" t="str">
            <v>StoreEasy 1650 3.5型 48TB MDL-SAS</v>
          </cell>
          <cell r="C1009" t="str">
            <v xml:space="preserve">Xeon E5-2609v3 1.90GHz 1P/6C MEM：16GB(8GB x2) P440ar/2GB + SAS Expander NIC：1GbEx4p OS用SSD x2set、User用6TB NL SAS HDD x8set </v>
          </cell>
        </row>
        <row r="1010">
          <cell r="A1010" t="str">
            <v>K2R19A</v>
          </cell>
          <cell r="B1010" t="str">
            <v>StoreEasy 1850 2.5型 ベースモデル</v>
          </cell>
          <cell r="C1010" t="str">
            <v>Xeon E5-2609v3 1.90GHz 1P/6C MEM：16GB(8GB x2) P440ar/2GB + SAS Expander NIC：1GbEx4p OS用SSD x2set</v>
          </cell>
        </row>
        <row r="1011">
          <cell r="A1011" t="str">
            <v>K2R63A</v>
          </cell>
          <cell r="B1011" t="str">
            <v>StoreEasy 1550 3.5型 4TB SATA</v>
          </cell>
          <cell r="C1011" t="str">
            <v xml:space="preserve">Xeon E5-2603v3 1.60GHz 1P/6C MEM：8GB P440/4GB NIC：1GbEx2p 1TB SATA HDD x4set </v>
          </cell>
        </row>
        <row r="1012">
          <cell r="A1012" t="str">
            <v>K2R64A</v>
          </cell>
          <cell r="B1012" t="str">
            <v>StoreEasy 1550 3.5型 8TB SATA</v>
          </cell>
          <cell r="C1012" t="str">
            <v xml:space="preserve">Xeon E5-2603v3 1.60GHz 1P/6C MEM：8GB P440/4GB NIC：1GbEx2p 2TB SATA HDD x4set </v>
          </cell>
        </row>
        <row r="1013">
          <cell r="A1013" t="str">
            <v>K2R65A</v>
          </cell>
          <cell r="B1013" t="str">
            <v>StoreEasy 1550 3.5型 16TB SATA</v>
          </cell>
          <cell r="C1013" t="str">
            <v xml:space="preserve">Xeon E5-2603v3 1.60GHz 1P/6C MEM：8GB P440/4GB NIC：1GbEx2p 4TB SATA HDD x4set </v>
          </cell>
        </row>
        <row r="1014">
          <cell r="A1014" t="str">
            <v>P4A92A</v>
          </cell>
          <cell r="B1014" t="str">
            <v>StoreEasy xx50 Recovery SW Media Kit</v>
          </cell>
          <cell r="C1014" t="str">
            <v>StoreEasy xx50 Windows Storage Server 2012 R2 用 System Recovery DVDキット</v>
          </cell>
        </row>
        <row r="1015">
          <cell r="A1015" t="str">
            <v>P4A93A</v>
          </cell>
          <cell r="B1015" t="str">
            <v>3PAR File Con v3 Recovery SW Media Kit</v>
          </cell>
          <cell r="C1015" t="str">
            <v>-</v>
          </cell>
        </row>
        <row r="1016">
          <cell r="A1016" t="str">
            <v>Q0F57A</v>
          </cell>
          <cell r="B1016" t="str">
            <v>WSS2016 Std Ed Upgd Kit</v>
          </cell>
          <cell r="C1016" t="str">
            <v>StoreEasy本体の OS を Windows Storage Server 2012 R2 Standard Edition から
Windows Storage Server 2016 Standard Edition へアップグレードするキット</v>
          </cell>
        </row>
        <row r="1017">
          <cell r="A1017" t="str">
            <v>Q0F66A</v>
          </cell>
          <cell r="B1017" t="str">
            <v>SV3000 File Controller</v>
          </cell>
          <cell r="C1017" t="str">
            <v>SV3000 ファイルコントローラ 本体
※Xeon E5-2603v4 1.70GHz 1P/6C MEM：8GB B140i NIC：1GbEx2p 120GB SATA SSD x2set RPS対応</v>
          </cell>
        </row>
        <row r="1018">
          <cell r="A1018" t="str">
            <v>Q0F67A</v>
          </cell>
          <cell r="B1018" t="str">
            <v>SV3000 File Controller Recovery SW Kit</v>
          </cell>
          <cell r="C1018" t="str">
            <v>SV3000 ファイルコントローラ リカバリ用メディアキット</v>
          </cell>
        </row>
        <row r="1019">
          <cell r="A1019" t="str">
            <v>Q1J33A</v>
          </cell>
          <cell r="B1019" t="str">
            <v>StoreEasy 1450 3.5型 8TB WSS2016 モデル</v>
          </cell>
          <cell r="C1019" t="str">
            <v xml:space="preserve">Xeon E5-2603v4 1.70GHz 1P/6C MEM：8GB P440/4GB NIC：1GbEx2p 2TB SATA HDD x4set </v>
          </cell>
        </row>
        <row r="1020">
          <cell r="A1020" t="str">
            <v>Q1J34A</v>
          </cell>
          <cell r="B1020" t="str">
            <v>StoreEasy 1450 3.5型16TB WSS2016 モデル</v>
          </cell>
          <cell r="C1020" t="str">
            <v xml:space="preserve">Xeon E5-2603v4 1.70GHz 1P/6C MEM：8GB P440/4GB NIC：1GbEx2p 4TB SATA HDD x4set </v>
          </cell>
        </row>
        <row r="1021">
          <cell r="A1021" t="str">
            <v>Q1J35A</v>
          </cell>
          <cell r="B1021" t="str">
            <v>StoreEasy 1650 3.5型32TB WSS2016 モデル</v>
          </cell>
          <cell r="C1021" t="str">
            <v xml:space="preserve">Xeon E5-2609v4 1.70GHz 1P/8C MEM：16GB(8GB x2) P440ar/2GB + SAS Expander NIC：1GbEx4p OS用SSD x2set、User用4TB NL SAS HDD x8set </v>
          </cell>
        </row>
        <row r="1022">
          <cell r="A1022" t="str">
            <v>726648-B21</v>
          </cell>
          <cell r="B1022" t="str">
            <v>E5-2650v3 2.30GHz 1P/10C CPU ML350 Gen9</v>
          </cell>
          <cell r="C1022" t="str">
            <v>追加CPU：Xeon E5-2650v3 2.30GHz 2P/20C</v>
          </cell>
        </row>
        <row r="1023">
          <cell r="A1023" t="str">
            <v>726654-B21</v>
          </cell>
          <cell r="B1023" t="str">
            <v>E5-2630v3 2.40GHz 1P/8C CPU ML350 Gen9</v>
          </cell>
          <cell r="C1023" t="str">
            <v>追加CPU：Xeon E5-2630v3 2.40GHz 2P/16C</v>
          </cell>
        </row>
        <row r="1024">
          <cell r="A1024" t="str">
            <v>726658-B21</v>
          </cell>
          <cell r="B1024" t="str">
            <v>E5-2620v3 2.40GHz 1P/6C CPU ML350 Gen9</v>
          </cell>
          <cell r="C1024" t="str">
            <v>追加CPU：Xeon E5-2620v3 2.40GHz 2P/12C</v>
          </cell>
        </row>
        <row r="1025">
          <cell r="A1025" t="str">
            <v>726661-B21</v>
          </cell>
          <cell r="B1025" t="str">
            <v>E5-2609v3 1.90GHz 1P/6C CPU ML350 Gen9</v>
          </cell>
          <cell r="C1025" t="str">
            <v>追加CPU：Xeon E5-2609v3 1.90GHz 2P/12C</v>
          </cell>
        </row>
        <row r="1026">
          <cell r="A1026" t="str">
            <v>780310-B21</v>
          </cell>
          <cell r="B1026" t="str">
            <v>iLO専用マネジメントポート モジュール</v>
          </cell>
          <cell r="C1026" t="str">
            <v>iLO4 リモート管理用の専用 RJ-45 ポートを増設するためのオプション</v>
          </cell>
        </row>
        <row r="1027">
          <cell r="A1027" t="str">
            <v>787006-B21</v>
          </cell>
          <cell r="B1027" t="str">
            <v>ML110 Gen9 GPUサポートホルダー</v>
          </cell>
          <cell r="C1027" t="str">
            <v>GPU を固定するためのオプション</v>
          </cell>
        </row>
        <row r="1028">
          <cell r="A1028" t="str">
            <v>801229-B21</v>
          </cell>
          <cell r="B1028" t="str">
            <v>E5-2650v4 2.20GHz 1P/12C CPU ML350 Gen9</v>
          </cell>
          <cell r="C1028" t="str">
            <v>追加CPU：Xeon E5-2650v4 2.20GHz 2P/24C</v>
          </cell>
        </row>
        <row r="1029">
          <cell r="A1029" t="str">
            <v>801231-B21</v>
          </cell>
          <cell r="B1029" t="str">
            <v>E5-2630v4 2.20GHz 1P/10C CPU ML350 Gen9</v>
          </cell>
          <cell r="C1029" t="str">
            <v>追加CPU：Xeon E5-2630v4 2.20GHz 2P/20C</v>
          </cell>
        </row>
        <row r="1030">
          <cell r="A1030" t="str">
            <v>801232-B21</v>
          </cell>
          <cell r="B1030" t="str">
            <v>E5-2620v4 2.10GHz 1P/8C CPU ML350 Gen9</v>
          </cell>
          <cell r="C1030" t="str">
            <v>追加CPU：Xeon E5-2620v4 2.10GHz 2P/16C</v>
          </cell>
        </row>
        <row r="1031">
          <cell r="A1031" t="str">
            <v>801233-B21</v>
          </cell>
          <cell r="B1031" t="str">
            <v>E5-2609v4 1.70GHz 1P/8C CPU ML350 Gen9</v>
          </cell>
          <cell r="C1031" t="str">
            <v>追加CPU：Xeon E5-2609v4 1.70GHz 2P/16C</v>
          </cell>
        </row>
        <row r="1032">
          <cell r="A1032" t="str">
            <v>801234-B21</v>
          </cell>
          <cell r="B1032" t="str">
            <v>E5-2603v4 1.70GHz 1P/6C CPU ML350 Gen9</v>
          </cell>
          <cell r="C1032" t="str">
            <v>追加CPU：Xeon E5-2603v4 1.70GHz 2P/12C</v>
          </cell>
        </row>
        <row r="1033">
          <cell r="A1033" t="str">
            <v>828355-B21</v>
          </cell>
          <cell r="B1033" t="str">
            <v>E5-2620v4 2.10GHz 1P/8C CPU ML150 Gen9</v>
          </cell>
          <cell r="C1033" t="str">
            <v>追加CPU：Xeon E5-2620v4 2.10GHz 2P/16C</v>
          </cell>
        </row>
        <row r="1034">
          <cell r="A1034" t="str">
            <v>828356-B21</v>
          </cell>
          <cell r="B1034" t="str">
            <v>E5-2609v4 1.70GHz 1P/8C CPU ML150 Gen9</v>
          </cell>
          <cell r="C1034" t="str">
            <v>追加CPU：Xeon E5-2609v4 1.70GHz 2P/16C</v>
          </cell>
        </row>
        <row r="1035">
          <cell r="A1035" t="str">
            <v>828357-B21</v>
          </cell>
          <cell r="B1035" t="str">
            <v>E5-2603v4 1.70GHz 1P/6C CPU ML150 Gen9</v>
          </cell>
          <cell r="C1035" t="str">
            <v>追加CPU：Xeon E5-2603v4 1.70GHz 2P/12C</v>
          </cell>
        </row>
        <row r="1036">
          <cell r="A1036" t="str">
            <v>834607-291</v>
          </cell>
          <cell r="B1036" t="str">
            <v>ML150Gen9 E5-2609v4 1P8C 8G 4LFF T</v>
          </cell>
          <cell r="C1036" t="str">
            <v xml:space="preserve">Xeon E5-2609v4 1.70GHz 1P/8C MEM：8GB B140i NIC：1GbEx2p </v>
          </cell>
        </row>
        <row r="1037">
          <cell r="A1037" t="str">
            <v>834621-295</v>
          </cell>
          <cell r="B1037" t="str">
            <v>ML150Gen9 E5-2603v4 1P6C 8G 4LFF T</v>
          </cell>
          <cell r="C1037" t="str">
            <v xml:space="preserve">Xeon E5-2603v4 1.70GHz 1P/6C MEM：8GB B140i NIC：1GbEx2p </v>
          </cell>
        </row>
        <row r="1038">
          <cell r="A1038" t="str">
            <v>834622-295</v>
          </cell>
          <cell r="B1038" t="str">
            <v>ML150Gen9 E5-2620v4 1P8C 8G 4LFF T</v>
          </cell>
          <cell r="C1038" t="str">
            <v xml:space="preserve">Xeon E5-2620v4 2.10GHz 1P/8C MEM：8GB B140i NIC：1GbEx2p </v>
          </cell>
        </row>
        <row r="1039">
          <cell r="A1039" t="str">
            <v>835858-295</v>
          </cell>
          <cell r="B1039" t="str">
            <v>ML350Gen9 E5-2620v4 1P8C 8G SAS/8SFF T</v>
          </cell>
          <cell r="C1039" t="str">
            <v xml:space="preserve">Xeon E5-2620v4 2.10GHz 1P/8C MEM：8GB P440ar/2GB NIC：1GbEx4p </v>
          </cell>
        </row>
        <row r="1040">
          <cell r="A1040" t="str">
            <v>835859-295</v>
          </cell>
          <cell r="B1040" t="str">
            <v>ML350Gen9 E5-2603v4 1P6C 8G SAS/8SFF T</v>
          </cell>
          <cell r="C1040" t="str">
            <v xml:space="preserve">Xeon E5-2603v4 1.70GHz 1P/6C MEM：8GB P440ar/2GB NIC：1GbEx4p </v>
          </cell>
        </row>
        <row r="1041">
          <cell r="A1041" t="str">
            <v>835860-295</v>
          </cell>
          <cell r="B1041" t="str">
            <v>ML350Gen9 E5-2630v4 1P10C 8G SAS/8SFF T</v>
          </cell>
          <cell r="C1041" t="str">
            <v xml:space="preserve">Xeon E5-2630v4 2.20GHz 1P/10C MEM：8GB P440ar/2GB NIC：1GbEx4p </v>
          </cell>
        </row>
        <row r="1042">
          <cell r="A1042" t="str">
            <v>835861-295</v>
          </cell>
          <cell r="B1042" t="str">
            <v>ML350Gen9 E5-2630v4 1P10C 8G SAS/8LFF T</v>
          </cell>
          <cell r="C1042" t="str">
            <v xml:space="preserve">Xeon E5-2630v4 2.20GHz 1P/10C MEM：8GB P440ar/2GB NIC：1GbEx4p </v>
          </cell>
        </row>
        <row r="1043">
          <cell r="A1043" t="str">
            <v>835862-295</v>
          </cell>
          <cell r="B1043" t="str">
            <v>ML350Gen9 E5-2650v4 1P12C 8G SAS/8SFF T</v>
          </cell>
          <cell r="C1043" t="str">
            <v xml:space="preserve">Xeon E5-2650v4 2.20GHz 1P/12C MEM：8GB P440ar/2GB NIC：1GbEx4p </v>
          </cell>
        </row>
        <row r="1044">
          <cell r="A1044" t="str">
            <v>837826-291</v>
          </cell>
          <cell r="B1044" t="str">
            <v>ML10 Gen9 PE G4400 1P2C 4G NHP SATA LFF</v>
          </cell>
          <cell r="C1044" t="str">
            <v xml:space="preserve"> Pentium G4400 3.30GHz 1P/2C MEM：4GB  SATA RAID NIC：1GbEx1p </v>
          </cell>
        </row>
        <row r="1045">
          <cell r="A1045" t="str">
            <v>837829-291</v>
          </cell>
          <cell r="B1045" t="str">
            <v>ML10 Gen9 E3-1225v5 1P4C8G NHP1TBSATALFF</v>
          </cell>
          <cell r="C1045" t="str">
            <v>Xeon E3-1225v5 3.30GHz 1P/4C MEM：8GB  SATA RAID NIC：1GbEx1p 1TB SATA HDD x1set</v>
          </cell>
        </row>
        <row r="1046">
          <cell r="A1046" t="str">
            <v>838502-291</v>
          </cell>
          <cell r="B1046" t="str">
            <v>ML110 Gen9 E5-2603v4 1P6C 8G NHPSATA4LFF</v>
          </cell>
          <cell r="C1046" t="str">
            <v xml:space="preserve">Xeon E5-2603v4 1.70GHz 1P/6C MEM：8GB B140i NIC：1GbEx2p </v>
          </cell>
        </row>
        <row r="1047">
          <cell r="A1047" t="str">
            <v>838503-291</v>
          </cell>
          <cell r="B1047" t="str">
            <v>ML110 Gen9 E5-2620v4 1P8C 8G HP4LFF</v>
          </cell>
          <cell r="C1047" t="str">
            <v xml:space="preserve">Xeon E5-2620v4 2.10GHz 1P/8C MEM：8GB B140i NIC：1GbEx2p </v>
          </cell>
        </row>
        <row r="1048">
          <cell r="A1048" t="str">
            <v>840679-295</v>
          </cell>
          <cell r="B1048" t="str">
            <v>ML110 Gen9 E5-2603v4 1P6C 8G HP4LFF RPS</v>
          </cell>
          <cell r="C1048" t="str">
            <v xml:space="preserve">Xeon E5-2603v4 1.70GHz 1P/6C MEM：8GB B140i NIC：1GbEx2p </v>
          </cell>
        </row>
        <row r="1049">
          <cell r="A1049" t="str">
            <v>840680-295</v>
          </cell>
          <cell r="B1049" t="str">
            <v>ML110 Gen9 E5-2609v4 1P8C 8G HP4LFF RPS</v>
          </cell>
          <cell r="C1049" t="str">
            <v xml:space="preserve">Xeon E5-2609v4 1.70GHz 1P/8C MEM：8GB B140i NIC：1GbEx2p </v>
          </cell>
        </row>
        <row r="1050">
          <cell r="A1050" t="str">
            <v>840681-295</v>
          </cell>
          <cell r="B1050" t="str">
            <v>ML110 Gen9 E5-1620v4 1P4C 8G NHPSATA4LFF</v>
          </cell>
          <cell r="C1050" t="str">
            <v xml:space="preserve">Xeon E5-1620v4 3.50GHz 1P/4C MEM：8GB B140i NIC：1GbEx2p </v>
          </cell>
        </row>
        <row r="1051">
          <cell r="A1051" t="str">
            <v>845159-295</v>
          </cell>
          <cell r="B1051" t="str">
            <v>ML350Gen9 E5-2609v4 1P8C 8G SAS/8LFF T</v>
          </cell>
          <cell r="C1051" t="str">
            <v xml:space="preserve">Xeon E5-2609v4 1.70GHz 1P/8C MEM：8GB P440ar/2GB NIC：1GbEx4p </v>
          </cell>
        </row>
        <row r="1052">
          <cell r="A1052" t="str">
            <v>854160-B21</v>
          </cell>
          <cell r="B1052" t="str">
            <v>TM200 スタンドキット</v>
          </cell>
          <cell r="C1052" t="str">
            <v>サーバー本体を縦置きにするためのキット</v>
          </cell>
        </row>
        <row r="1053">
          <cell r="A1053" t="str">
            <v>854161-B21</v>
          </cell>
          <cell r="B1053" t="str">
            <v>TM200 ウォールマウントキット</v>
          </cell>
          <cell r="C1053" t="str">
            <v>サーバー本体を壁面に固定するためのキット</v>
          </cell>
        </row>
        <row r="1054">
          <cell r="A1054" t="str">
            <v>866520-B21</v>
          </cell>
          <cell r="B1054" t="str">
            <v>XeonB 3104 1.7GHz 1P6C CPU ML350Gen10</v>
          </cell>
          <cell r="C1054" t="str">
            <v>追加CPU：XeonB 3104 1.7GHz 2P/12C</v>
          </cell>
        </row>
        <row r="1055">
          <cell r="A1055" t="str">
            <v>866522-B21</v>
          </cell>
          <cell r="B1055" t="str">
            <v>XeonB 3106 1.7GHz 1P8C CPU ML350Gen10</v>
          </cell>
          <cell r="C1055" t="str">
            <v>追加CPU：XeonB 3106 1.7GHz 2P/16C</v>
          </cell>
        </row>
        <row r="1056">
          <cell r="A1056" t="str">
            <v>866524-B21</v>
          </cell>
          <cell r="B1056" t="str">
            <v>XeonS 4108 1.8GHz 1P8C CPU ML350Gen10</v>
          </cell>
          <cell r="C1056" t="str">
            <v>追加CPU：Xeon S4108 1.80GHz 2P/16C</v>
          </cell>
        </row>
        <row r="1057">
          <cell r="A1057" t="str">
            <v>866530-B21</v>
          </cell>
          <cell r="B1057" t="str">
            <v>XeonS 4114 2.2GHz 1P10C CPU ML350Gen10</v>
          </cell>
          <cell r="C1057" t="str">
            <v>追加CPU：XeonS 4114 2.2GHz 2P/20C</v>
          </cell>
        </row>
        <row r="1058">
          <cell r="A1058" t="str">
            <v>866536-B21</v>
          </cell>
          <cell r="B1058" t="str">
            <v>XeonG 5118 2.3GHz 1P12C CPU ML350Gen10</v>
          </cell>
          <cell r="C1058" t="str">
            <v>追加CPU：XeonG 5118 2.3GHz 2P/24C</v>
          </cell>
        </row>
        <row r="1059">
          <cell r="A1059" t="str">
            <v>867590-B21</v>
          </cell>
          <cell r="B1059" t="str">
            <v>TM200 Ethernet 1Gb 4P 366T 通信ボード</v>
          </cell>
          <cell r="C1059" t="str">
            <v>追加1GbE x4ポートNICオプション</v>
          </cell>
        </row>
        <row r="1060">
          <cell r="A1060" t="str">
            <v>867594-B21</v>
          </cell>
          <cell r="B1060" t="str">
            <v>TM200 ストレージ拡張ボックス 16TB</v>
          </cell>
          <cell r="C1060" t="str">
            <v>4TB SATA HDD x4台標準搭載</v>
          </cell>
        </row>
        <row r="1061">
          <cell r="A1061" t="str">
            <v>867596-B21</v>
          </cell>
          <cell r="B1061" t="str">
            <v>TM200 ストレージ拡張ボックス 8TB</v>
          </cell>
          <cell r="C1061" t="str">
            <v>2TB SATA HDD x4台標準搭載</v>
          </cell>
        </row>
        <row r="1062">
          <cell r="A1062" t="str">
            <v>867875-B21</v>
          </cell>
          <cell r="B1062" t="str">
            <v>ML110 Gen10 RPS バックプレーン</v>
          </cell>
          <cell r="C1062" t="str">
            <v>パワーサプライの冗長構成に必要</v>
          </cell>
        </row>
        <row r="1063">
          <cell r="A1063" t="str">
            <v>869489-B21</v>
          </cell>
          <cell r="B1063" t="str">
            <v>ML110 Gen10 リダンダントファン</v>
          </cell>
          <cell r="C1063" t="str">
            <v>ファン冗長化オプション</v>
          </cell>
        </row>
        <row r="1064">
          <cell r="A1064" t="str">
            <v>869491-B21</v>
          </cell>
          <cell r="B1064" t="str">
            <v>ML110 Gen10 4ベイLFF ドライブケージ</v>
          </cell>
          <cell r="C1064" t="str">
            <v>追加4LFFドライブケージオプション</v>
          </cell>
        </row>
        <row r="1065">
          <cell r="A1065" t="str">
            <v>870208-291</v>
          </cell>
          <cell r="B1065" t="str">
            <v>MicroServerGen10 OP X3216 1P2C 8G 1TB</v>
          </cell>
          <cell r="C1065" t="str">
            <v>Opteron X3216 APU 1.6 - 3.0GHz 1P/2C MEM：8GB SATA RAID NIC：1GbEx2p 1TB SATA HDD x1set</v>
          </cell>
        </row>
        <row r="1066">
          <cell r="A1066" t="str">
            <v>870212-B21</v>
          </cell>
          <cell r="B1066" t="str">
            <v>MicroServer Gen10 SSD対応キット</v>
          </cell>
          <cell r="C1066" t="str">
            <v>SFF ノンホットプラグ SSD を搭載するのに必要なオプション(SSD x1台搭載可能)
※ただし、DVDドライブは搭載不可</v>
          </cell>
        </row>
        <row r="1067">
          <cell r="A1067" t="str">
            <v>871467-291</v>
          </cell>
          <cell r="B1067" t="str">
            <v>TM200 Xeon D-1518 1P4C 8G NHP SATA LFF</v>
          </cell>
          <cell r="C1067" t="str">
            <v xml:space="preserve">Xeon D-1518 2.20GHz 1P/4C MEM：8GB SATA NIC：1GbEx2p </v>
          </cell>
        </row>
        <row r="1068">
          <cell r="A1068" t="str">
            <v>871468-291</v>
          </cell>
          <cell r="B1068" t="str">
            <v>TM200 Xeon D-1537 1P8C 8G NHP SATA LFF</v>
          </cell>
          <cell r="C1068" t="str">
            <v xml:space="preserve">Xeon D-1537 1.70GHz 1P/8C MEM：8GB SATA NIC：1GbEx2p </v>
          </cell>
        </row>
        <row r="1069">
          <cell r="A1069" t="str">
            <v>872658-291</v>
          </cell>
          <cell r="B1069" t="str">
            <v>ML30 Gen9 E3-1220v6 1P4C 8G HP4LFF</v>
          </cell>
          <cell r="C1069" t="str">
            <v xml:space="preserve">Xeon E3-1220v6 3.00GHz 1P/4C MEM：8GB B140i NIC：1GbEx2p </v>
          </cell>
        </row>
        <row r="1070">
          <cell r="A1070" t="str">
            <v>872659-291</v>
          </cell>
          <cell r="B1070" t="str">
            <v>ML30 Gen9 E3-1240v6 1P4C 8G HP4LFF RPS</v>
          </cell>
          <cell r="C1070" t="str">
            <v xml:space="preserve">Xeon E3-1240v6 3.70GHz 1P/4C MEM：8GB B140i NIC：1GbEx2p </v>
          </cell>
        </row>
        <row r="1071">
          <cell r="A1071" t="str">
            <v>873234-295</v>
          </cell>
          <cell r="B1071" t="str">
            <v>ML30 Gen9 E3-1220v6 1P4C 8G HP8SFF RPS</v>
          </cell>
          <cell r="C1071" t="str">
            <v xml:space="preserve">Xeon E3-1220v6 3.00GHz 1P/4C MEM：8GB B140i NIC：1GbEx2p </v>
          </cell>
        </row>
        <row r="1072">
          <cell r="A1072" t="str">
            <v>873235-295</v>
          </cell>
          <cell r="B1072" t="str">
            <v>ML30 Gen9 E3-1240v6 1P4C 8G HP8SFF RPS</v>
          </cell>
          <cell r="C1072" t="str">
            <v xml:space="preserve">Xeon E3-1240v6 3.70GHz 1P/4C MEM：8GB B140i NIC：1GbEx2p </v>
          </cell>
        </row>
        <row r="1073">
          <cell r="A1073" t="str">
            <v>873236-295</v>
          </cell>
          <cell r="B1073" t="str">
            <v>ML30 Gen9 PE G4600 1P2C 8G NHP SATA 4LFF</v>
          </cell>
          <cell r="C1073" t="str">
            <v xml:space="preserve">Pentium G4600 3.60GHz 1P/2C MEM：8GB B140i NIC：1GbEx2p </v>
          </cell>
        </row>
        <row r="1074">
          <cell r="A1074" t="str">
            <v>873830-291</v>
          </cell>
          <cell r="B1074" t="str">
            <v>MicroServer Gen10 OP X3216 1P2C 8G</v>
          </cell>
          <cell r="C1074" t="str">
            <v>Opteron X3216 APU 1.6 - 3.0GHz 1P/2C MEM：8GB SATA RAID NIC：1GbEx2p</v>
          </cell>
        </row>
        <row r="1075">
          <cell r="A1075" t="str">
            <v>874008-B21</v>
          </cell>
          <cell r="B1075" t="str">
            <v>ML110 Gen10 4ベイLFF NHP ドライブケージ</v>
          </cell>
          <cell r="C1075" t="str">
            <v>追加4LFFドライブケージオプション (ノンホットプラグ)</v>
          </cell>
        </row>
        <row r="1076">
          <cell r="A1076" t="str">
            <v>874010-B21</v>
          </cell>
          <cell r="B1076" t="str">
            <v>ML110 Gen10 シリアルポート</v>
          </cell>
          <cell r="C1076" t="str">
            <v>シリアル ポートを増設するためのオプション
※ただし、PCIeスロット 3 に PCIe カードの搭載は不可となる。</v>
          </cell>
        </row>
        <row r="1077">
          <cell r="A1077" t="str">
            <v>874566-B21</v>
          </cell>
          <cell r="B1077" t="str">
            <v>ML350 Gen10 4ベイLFF ドライブケージ</v>
          </cell>
          <cell r="C1077" t="str">
            <v>追加4LFFドライブケージオプション</v>
          </cell>
        </row>
        <row r="1078">
          <cell r="A1078" t="str">
            <v>874567-B21</v>
          </cell>
          <cell r="B1078" t="str">
            <v>ML350 Gen10 4ベイLFF NHPドライブケージ</v>
          </cell>
          <cell r="C1078" t="str">
            <v>追加4LFFドライブケージオプション (ノンホットプラグ)</v>
          </cell>
        </row>
        <row r="1079">
          <cell r="A1079" t="str">
            <v>874568-B21</v>
          </cell>
          <cell r="B1079" t="str">
            <v>ML350 Gen10 8ベイSFF ドライブケージ</v>
          </cell>
          <cell r="C1079" t="str">
            <v>追加8SFFドライブケージオプション</v>
          </cell>
        </row>
        <row r="1080">
          <cell r="A1080" t="str">
            <v>874569-B21</v>
          </cell>
          <cell r="B1080" t="str">
            <v>ML350 Gen10 8xNVMe Expressベイキット</v>
          </cell>
          <cell r="C1080" t="str">
            <v>追加 8xNVMeドライブケージオプション</v>
          </cell>
        </row>
        <row r="1081">
          <cell r="A1081" t="str">
            <v>874570-B21</v>
          </cell>
          <cell r="B1081" t="str">
            <v>ML350 Gen10 メディアドライブ用対応キット</v>
          </cell>
          <cell r="C1081" t="str">
            <v>メディアドライブ搭載用オプションキット</v>
          </cell>
        </row>
        <row r="1082">
          <cell r="A1082" t="str">
            <v>874571-B21</v>
          </cell>
          <cell r="B1082" t="str">
            <v>ML350 Gen10 RPS バックプレーン</v>
          </cell>
          <cell r="C1082" t="str">
            <v>パワーサプライの冗長構成に必要</v>
          </cell>
        </row>
        <row r="1083">
          <cell r="A1083" t="str">
            <v>874572-B21</v>
          </cell>
          <cell r="B1083" t="str">
            <v>ML350 Gen10 リダンダントファン キット</v>
          </cell>
          <cell r="C1083" t="str">
            <v>ファン冗長化オプション</v>
          </cell>
        </row>
        <row r="1084">
          <cell r="A1084" t="str">
            <v>874573-B21</v>
          </cell>
          <cell r="B1084" t="str">
            <v>ML350Gen10 LFF Flexible SA用 SASケーブル</v>
          </cell>
          <cell r="C1084" t="str">
            <v>Smart アレイ E208i-a / P408i-a / P816i-a コントローラーと、標準搭載またはオプションのホットプラグ LFF ドライブケージとの接続用ケーブル</v>
          </cell>
        </row>
        <row r="1085">
          <cell r="A1085" t="str">
            <v>874574-B21</v>
          </cell>
          <cell r="B1085" t="str">
            <v>ML350 Gen10 LFF PCIe SA用 SASケーブル</v>
          </cell>
          <cell r="C1085" t="str">
            <v>Smart アレイ E208i-p / P408i-p コントローラーと、標準搭載またはオプションのホットプラグLFF ドライブ ケージとの接続用ケーブル</v>
          </cell>
        </row>
        <row r="1086">
          <cell r="A1086" t="str">
            <v>874575-B21</v>
          </cell>
          <cell r="B1086" t="str">
            <v>ML350 Gen10 SFF PCIe SA用 SASケーブル</v>
          </cell>
          <cell r="C1086" t="str">
            <v>Smart アレイ E208i-p / P408i-p コントローラーと、標準搭載またはオプションのホットプラグSFF ドライブ ケージとの接続用ケーブル</v>
          </cell>
        </row>
        <row r="1087">
          <cell r="A1087" t="str">
            <v>874576-B21</v>
          </cell>
          <cell r="B1087" t="str">
            <v>ML350 Gen10 SASエキスパンダーカード</v>
          </cell>
          <cell r="C1087" t="str">
            <v>3基までの SFF ドライブケージを 1 枚のコントローラーで接続するためのオプション</v>
          </cell>
        </row>
        <row r="1088">
          <cell r="A1088" t="str">
            <v>874577-B21</v>
          </cell>
          <cell r="B1088" t="str">
            <v>ML350 Gen10 オプティカルドライブキット</v>
          </cell>
          <cell r="C1088" t="str">
            <v>DVD ドライブを搭載する際に必要なオプション</v>
          </cell>
        </row>
        <row r="1089">
          <cell r="A1089" t="str">
            <v>874578-B21</v>
          </cell>
          <cell r="B1089" t="str">
            <v>ML Gen10 ラック搭載キット</v>
          </cell>
          <cell r="C1089" t="str">
            <v>タワー型システムをラックマウント型にするためのトレイキット(5U)
(ラックレールキット、ケーブル マネジメント アームを同梱)</v>
          </cell>
        </row>
        <row r="1090">
          <cell r="A1090" t="str">
            <v>877575-B21</v>
          </cell>
          <cell r="B1090" t="str">
            <v>ML350Gen10 SFF Flexible SA用 SASケーブル</v>
          </cell>
          <cell r="C1090" t="str">
            <v>Smart アレイ E208i-a / P408i-a / P816i-aコントローラーと、標準搭載またはオプションのホットプラグ SFF ドライブケージとの接続用ケーブル</v>
          </cell>
        </row>
        <row r="1091">
          <cell r="A1091" t="str">
            <v>877578-B21</v>
          </cell>
          <cell r="B1091" t="str">
            <v>ML350 Gen10 LFF S100i用 SATAケーブル</v>
          </cell>
          <cell r="C1091" t="str">
            <v>ホットプラグ LFF モデルで S100iコントローラーと追加のドライブケージを接続する際に必要</v>
          </cell>
        </row>
        <row r="1092">
          <cell r="A1092" t="str">
            <v>877579-B21</v>
          </cell>
          <cell r="B1092" t="str">
            <v>ML350 Gen10 SFF S100i用 SATAケーブル</v>
          </cell>
          <cell r="C1092" t="str">
            <v>ホットプラグ SFF モデルで S100iコントローラーと追加のドライブケージを接続する際に必要</v>
          </cell>
        </row>
        <row r="1093">
          <cell r="A1093" t="str">
            <v>877619-291</v>
          </cell>
          <cell r="B1093" t="str">
            <v>ML350 Gen10 B3104 1P6C 8G NHP SATA 4LFF</v>
          </cell>
          <cell r="C1093" t="str">
            <v xml:space="preserve">Xeon B3104 1.7GHz 1P/6C MEM：8GB S100i NIC：1GbEx4p </v>
          </cell>
        </row>
        <row r="1094">
          <cell r="A1094" t="str">
            <v>877620-291</v>
          </cell>
          <cell r="B1094" t="str">
            <v>ML350 Gen10 B3106 1P8C 16G SAS 4LFF RPS</v>
          </cell>
          <cell r="C1094" t="str">
            <v xml:space="preserve">Xeon B3106 1.7GHz 1P/8C MEM：16GB S100i NIC：1GbEx4p </v>
          </cell>
        </row>
        <row r="1095">
          <cell r="A1095" t="str">
            <v>877628-B21</v>
          </cell>
          <cell r="B1095" t="str">
            <v>ML350 Gen10 GPU電源ケーブルキット</v>
          </cell>
          <cell r="C1095" t="str">
            <v>グラフィックス カード用の電源ケーブルのオプション
※グラフィックス カード 1 枚につき 1 個必要</v>
          </cell>
        </row>
        <row r="1096">
          <cell r="A1096" t="str">
            <v>878450-291</v>
          </cell>
          <cell r="B1096" t="str">
            <v>ML110 Gen10 B3104 1P6C 8G NHP SATA 4LFF</v>
          </cell>
          <cell r="C1096" t="str">
            <v xml:space="preserve">Xeon B3104 1.70GHz 1P/6C MEM：8GB S100i NIC：1GbEx2p </v>
          </cell>
        </row>
        <row r="1097">
          <cell r="A1097" t="str">
            <v>879822-295</v>
          </cell>
          <cell r="B1097" t="str">
            <v>ML350 Gen10 S4114 1P10C 16G SAS 8SFF RPS</v>
          </cell>
          <cell r="C1097" t="str">
            <v xml:space="preserve">Xeon S4114 2.2GHz 1P/10C MEM：16GB P408i-a SR/2GB NIC：1GbEx4p </v>
          </cell>
        </row>
        <row r="1098">
          <cell r="A1098" t="str">
            <v>P03684-291</v>
          </cell>
          <cell r="B1098" t="str">
            <v>ML110 Gen10 B3104 1P6C 8G NHP SATA 4LFF</v>
          </cell>
          <cell r="C1098" t="str">
            <v xml:space="preserve">Xeon B3104 1.70GHz 1P/6C MEM：8GB DVD-RW S100i NIC：1GbEx2p </v>
          </cell>
        </row>
        <row r="1099">
          <cell r="A1099" t="str">
            <v>P03685-291</v>
          </cell>
          <cell r="B1099" t="str">
            <v>ML110 Gen10 B3106 1P8C 16G HP 4LFF</v>
          </cell>
          <cell r="C1099" t="str">
            <v xml:space="preserve">Xeon B3106 1.70GHz 1P/8C MEM：16GB S100i NIC：1GbEx2p </v>
          </cell>
        </row>
        <row r="1100">
          <cell r="A1100" t="str">
            <v>P03686-291</v>
          </cell>
          <cell r="B1100" t="str">
            <v>ML110 Gen10 S4108 1P8C 16G HP 4LFF</v>
          </cell>
          <cell r="C1100" t="str">
            <v xml:space="preserve">Xeon S4108 1.8GHz 1P/8C MEM：16GB S100i NIC：1GbEx2p </v>
          </cell>
        </row>
        <row r="1101">
          <cell r="A1101" t="str">
            <v>P03704-291</v>
          </cell>
          <cell r="B1101" t="str">
            <v>ML30 Gen9 E3-1220v6 1P4C 8G NHP SATA4LFF</v>
          </cell>
          <cell r="C1101" t="str">
            <v xml:space="preserve">Xeon E3-1220v6 3.00GHz 1P/4C MEM：8GB B140i NIC：1GbEx2p </v>
          </cell>
        </row>
        <row r="1102">
          <cell r="A1102" t="str">
            <v>P03705-291</v>
          </cell>
          <cell r="B1102" t="str">
            <v>ML30 Gen9 E3-1220v6 1P4C 8G HP 4LFF</v>
          </cell>
          <cell r="C1102" t="str">
            <v xml:space="preserve">Xeon E3-1220v6 3.00GHz 1P/4C MEM：8GB DVD-RW B140i NIC：1GbEx2p </v>
          </cell>
        </row>
        <row r="1103">
          <cell r="A1103" t="str">
            <v>P03706-291</v>
          </cell>
          <cell r="B1103" t="str">
            <v>ML30 Gen9 E3-1230v6 1P4C 8G HP 4LFF RPS</v>
          </cell>
          <cell r="C1103" t="str">
            <v xml:space="preserve">Xeon E3-1230v6 3.50GHz 1P/4C MEM：8GB DVD-RW B140i NIC：1GbEx2p </v>
          </cell>
        </row>
        <row r="1104">
          <cell r="A1104" t="str">
            <v>P9V66A</v>
          </cell>
          <cell r="B1104" t="str">
            <v>ML110 Gen9 E5-2603v4 1P6C 8G HP4LFF</v>
          </cell>
          <cell r="C1104" t="str">
            <v xml:space="preserve">Xeon E5-2603v4 1.70GHz 1P/6C MEM：8GB B140i NIC：1GbEx2p </v>
          </cell>
        </row>
        <row r="1105">
          <cell r="A1105" t="str">
            <v>P9V67A</v>
          </cell>
          <cell r="B1105" t="str">
            <v>ML110 Gen9 E5-2620v4 1P8C 8G HP4LFF RPS</v>
          </cell>
          <cell r="C1105" t="str">
            <v xml:space="preserve">Xeon E5-2620v4 2.10GHz 1P/8C MEM：8GB B140i NIC：1GbEx2p </v>
          </cell>
        </row>
        <row r="1106">
          <cell r="A1106" t="str">
            <v>P9V68A</v>
          </cell>
          <cell r="B1106" t="str">
            <v>ML150Gen9 E5-2603v4 1P6C 8G 8SFF T RPS</v>
          </cell>
          <cell r="C1106" t="str">
            <v xml:space="preserve">Xeon E5-2603v4 1.70GHz 1P/6C MEM：8GB B140i NIC：1GbEx2p </v>
          </cell>
        </row>
        <row r="1107">
          <cell r="A1107" t="str">
            <v>P9V69A</v>
          </cell>
          <cell r="B1107" t="str">
            <v>ML150Gen9 E5-2620v4 1P8C 8G 8SFF T RPS</v>
          </cell>
          <cell r="C1107" t="str">
            <v xml:space="preserve">Xeon E5-2620v4 2.10GHz 1P/8C MEM：8GB B140i NIC：1GbEx2p </v>
          </cell>
        </row>
        <row r="1108">
          <cell r="A1108" t="str">
            <v>Q0J60A</v>
          </cell>
          <cell r="B1108" t="str">
            <v>ML110 Gen9 E5-1620v4 1P4C 8G HP4LFF</v>
          </cell>
          <cell r="C1108" t="str">
            <v xml:space="preserve">Xeon E5-1620v4 3.50GHz 1P/4C MEM：8GB B140i NIC：1GbEx2p </v>
          </cell>
        </row>
        <row r="1109">
          <cell r="A1109" t="str">
            <v>Q0J61A</v>
          </cell>
          <cell r="B1109" t="str">
            <v>ML110 Gen9 E5-1603v4 1P4C 8G HP4LFF</v>
          </cell>
          <cell r="C1109" t="str">
            <v xml:space="preserve">Xeon E5-1603v4 2.80GHz 1P/4C MEM：8GB B140i NIC：1GbEx2p </v>
          </cell>
        </row>
        <row r="1110">
          <cell r="A1110" t="str">
            <v>Q8K22A</v>
          </cell>
          <cell r="B1110" t="str">
            <v>MicroServerGen10 OP X3421 1P4C 8G</v>
          </cell>
          <cell r="C1110" t="str">
            <v>Opteron X3421 APU 2.1 - 3.4GHz 1P/4C MEM：8GB SATA RAID NIC：1GbEx2p</v>
          </cell>
        </row>
        <row r="1111">
          <cell r="A1111" t="str">
            <v>Q9F45A</v>
          </cell>
          <cell r="B1111" t="str">
            <v>ML350 Gen10 B3104 1P6C 16G SAS 8SFF RPS</v>
          </cell>
          <cell r="C1111" t="str">
            <v xml:space="preserve">Xeon B3104 1.7GHz 1P/6C MEM：8GB P408i-a SR/2GB NIC：1GbEx4p </v>
          </cell>
        </row>
        <row r="1112">
          <cell r="A1112" t="str">
            <v>Q9F46A</v>
          </cell>
          <cell r="B1112" t="str">
            <v>ML350 Gen10 S4108 1P8C 16G SAS 8SFF RPS</v>
          </cell>
          <cell r="C1112" t="str">
            <v xml:space="preserve">Xeon S4108 1.8GHz 1P/8C MEM：16GB P408i-a SR/2GB NIC：1GbEx4p </v>
          </cell>
        </row>
        <row r="1113">
          <cell r="A1113" t="str">
            <v>Q9F47A</v>
          </cell>
          <cell r="B1113" t="str">
            <v>ML350 Gen10 G5118 1P12C 16G SAS 8SFF RPS</v>
          </cell>
          <cell r="C1113" t="str">
            <v xml:space="preserve">Xeon G5118 2.3GHz 1P/12C MEM：16GB P408i-a SR/2GB NIC：1GbEx4p </v>
          </cell>
        </row>
        <row r="1114">
          <cell r="A1114" t="str">
            <v>Q9G54A</v>
          </cell>
          <cell r="B1114" t="str">
            <v>ML110 Gen10 B3104 1P6C 8G HP 4LFF</v>
          </cell>
          <cell r="C1114" t="str">
            <v xml:space="preserve">Xeon B3104 1.70GHz 1P/6C MEM：8GB S100i NIC：1GbEx2p </v>
          </cell>
        </row>
        <row r="1115">
          <cell r="A1115" t="str">
            <v>Q9G55A</v>
          </cell>
          <cell r="B1115" t="str">
            <v>ML110 Gen10 S4108 1P8C 8G HP 4LFF</v>
          </cell>
          <cell r="C1115" t="str">
            <v xml:space="preserve">Xeon S4108 1.8GHz 1P/8C MEM：8GB S100i NIC：1GbEx2p </v>
          </cell>
        </row>
        <row r="1116">
          <cell r="A1116" t="str">
            <v>Q9G56A</v>
          </cell>
          <cell r="B1116" t="str">
            <v>ML110 Gen10 B3104 1P6C 8G HP 4LFF RPS</v>
          </cell>
          <cell r="C1116" t="str">
            <v xml:space="preserve">Xeon B3104 1.70GHz 1P/6C MEM：8GB S100i NIC：1GbEx2p </v>
          </cell>
        </row>
        <row r="1117">
          <cell r="A1117" t="str">
            <v>Q9G57A</v>
          </cell>
          <cell r="B1117" t="str">
            <v>ML110 Gen10 S4108 1P8C 8G HP 4LFF RPS</v>
          </cell>
          <cell r="C1117" t="str">
            <v xml:space="preserve">Xeon S4108 1.8GHz 1P/8C MEM：8GB S100i NIC：1GbEx2p </v>
          </cell>
        </row>
        <row r="1118">
          <cell r="A1118" t="str">
            <v>Q9G58A</v>
          </cell>
          <cell r="B1118" t="str">
            <v>ML110 Gen10 S4112 1P4C 8G HP 4LFF RPS</v>
          </cell>
          <cell r="C1118" t="str">
            <v xml:space="preserve">Xeon S4112 2.6GHz 1P/4C MEM：8GB S100i NIC：1GbEx2p </v>
          </cell>
        </row>
        <row r="1119">
          <cell r="A1119" t="str">
            <v>631660-B21</v>
          </cell>
          <cell r="B1119" t="str">
            <v>グラフィックス カード電源ケーブル キット</v>
          </cell>
          <cell r="C1119" t="str">
            <v>高電力グラフィックス カードへの給電用ケーブル 5 本のキット</v>
          </cell>
        </row>
        <row r="1120">
          <cell r="A1120" t="str">
            <v>669777-B21</v>
          </cell>
          <cell r="B1120" t="str">
            <v>150W PCIe 電源ケーブルキット</v>
          </cell>
          <cell r="C1120" t="str">
            <v>PCI Express カードに内部電源を供給する電源ケーブル オプション
※2410GB IO アクセラレータ G2 を x16 スロット以外に搭載する場合に 1 枚ごとに 1 本必要</v>
          </cell>
        </row>
        <row r="1121">
          <cell r="A1121" t="str">
            <v>701498-B21</v>
          </cell>
          <cell r="B1121" t="str">
            <v>HP 外付けUSB DVDドライブ</v>
          </cell>
          <cell r="C1121" t="str">
            <v>外付け USB DVDドライブ(書込非サポート)</v>
          </cell>
        </row>
        <row r="1122">
          <cell r="A1122" t="str">
            <v>719044-B21</v>
          </cell>
          <cell r="B1122" t="str">
            <v>E5-2690v3 2.60GHz 1P/12C CPU DL380 Gen9</v>
          </cell>
          <cell r="C1122" t="str">
            <v>追加CPU：Xeon E5-2690v3 2.60GHz 2P/24C</v>
          </cell>
        </row>
        <row r="1123">
          <cell r="A1123" t="str">
            <v>719048-B21</v>
          </cell>
          <cell r="B1123" t="str">
            <v>E5-2650v3 2.30GHz 1P/10C CPU DL380 Gen9</v>
          </cell>
          <cell r="C1123" t="str">
            <v>追加CPU：Xeon E5-2650v3 2.30GHz 2P/20C</v>
          </cell>
        </row>
        <row r="1124">
          <cell r="A1124" t="str">
            <v>719050-B21</v>
          </cell>
          <cell r="B1124" t="str">
            <v>E5-2630v3 2.40GHz 1P/8C CPU DL380 Gen9</v>
          </cell>
          <cell r="C1124" t="str">
            <v>追加CPU：Xeon E5-2630v3 2.40GHz 2P/16C</v>
          </cell>
        </row>
        <row r="1125">
          <cell r="A1125" t="str">
            <v>719051-B21</v>
          </cell>
          <cell r="B1125" t="str">
            <v>E5-2620v3 2.40GHz 1P/6C CPU DL380 Gen9</v>
          </cell>
          <cell r="C1125" t="str">
            <v>追加CPU：Xeon E5-2620v3 2.40GHz 2P/12C</v>
          </cell>
        </row>
        <row r="1126">
          <cell r="A1126" t="str">
            <v>719052-B21</v>
          </cell>
          <cell r="B1126" t="str">
            <v>E5-2609v3 1.90GHz 1P/6C CPU DL380 Gen9</v>
          </cell>
          <cell r="C1126" t="str">
            <v>追加CPU：Xeon E5-2609v3 1.90GHz 2P/12C</v>
          </cell>
        </row>
        <row r="1127">
          <cell r="A1127" t="str">
            <v>719054-B21</v>
          </cell>
          <cell r="B1127" t="str">
            <v>E5-2697v3 2.60GHz 1P/14C CPU DL380 Gen9</v>
          </cell>
          <cell r="C1127" t="str">
            <v>追加CPU：Xeon E5-2697v3 2.60GHz 2P/28C</v>
          </cell>
        </row>
        <row r="1128">
          <cell r="A1128" t="str">
            <v>719067-B21</v>
          </cell>
          <cell r="B1128" t="str">
            <v>DL380 Gen9 8SFFドライブケージ(ベイ1)</v>
          </cell>
          <cell r="C1128" t="str">
            <v>追加8SFFドライブケージオプション</v>
          </cell>
        </row>
        <row r="1129">
          <cell r="A1129" t="str">
            <v>719073-B21</v>
          </cell>
          <cell r="B1129" t="str">
            <v>3 PCI Express スロット ライザー</v>
          </cell>
          <cell r="C1129" t="str">
            <v>セカンダリ ライザー ボード</v>
          </cell>
        </row>
        <row r="1130">
          <cell r="A1130" t="str">
            <v>719076-B21</v>
          </cell>
          <cell r="B1130" t="str">
            <v>2 PCI Express スロット ライザー</v>
          </cell>
          <cell r="C1130" t="str">
            <v>プライマリ ライザー ボード(標準搭載のプライマリライザーボードと換装)</v>
          </cell>
        </row>
        <row r="1131">
          <cell r="A1131" t="str">
            <v>719079-B21</v>
          </cell>
          <cell r="B1131" t="str">
            <v>DL380 Gen9 高性能ファン(6個)</v>
          </cell>
          <cell r="C1131" t="str">
            <v>高性能ファン(標準ファンと換装)</v>
          </cell>
        </row>
        <row r="1132">
          <cell r="A1132" t="str">
            <v>719082-B21</v>
          </cell>
          <cell r="B1132" t="str">
            <v>DL380 Gen9 GPUイネーブルオプション</v>
          </cell>
          <cell r="C1132" t="str">
            <v>K2200 / M2000 / M4 / P4 を除くグラフィックス コントローラー搭載用 に 1 つ必要</v>
          </cell>
        </row>
        <row r="1133">
          <cell r="A1133" t="str">
            <v>724864-B21</v>
          </cell>
          <cell r="B1133" t="str">
            <v>DL380 Gen9 2ベイSFF(2.5型)ドライブケージ</v>
          </cell>
          <cell r="C1133" t="str">
            <v>追加2SFFドライブケージオプション</v>
          </cell>
        </row>
        <row r="1134">
          <cell r="A1134" t="str">
            <v>724865-B21</v>
          </cell>
          <cell r="B1134" t="str">
            <v>DL380 Gen9 ユニバーサルメディアベイ</v>
          </cell>
          <cell r="C1134" t="str">
            <v>DVD ドライブ用ベイ x1、フロントVGAポート x1、USB 2.0ポート x2 追加オプション</v>
          </cell>
        </row>
        <row r="1135">
          <cell r="A1135" t="str">
            <v>725571-B21</v>
          </cell>
          <cell r="B1135" t="str">
            <v>2U リダンダントファン(2個)</v>
          </cell>
          <cell r="C1135" t="str">
            <v>ファン冗長化オプション</v>
          </cell>
        </row>
        <row r="1136">
          <cell r="A1136" t="str">
            <v>725576-B21</v>
          </cell>
          <cell r="B1136" t="str">
            <v>GPUアダプターオプション</v>
          </cell>
          <cell r="C1136" t="str">
            <v>K4200 GPU搭載用に 1 つ必要</v>
          </cell>
        </row>
        <row r="1137">
          <cell r="A1137" t="str">
            <v>725581-B21</v>
          </cell>
          <cell r="B1137" t="str">
            <v>iLO専用マネジメントポート モジュール</v>
          </cell>
          <cell r="C1137" t="str">
            <v>iLO 4 リモート管理用の専用 RJ-45 ポートを増設するためのオプション</v>
          </cell>
        </row>
        <row r="1138">
          <cell r="A1138" t="str">
            <v>725587-B21</v>
          </cell>
          <cell r="B1138" t="str">
            <v>リダンダントファン</v>
          </cell>
          <cell r="C1138" t="str">
            <v>ファン冗長化オプション</v>
          </cell>
        </row>
        <row r="1139">
          <cell r="A1139" t="str">
            <v>725594-B21</v>
          </cell>
          <cell r="B1139" t="str">
            <v>フロントUSB3.0増設オプション</v>
          </cell>
          <cell r="C1139" t="str">
            <v>サーバー前面で USB 3.0 を 1 ポート使用可能にするオプション</v>
          </cell>
        </row>
        <row r="1140">
          <cell r="A1140" t="str">
            <v>726536-B21</v>
          </cell>
          <cell r="B1140" t="str">
            <v>9.5mm SATA DVD-ROMドライブ</v>
          </cell>
          <cell r="C1140" t="str">
            <v>DVD-ROMドライブ</v>
          </cell>
        </row>
        <row r="1141">
          <cell r="A1141" t="str">
            <v>726537-B21</v>
          </cell>
          <cell r="B1141" t="str">
            <v>9.5mm SATA DVD-RWドライブ</v>
          </cell>
          <cell r="C1141" t="str">
            <v>DVD-RWドライブ</v>
          </cell>
        </row>
        <row r="1142">
          <cell r="A1142" t="str">
            <v>739405-B21</v>
          </cell>
          <cell r="B1142" t="str">
            <v>5 SFFドライブバックプレーン</v>
          </cell>
          <cell r="C1142" t="str">
            <v>追加 5SFFドライブケージオプション</v>
          </cell>
        </row>
        <row r="1143">
          <cell r="A1143" t="str">
            <v>748916-B21</v>
          </cell>
          <cell r="B1143" t="str">
            <v>SASケーブルキット</v>
          </cell>
          <cell r="C1143" t="str">
            <v>Smart アレイ P430 / P830 コントローラーとオプションの5SFF ドライブバックプレーンとの接続に1つ必要</v>
          </cell>
        </row>
        <row r="1144">
          <cell r="A1144" t="str">
            <v>755374-B21</v>
          </cell>
          <cell r="B1144" t="str">
            <v>E5-2603v3 1.60GHz 1P/6C CPU DL360 Gen9</v>
          </cell>
          <cell r="C1144" t="str">
            <v>追加CPU：Xeon E5-2603v3 1.60GHz 2P/12C</v>
          </cell>
        </row>
        <row r="1145">
          <cell r="A1145" t="str">
            <v>755384-B21</v>
          </cell>
          <cell r="B1145" t="str">
            <v>E5-2630v3 2.40GHz 1P/8C CPU DL360 Gen9</v>
          </cell>
          <cell r="C1145" t="str">
            <v>追加CPU：Xeon E5-2630v3 2.40GHz 2P/16C</v>
          </cell>
        </row>
        <row r="1146">
          <cell r="A1146" t="str">
            <v>755386-B21</v>
          </cell>
          <cell r="B1146" t="str">
            <v>E5-2640v3 2.60GHz 1P/8C CPU DL360 Gen9</v>
          </cell>
          <cell r="C1146" t="str">
            <v>追加CPU：Xeon E5-2640v3 2.60GHz 2P/16C</v>
          </cell>
        </row>
        <row r="1147">
          <cell r="A1147" t="str">
            <v>755388-B21</v>
          </cell>
          <cell r="B1147" t="str">
            <v>E5-2650v3 2.30GHz 1P/10C CPU DL360 Gen9</v>
          </cell>
          <cell r="C1147" t="str">
            <v>追加CPU：Xeon E5-2650v3 2.30GHz 2P/20C</v>
          </cell>
        </row>
        <row r="1148">
          <cell r="A1148" t="str">
            <v>755390-B21</v>
          </cell>
          <cell r="B1148" t="str">
            <v>E5-2660v3 2.60GHz 1P/10C CPU DL360 Gen9</v>
          </cell>
          <cell r="C1148" t="str">
            <v>追加CPU：Xeon E5-2660v3 2.60GHz 2P/20C</v>
          </cell>
        </row>
        <row r="1149">
          <cell r="A1149" t="str">
            <v>755392-B21</v>
          </cell>
          <cell r="B1149" t="str">
            <v>E5-2670v3 2.30GHz 1P/12C CPU DL360 Gen9</v>
          </cell>
          <cell r="C1149" t="str">
            <v>追加CPU：Xeon E5-2670v3 2.30GHz 2P/24C</v>
          </cell>
        </row>
        <row r="1150">
          <cell r="A1150" t="str">
            <v>755396-B21</v>
          </cell>
          <cell r="B1150" t="str">
            <v>E5-2690v3 2.60GHz 1P/12C CPU DL360 Gen9</v>
          </cell>
          <cell r="C1150" t="str">
            <v>追加CPU：Xeon E5-2690v3 2.60GHz 2P/24C</v>
          </cell>
        </row>
        <row r="1151">
          <cell r="A1151" t="str">
            <v>755402-B21</v>
          </cell>
          <cell r="B1151" t="str">
            <v>E5-2697v3 2.60GHz 1P/14C CPU DL360 Gen9</v>
          </cell>
          <cell r="C1151" t="str">
            <v>追加CPU：Xeon E5-2697v3 2.60GHz 2P/28C</v>
          </cell>
        </row>
        <row r="1152">
          <cell r="A1152" t="str">
            <v>762764-B21</v>
          </cell>
          <cell r="B1152" t="str">
            <v>E5-2660v3 2.60GHz 1P/10C CPU DL380 Gen9</v>
          </cell>
          <cell r="C1152" t="str">
            <v>追加CPU：Xeon E5-2660v3 2.60GHz 2P/20C</v>
          </cell>
        </row>
        <row r="1153">
          <cell r="A1153" t="str">
            <v>764628-B21</v>
          </cell>
          <cell r="B1153" t="str">
            <v>DL360 Gen9 2xNVMe Expressベイキット</v>
          </cell>
          <cell r="C1153" t="str">
            <v>追加 2x NVMeドライブケージキット</v>
          </cell>
        </row>
        <row r="1154">
          <cell r="A1154" t="str">
            <v>764630-B21</v>
          </cell>
          <cell r="B1154" t="str">
            <v>DL360 Gen9 2SFF HDD追加キット</v>
          </cell>
          <cell r="C1154" t="str">
            <v>追加 2SFFドライブケージオプション</v>
          </cell>
        </row>
        <row r="1155">
          <cell r="A1155" t="str">
            <v>764632-B21</v>
          </cell>
          <cell r="B1155" t="str">
            <v>DL360 Gen9 SFF DVD-RWオプションVGA/USB付</v>
          </cell>
          <cell r="C1155" t="str">
            <v>DVD-RWドライブ(フロントVGAポート x1、USB 2.0ポート x1)</v>
          </cell>
        </row>
        <row r="1156">
          <cell r="A1156" t="str">
            <v>764634-B21</v>
          </cell>
          <cell r="B1156" t="str">
            <v>DL360 Gen9 SFF USB/VGAキット</v>
          </cell>
          <cell r="C1156" t="str">
            <v>フロントVGAポート x1、USB 2.0ポート x1 追加オプション</v>
          </cell>
        </row>
        <row r="1157">
          <cell r="A1157" t="str">
            <v>764636-B21</v>
          </cell>
          <cell r="B1157" t="str">
            <v>DL360 Gen9 SFF System Insight Display</v>
          </cell>
          <cell r="C1157" t="str">
            <v>System Insight Display を追加するオプション
※CPU、メモリ、NIC、電源、FAN などの異常を LED の色と点灯・点滅から把握することが可能</v>
          </cell>
        </row>
        <row r="1158">
          <cell r="A1158" t="str">
            <v>764642-B21</v>
          </cell>
          <cell r="B1158" t="str">
            <v>DL360 Gen9 追加 LP PCIe スロットライザー</v>
          </cell>
          <cell r="C1158" t="str">
            <v>セカンダリ ライザー ボード</v>
          </cell>
        </row>
        <row r="1159">
          <cell r="A1159" t="str">
            <v>764646-B21</v>
          </cell>
          <cell r="B1159" t="str">
            <v>DL360Gen9 背面シリアルポートx1増設キット</v>
          </cell>
          <cell r="C1159" t="str">
            <v>シリアル ポート(RS-232C、DB-9) x1 追加オプション</v>
          </cell>
        </row>
        <row r="1160">
          <cell r="A1160" t="str">
            <v>764757-B21</v>
          </cell>
          <cell r="B1160" t="str">
            <v>DL360Gen9 ロケーションディスカバリキット</v>
          </cell>
          <cell r="C1160" t="str">
            <v>ラック搭載位置の位置情報検出に対応するオプション</v>
          </cell>
        </row>
        <row r="1161">
          <cell r="A1161" t="str">
            <v>765513-B21</v>
          </cell>
          <cell r="B1161" t="str">
            <v>1U リダンダントファン(2個)</v>
          </cell>
          <cell r="C1161" t="str">
            <v>ファン冗長化オプション</v>
          </cell>
        </row>
        <row r="1162">
          <cell r="A1162" t="str">
            <v>766199-B21</v>
          </cell>
          <cell r="B1162" t="str">
            <v>プライマリライザーオプション GPUケーブル</v>
          </cell>
          <cell r="C1162" t="str">
            <v>PCIeカードに内部電源を供給する 6 ピンコネクター電源ケーブルオプション</v>
          </cell>
        </row>
        <row r="1163">
          <cell r="A1163" t="str">
            <v>766201-B21</v>
          </cell>
          <cell r="B1163" t="str">
            <v>DL360 Gen9 高性能ファン(7個)キット</v>
          </cell>
          <cell r="C1163" t="str">
            <v>高性能ファン(標準ファンと換装)</v>
          </cell>
        </row>
        <row r="1164">
          <cell r="A1164" t="str">
            <v>766203-B21</v>
          </cell>
          <cell r="B1164" t="str">
            <v>4LFFオプティカルケーブルキット</v>
          </cell>
          <cell r="C1164" t="str">
            <v>LFF モデルに DVD ドライブを搭載する場合に 1 つ必要</v>
          </cell>
        </row>
        <row r="1165">
          <cell r="A1165" t="str">
            <v>766205-B21</v>
          </cell>
          <cell r="B1165" t="str">
            <v>SmartアレイP840 ケーブル付</v>
          </cell>
          <cell r="C1165" t="str">
            <v>4GBキャッシュ付HW RAIDコントローラー(バッテリ含む)</v>
          </cell>
        </row>
        <row r="1166">
          <cell r="A1166" t="str">
            <v>766207-B21</v>
          </cell>
          <cell r="B1166" t="str">
            <v>8SFF内蔵SATAケーブル</v>
          </cell>
          <cell r="C1166" t="str">
            <v>B140i コントローラーとドライブ ケージとの接続に 1 つ必要</v>
          </cell>
        </row>
        <row r="1167">
          <cell r="A1167" t="str">
            <v>766209-B21</v>
          </cell>
          <cell r="B1167" t="str">
            <v>8SFF Flexible Smartアレイ ケーブルキット</v>
          </cell>
          <cell r="C1167" t="str">
            <v>-</v>
          </cell>
        </row>
        <row r="1168">
          <cell r="A1168" t="str">
            <v>768856-B21</v>
          </cell>
          <cell r="B1168" t="str">
            <v>DL380 Gen9 3ベイLFF リアドライブケージ</v>
          </cell>
          <cell r="C1168" t="str">
            <v>追加 3LFFドライブケージオプション</v>
          </cell>
        </row>
        <row r="1169">
          <cell r="A1169" t="str">
            <v>768857-B21</v>
          </cell>
          <cell r="B1169" t="str">
            <v>DL380 Gen9 8SFFドライブケージ(ベイ2)</v>
          </cell>
          <cell r="C1169" t="str">
            <v>追加 8SFFドライブケージオプション</v>
          </cell>
        </row>
        <row r="1170">
          <cell r="A1170" t="str">
            <v>768884-B21</v>
          </cell>
          <cell r="B1170" t="str">
            <v>2U Gen9 ロケーションディスカバリキット</v>
          </cell>
          <cell r="C1170" t="str">
            <v>ラック搭載位置の位置情報検出に対応するオプション</v>
          </cell>
        </row>
        <row r="1171">
          <cell r="A1171" t="str">
            <v>768896-B21</v>
          </cell>
          <cell r="B1171" t="str">
            <v>DL380Gen9 背面シリアルポートx1増設キット</v>
          </cell>
          <cell r="C1171" t="str">
            <v>シリアル ポート(RS-232C、DB-9) x1 追加オプション</v>
          </cell>
        </row>
        <row r="1172">
          <cell r="A1172" t="str">
            <v>768900-B21</v>
          </cell>
          <cell r="B1172" t="str">
            <v>DL380 Gen9 System Insight Display</v>
          </cell>
          <cell r="C1172" t="str">
            <v>System Insight Display を追加するオプション
※CPU、メモリ、NIC、電源、FAN などの異常を LED の色と点灯・点滅から把握することが可能</v>
          </cell>
        </row>
        <row r="1173">
          <cell r="A1173" t="str">
            <v>774741-B21</v>
          </cell>
          <cell r="B1173" t="str">
            <v>DL380 Gen9 6xNVMe Expressベイキット</v>
          </cell>
          <cell r="C1173" t="str">
            <v>追加 6x NVMeドライブケージキット</v>
          </cell>
        </row>
        <row r="1174">
          <cell r="A1174" t="str">
            <v>774743-B21</v>
          </cell>
          <cell r="B1174" t="str">
            <v>DL560 Gen9 6xNVMe Expressベイキット</v>
          </cell>
          <cell r="C1174" t="str">
            <v>追加 6x NVMeドライブケージキット</v>
          </cell>
        </row>
        <row r="1175">
          <cell r="A1175" t="str">
            <v>775927-B21</v>
          </cell>
          <cell r="B1175" t="str">
            <v>Smartアレイ/HBA接続ケーブルキット</v>
          </cell>
          <cell r="C1175" t="str">
            <v>Smart アレイ P440 コントローラーおよびH240 Smart HBAと、標準またはオプションのドライブ ケージとの接続用ケーブル 5 本組</v>
          </cell>
        </row>
        <row r="1176">
          <cell r="A1176" t="str">
            <v>779556-B21</v>
          </cell>
          <cell r="B1176" t="str">
            <v>E5-2623v3 3GHz 1P/4C CPU DL380 Gen9</v>
          </cell>
          <cell r="C1176" t="str">
            <v>追加CPU：Xeon E5-2623v3 3.0GHz 2P/8C</v>
          </cell>
        </row>
        <row r="1177">
          <cell r="A1177" t="str">
            <v>779611-B21</v>
          </cell>
          <cell r="B1177" t="str">
            <v>DL120 Gen9 GPUイネーブルオプション</v>
          </cell>
          <cell r="C1177" t="str">
            <v>セカンダリ ライザー ボード</v>
          </cell>
        </row>
        <row r="1178">
          <cell r="A1178" t="str">
            <v>780003-B21</v>
          </cell>
          <cell r="B1178" t="str">
            <v>E5-2699v3 2.30GHz 1P/18C CPU DL360 Gen9</v>
          </cell>
          <cell r="C1178" t="str">
            <v>追加CPU：Xeon E5-2699v3 2.30GHz 2P/36C</v>
          </cell>
        </row>
        <row r="1179">
          <cell r="A1179" t="str">
            <v>780965-B21</v>
          </cell>
          <cell r="B1179" t="str">
            <v>FlexibleLOMイネーブルキット</v>
          </cell>
          <cell r="C1179" t="str">
            <v>プライマリ ライザー ボード(標準搭載のプライマリライザーボードと換装)</v>
          </cell>
        </row>
        <row r="1180">
          <cell r="A1180" t="str">
            <v>781844-B21</v>
          </cell>
          <cell r="B1180" t="str">
            <v>FlexibleLOMイネーブルキット</v>
          </cell>
          <cell r="C1180" t="str">
            <v>プライマリ ライザー ボード(標準搭載のプライマリライザーボードと換装)</v>
          </cell>
        </row>
        <row r="1181">
          <cell r="A1181" t="str">
            <v>781915-B21</v>
          </cell>
          <cell r="B1181" t="str">
            <v>E5-2699v3 2.30GHz 1P/18C CPU DL380 Gen9</v>
          </cell>
          <cell r="C1181" t="str">
            <v>追加CPU：Xeon E5-2699v3 2.30GHz 2P/36C</v>
          </cell>
        </row>
        <row r="1182">
          <cell r="A1182" t="str">
            <v>783007-B21</v>
          </cell>
          <cell r="B1182" t="str">
            <v>Smartアレイ接続ケーブルキット</v>
          </cell>
          <cell r="C1182" t="str">
            <v>Smart アレイ P440 / P840 / P840ar コントローラーと標準搭載のドライブ ケージまたはオプションのドライブケージとの接続用ケーブル</v>
          </cell>
        </row>
        <row r="1183">
          <cell r="A1183" t="str">
            <v>783008-B21</v>
          </cell>
          <cell r="B1183" t="str">
            <v>2SFF前面用Smartアレイ接続ケーブルキット</v>
          </cell>
          <cell r="C1183" t="str">
            <v>H240 Smart HBAと標準搭載またはオプションのドライブケージとの接続用ケーブル</v>
          </cell>
        </row>
        <row r="1184">
          <cell r="A1184" t="str">
            <v>783009-B21</v>
          </cell>
          <cell r="B1184" t="str">
            <v>Smartアレイ接続ケーブルキット</v>
          </cell>
          <cell r="C1184" t="str">
            <v>Smart アレイ P440 / P840 / P840ar コントローラーと標準搭載のドライブ ケージまたはオプションのドライブケージとの接続用ケーブル</v>
          </cell>
        </row>
        <row r="1185">
          <cell r="A1185" t="str">
            <v>785989-B21</v>
          </cell>
          <cell r="B1185" t="str">
            <v>2SFF前面用Smartアレイ接続ケーブル(10SFF)</v>
          </cell>
          <cell r="C1185" t="str">
            <v>Smart アレイ P440 / P840 / P840ar コントローラーと標準搭載のドライブ ケージまたはオプションのドライブケージとの接続用ケーブル</v>
          </cell>
        </row>
        <row r="1186">
          <cell r="A1186" t="str">
            <v>786092-B21</v>
          </cell>
          <cell r="B1186" t="str">
            <v>Smart HBA接続ケーブルキット</v>
          </cell>
          <cell r="C1186" t="str">
            <v>H240 Smart HBAと標準搭載またはオプションのドライブケージとの接続用ケーブル</v>
          </cell>
        </row>
        <row r="1187">
          <cell r="A1187" t="str">
            <v>786215-B21</v>
          </cell>
          <cell r="B1187" t="str">
            <v>Smart HBA接続ケーブルキット</v>
          </cell>
          <cell r="C1187" t="str">
            <v>H240ar / H240 Smart HBAと標準搭載またはオプションのドライブケージとの接続用ケーブル</v>
          </cell>
        </row>
        <row r="1188">
          <cell r="A1188" t="str">
            <v>788331-B21</v>
          </cell>
          <cell r="B1188" t="str">
            <v>E7-4809v3 2GHz 1P/8C CPU DL580 Gen9</v>
          </cell>
          <cell r="C1188" t="str">
            <v>追加CPU：Xeon E7-4809v3 2.0GHz 4P/32C</v>
          </cell>
        </row>
        <row r="1189">
          <cell r="A1189" t="str">
            <v>788359-B21</v>
          </cell>
          <cell r="B1189" t="str">
            <v>DL580 Gen9 5xNVMe Expressベイキット</v>
          </cell>
          <cell r="C1189" t="str">
            <v>追加 5x NVMeドライブケージキット</v>
          </cell>
        </row>
        <row r="1190">
          <cell r="A1190" t="str">
            <v>788360-B21</v>
          </cell>
          <cell r="B1190" t="str">
            <v>DL580 Gen9 メモリカートリッジ(12 DIMM用)</v>
          </cell>
          <cell r="C1190" t="str">
            <v>メモリカートリッジオプション</v>
          </cell>
        </row>
        <row r="1191">
          <cell r="A1191" t="str">
            <v>793308-291</v>
          </cell>
          <cell r="B1191" t="str">
            <v>DL580Gen9 E7-4809v3 2P16C 64G P830i/2G</v>
          </cell>
          <cell r="C1191" t="str">
            <v>Xeon E7-4809v3 2.0GHz 2P/16C MEM：64GB(16GB x4) P830i/2GB NIC：1GbEx4p</v>
          </cell>
        </row>
        <row r="1192">
          <cell r="A1192" t="str">
            <v>793310-291</v>
          </cell>
          <cell r="B1192" t="str">
            <v>DL580Gen9 E7-4850v3 4P56C 128G P830/4 OV</v>
          </cell>
          <cell r="C1192" t="str">
            <v>Xeon E7-4850v3 2.20GHz 4P/56C MEM：128GB(16GB x8) P830i/4GB NIC：10GbE SFP+ x2p OneView付</v>
          </cell>
        </row>
        <row r="1193">
          <cell r="A1193" t="str">
            <v>793312-291</v>
          </cell>
          <cell r="B1193" t="str">
            <v>DL580Gen9 E7-8890v3 4P72C 256G P830/4 OV</v>
          </cell>
          <cell r="C1193" t="str">
            <v>Xeon  E7-8890v3 2.50GHz 4P/72C MEM：256GB(16GB x16) P830i/4GB NIC：10GbE SFP+ x2p OneView付</v>
          </cell>
        </row>
        <row r="1194">
          <cell r="A1194" t="str">
            <v>793314-291</v>
          </cell>
          <cell r="B1194" t="str">
            <v>DL580Gen9 E7-8893v3 4P16C 256G P830/4 OV</v>
          </cell>
          <cell r="C1194" t="str">
            <v>Xeon  E7-8893v3 3.30GHz 4P/16C MEM：256GB(16GB x16) P830i/4GB NIC：10GbE SFP+ x2p OneView付</v>
          </cell>
        </row>
        <row r="1195">
          <cell r="A1195" t="str">
            <v>793474-B21</v>
          </cell>
          <cell r="B1195" t="str">
            <v>3 PCIeスロット セカンダリ ライザーキット</v>
          </cell>
          <cell r="C1195" t="str">
            <v>セカンダリ ライザー ボード</v>
          </cell>
        </row>
        <row r="1196">
          <cell r="A1196" t="str">
            <v>793475-B21</v>
          </cell>
          <cell r="B1196" t="str">
            <v>2 PCIeスロット プライマリ ライザーキット</v>
          </cell>
          <cell r="C1196" t="str">
            <v>プライマリ ライザー ボード</v>
          </cell>
        </row>
        <row r="1197">
          <cell r="A1197" t="str">
            <v>793479-B21</v>
          </cell>
          <cell r="B1197" t="str">
            <v>DL560 Gen9 2SFF(2.5型)ベイキット</v>
          </cell>
          <cell r="C1197" t="str">
            <v>追加2SFFドライブケージオプション</v>
          </cell>
        </row>
        <row r="1198">
          <cell r="A1198" t="str">
            <v>795084-B21</v>
          </cell>
          <cell r="B1198" t="str">
            <v>DL560 Gen9 8SFFドライブケージ(ベイ2)</v>
          </cell>
          <cell r="C1198" t="str">
            <v>追加8SFFドライブケージオプション</v>
          </cell>
        </row>
        <row r="1199">
          <cell r="A1199" t="str">
            <v>795085-B21</v>
          </cell>
          <cell r="B1199" t="str">
            <v>DL560 Gen9 8SFFドライブケージ(ベイ1)</v>
          </cell>
          <cell r="C1199" t="str">
            <v>追加8SFFドライブケージオプション</v>
          </cell>
        </row>
        <row r="1200">
          <cell r="A1200" t="str">
            <v>795090-B21</v>
          </cell>
          <cell r="B1200" t="str">
            <v>DL560 Gen9 ユニバーサルメディアベイ</v>
          </cell>
          <cell r="C1200" t="str">
            <v>DVD ドライブ用ベイ x1、フロントVGAポート x1、USB 2.0ポート x2 追加オプション</v>
          </cell>
        </row>
        <row r="1201">
          <cell r="A1201" t="str">
            <v>795106-B21</v>
          </cell>
          <cell r="B1201" t="str">
            <v>DL560 Gen9 System Insight Displayキット</v>
          </cell>
          <cell r="C1201" t="str">
            <v>System Insight Display を追加するオプション
※CPU、メモリ、NIC、電源、FAN などの異常を LED の色と点灯・点滅から把握することが可能</v>
          </cell>
        </row>
        <row r="1202">
          <cell r="A1202" t="str">
            <v>795107-B21</v>
          </cell>
          <cell r="B1202" t="str">
            <v>DL560 Gen9 CPUメザニントレイ</v>
          </cell>
          <cell r="C1202" t="str">
            <v>プロセッサーの増設時に必要
※1つのオプションで 3rd～4th のプロセッサーを実装可能</v>
          </cell>
        </row>
        <row r="1203">
          <cell r="A1203" t="str">
            <v>795235-B21</v>
          </cell>
          <cell r="B1203" t="str">
            <v>ハイパフォーマンスヒートシンクキット</v>
          </cell>
          <cell r="C1203" t="str">
            <v>-</v>
          </cell>
        </row>
        <row r="1204">
          <cell r="A1204" t="str">
            <v>797924-B21</v>
          </cell>
          <cell r="B1204" t="str">
            <v>DL560 Gen9 SASケーブルセット</v>
          </cell>
          <cell r="C1204" t="str">
            <v>Smart アレイ P440 / P840 コントローラーと標準搭載またはオプションのドライブ ケージとの接続用ケーブル</v>
          </cell>
        </row>
        <row r="1205">
          <cell r="A1205" t="str">
            <v>797945-B21</v>
          </cell>
          <cell r="B1205" t="str">
            <v>DL560 Gen9 ベイ1用/SASケーブルキット</v>
          </cell>
          <cell r="C1205" t="str">
            <v>Smart アレイ P440ar コントローラーまたはH240ar / H240 Smart HBAと標準搭載またはオプションのドライブ ケージとの接続用ケーブル</v>
          </cell>
        </row>
        <row r="1206">
          <cell r="A1206" t="str">
            <v>797946-B21</v>
          </cell>
          <cell r="B1206" t="str">
            <v>DL560 Gen9 ベイ2用/SASケーブルキット</v>
          </cell>
          <cell r="C1206" t="str">
            <v>Smart アレイ P440ar コントローラーまたはH240ar / H240 Smart HBAと標準搭載またはオプションのドライブ ケージとの接続用ケーブル</v>
          </cell>
        </row>
        <row r="1207">
          <cell r="A1207" t="str">
            <v>801238-B21</v>
          </cell>
          <cell r="B1207" t="str">
            <v>E5-2630v4 2.20GHz 1P/10C CPU DL180 Gen9</v>
          </cell>
          <cell r="C1207" t="str">
            <v>追加CPU：Xeon E5-2630v4 2.20GHz 2P/20C</v>
          </cell>
        </row>
        <row r="1208">
          <cell r="A1208" t="str">
            <v>801239-B21</v>
          </cell>
          <cell r="B1208" t="str">
            <v>E5-2620v4 2.10GHz 1P/8C CPU DL180 Gen9</v>
          </cell>
          <cell r="C1208" t="str">
            <v>追加CPU：Xeon E5-2620v4 2.10GHz 2P/16C</v>
          </cell>
        </row>
        <row r="1209">
          <cell r="A1209" t="str">
            <v>801240-B21</v>
          </cell>
          <cell r="B1209" t="str">
            <v>E5-2609v4 1.70GHz 1P/8C CPU DL180 Gen9</v>
          </cell>
          <cell r="C1209" t="str">
            <v>追加CPU：Xeon E5-2609v4 1.70GHz 2P/16C</v>
          </cell>
        </row>
        <row r="1210">
          <cell r="A1210" t="str">
            <v>801241-B21</v>
          </cell>
          <cell r="B1210" t="str">
            <v>E5-2603v4 1.70GHz 1P/6C CPU DL180 Gen9</v>
          </cell>
          <cell r="C1210" t="str">
            <v>追加CPU：Xeon E5-2603v4 1.70GHz 2P/12C</v>
          </cell>
        </row>
        <row r="1211">
          <cell r="A1211" t="str">
            <v>801249-B21</v>
          </cell>
          <cell r="B1211" t="str">
            <v>E5-2623v4 2.60GHz 1P/4C CPU DL180 Gen9</v>
          </cell>
          <cell r="C1211" t="str">
            <v>追加CPU：Xeon E5-2630v4 2.20GHz 2P/20C</v>
          </cell>
        </row>
        <row r="1212">
          <cell r="A1212" t="str">
            <v>801286-B21</v>
          </cell>
          <cell r="B1212" t="str">
            <v>E5-2630v4 2.20GHz 1P/10C CPU DL160 Gen9</v>
          </cell>
          <cell r="C1212" t="str">
            <v>追加CPU：Xeon E5-2630v4 2.20GHz 2P/20C</v>
          </cell>
        </row>
        <row r="1213">
          <cell r="A1213" t="str">
            <v>801287-B21</v>
          </cell>
          <cell r="B1213" t="str">
            <v>E5-2620v4 2.10GHz 1P/8C CPU DL160 Gen9</v>
          </cell>
          <cell r="C1213" t="str">
            <v>追加CPU：Xeon E5-2620v4 2.10GHz 2P/16C</v>
          </cell>
        </row>
        <row r="1214">
          <cell r="A1214" t="str">
            <v>801289-B21</v>
          </cell>
          <cell r="B1214" t="str">
            <v>E5-2603v4 1.70GHz 1P/6C CPU DL160 Gen9</v>
          </cell>
          <cell r="C1214" t="str">
            <v>追加CPU：Xeon E5-2603v4 1.70GHz 2P/12C</v>
          </cell>
        </row>
        <row r="1215">
          <cell r="A1215" t="str">
            <v>801301-B21</v>
          </cell>
          <cell r="B1215" t="str">
            <v>E5-2623v4 2.60GHz 1P/4C CPU DL160 Gen9</v>
          </cell>
          <cell r="C1215" t="str">
            <v>追加CPU：Xeon E5-2623v4 2.60GHz 2P/8C</v>
          </cell>
        </row>
        <row r="1216">
          <cell r="A1216" t="str">
            <v>803055-B21</v>
          </cell>
          <cell r="B1216" t="str">
            <v>E5-2609v4 1.70GHz 1P/8C CPU DL60 Gen9</v>
          </cell>
          <cell r="C1216" t="str">
            <v>追加CPU：Xeon E5-2609v4 1.70GHz 2P/16C</v>
          </cell>
        </row>
        <row r="1217">
          <cell r="A1217" t="str">
            <v>803056-B21</v>
          </cell>
          <cell r="B1217" t="str">
            <v>E5-2603v4 1.70GHz 1P/6C CPU DL60 Gen9</v>
          </cell>
          <cell r="C1217" t="str">
            <v>追加CPU：Xeon E5-2603v4 1.70GHz 2P/12C</v>
          </cell>
        </row>
        <row r="1218">
          <cell r="A1218" t="str">
            <v>803091-B21</v>
          </cell>
          <cell r="B1218" t="str">
            <v>E5-2609v4 1.70GHz 1P/8C CPU DL80 Gen9</v>
          </cell>
          <cell r="C1218" t="str">
            <v>追加CPU：Xeon E5-2609v4 1.70GHz 2P/16C</v>
          </cell>
        </row>
        <row r="1219">
          <cell r="A1219" t="str">
            <v>803093-B21</v>
          </cell>
          <cell r="B1219" t="str">
            <v>E5-2603v4 1.70GHz 1P/6C CPU DL80 Gen9</v>
          </cell>
          <cell r="C1219" t="str">
            <v>追加CPU：Xeon E5-2603v4 1.70GHz 2P/12C</v>
          </cell>
        </row>
        <row r="1220">
          <cell r="A1220" t="str">
            <v>804228-B21</v>
          </cell>
          <cell r="B1220" t="str">
            <v>DL560 Gen9 12Gb SASエキスパンダーカード</v>
          </cell>
          <cell r="C1220" t="str">
            <v>複数のドライブケージを 1 つのコントローラーで接続するためのオプション</v>
          </cell>
        </row>
        <row r="1221">
          <cell r="A1221" t="str">
            <v>805356-B21</v>
          </cell>
          <cell r="B1221" t="str">
            <v>DL580 Gen9 HBA用SASケーブル キット</v>
          </cell>
          <cell r="C1221" t="str">
            <v>H240 Smart HBAとオプション 5 SFF ドライブバックプレーンとの接続に 1 つ必要</v>
          </cell>
        </row>
        <row r="1222">
          <cell r="A1222" t="str">
            <v>811271-B21</v>
          </cell>
          <cell r="B1222" t="str">
            <v>PCIe スロットライザー(GPU用)</v>
          </cell>
          <cell r="C1222" t="str">
            <v>標準搭載のライザー ボードと交換</v>
          </cell>
        </row>
        <row r="1223">
          <cell r="A1223" t="str">
            <v>816657-B21</v>
          </cell>
          <cell r="B1223" t="str">
            <v>E7-4809v4 2.10GHz 1P/8C CPU DL580 Gen9</v>
          </cell>
          <cell r="C1223" t="str">
            <v>追加CPU：Xeon E7-4809v4 2.10GHz 4P/32C</v>
          </cell>
        </row>
        <row r="1224">
          <cell r="A1224" t="str">
            <v>816814-291</v>
          </cell>
          <cell r="B1224" t="str">
            <v>DL580Gen9 E7-8893v4 4P16C 256G 5SFFOVRPS</v>
          </cell>
          <cell r="C1224" t="str">
            <v>Xeon  E7-8893v4 3.20GHz 4P/16C MEM：256GB(16GB x16) P830i/4GB NIC：10GbE SFP+ x2p OneView付</v>
          </cell>
        </row>
        <row r="1225">
          <cell r="A1225" t="str">
            <v>816815-291</v>
          </cell>
          <cell r="B1225" t="str">
            <v>DL580Gen9 E7-8890v4 4P96C 256G 5SFFOVRPS</v>
          </cell>
          <cell r="C1225" t="str">
            <v>Xeon  E7-8890v4 2.20GHz 4P/96C MEM：256GB(16GB x16) P830i/4GB NIC：10GbE SFP+ x2p OneView付</v>
          </cell>
        </row>
        <row r="1226">
          <cell r="A1226" t="str">
            <v>816816-291</v>
          </cell>
          <cell r="B1226" t="str">
            <v>DL580Gen9 E7-4850v4 4P64C 128G 5SFFOVRPS</v>
          </cell>
          <cell r="C1226" t="str">
            <v>Xeon E7-4850v4 2.10GHz 4P/64C MEM：128GB(16GB x8) P830i/4GB NIC：10GbE SFP+ x2p OneView付</v>
          </cell>
        </row>
        <row r="1227">
          <cell r="A1227" t="str">
            <v>816817-291</v>
          </cell>
          <cell r="B1227" t="str">
            <v>DL580 Gen9 E7-4809v4 2P16C 64G 5SFF RPS</v>
          </cell>
          <cell r="C1227" t="str">
            <v>Xeon E7-4809v4 2.10GHz 2P/16C MEM：64GB(16GB x4) P830i/2GB NIC：1GbEx4p</v>
          </cell>
        </row>
        <row r="1228">
          <cell r="A1228" t="str">
            <v>817676-B21</v>
          </cell>
          <cell r="B1228" t="str">
            <v>DL360 Gen9 6xNVMe Expressベイキット</v>
          </cell>
          <cell r="C1228" t="str">
            <v>追加6xNVMeドライブケージオプション</v>
          </cell>
        </row>
        <row r="1229">
          <cell r="A1229" t="str">
            <v>817923-B21</v>
          </cell>
          <cell r="B1229" t="str">
            <v>E5-2603v4 1.70GHz 1P/6C CPU DL380 Gen9</v>
          </cell>
          <cell r="C1229" t="str">
            <v>追加CPU：Xeon E5-2603v4 1.70GHz 2P/12C</v>
          </cell>
        </row>
        <row r="1230">
          <cell r="A1230" t="str">
            <v>817927-B21</v>
          </cell>
          <cell r="B1230" t="str">
            <v>E5-2620v4 2.10GHz 1P/8C CPU DL380 Gen9</v>
          </cell>
          <cell r="C1230" t="str">
            <v>追加CPU：Xeon E5-2620v4 2.10GHz 2P/16C</v>
          </cell>
        </row>
        <row r="1231">
          <cell r="A1231" t="str">
            <v>817929-B21</v>
          </cell>
          <cell r="B1231" t="str">
            <v>E5-2623v4 2.60GHz 1P/4C CPU DL380 Gen9</v>
          </cell>
          <cell r="C1231" t="str">
            <v>追加CPU：Xeon E5-2623v4 2.60GHz 2P/8C</v>
          </cell>
        </row>
        <row r="1232">
          <cell r="A1232" t="str">
            <v>817933-B21</v>
          </cell>
          <cell r="B1232" t="str">
            <v>E5-2630v4 2.20GHz 1P/10C CPU DL380 Gen9</v>
          </cell>
          <cell r="C1232" t="str">
            <v>追加CPU：Xeon E5-2630v4 2.20GHz 2P/20C</v>
          </cell>
        </row>
        <row r="1233">
          <cell r="A1233" t="str">
            <v>817937-B21</v>
          </cell>
          <cell r="B1233" t="str">
            <v>E5-2640v4 2.40GHz 1P/10C CPU DL380 Gen9</v>
          </cell>
          <cell r="C1233" t="str">
            <v>追加CPU：Xeon E5-2640v4 2.40GHz 2P/20C</v>
          </cell>
        </row>
        <row r="1234">
          <cell r="A1234" t="str">
            <v>817943-B21</v>
          </cell>
          <cell r="B1234" t="str">
            <v>E5-2650v4 2.20GHz 1P/12C CPU DL380 Gen9</v>
          </cell>
          <cell r="C1234" t="str">
            <v>追加CPU：Xeon E5-2650v4 2.20GHz 2P/24C</v>
          </cell>
        </row>
        <row r="1235">
          <cell r="A1235" t="str">
            <v>817959-B21</v>
          </cell>
          <cell r="B1235" t="str">
            <v>E5-2690v4 2.60GHz 1P/14C CPU DL380 Gen9</v>
          </cell>
          <cell r="C1235" t="str">
            <v>追加CPU：Xeon E5-2690v4 2.60GHz 2P/28C</v>
          </cell>
        </row>
        <row r="1236">
          <cell r="A1236" t="str">
            <v>817963-B21</v>
          </cell>
          <cell r="B1236" t="str">
            <v>E5-2697v4 2.30GHz 1P/18C CPU DL380 Gen9</v>
          </cell>
          <cell r="C1236" t="str">
            <v>追加CPU：Xeon E5-2697v4 2.30GHz 2P/36C</v>
          </cell>
        </row>
        <row r="1237">
          <cell r="A1237" t="str">
            <v>817967-B21</v>
          </cell>
          <cell r="B1237" t="str">
            <v>E5-2699v4 2.20GHz 1P/22C CPU DL380 Gen9</v>
          </cell>
          <cell r="C1237" t="str">
            <v>追加CPU：Xeon E5-2699v4 2.20GHz 2P/44C</v>
          </cell>
        </row>
        <row r="1238">
          <cell r="A1238" t="str">
            <v>818168-B21</v>
          </cell>
          <cell r="B1238" t="str">
            <v>E5-2603v4 1.70GHz 1P/6C CPU DL360 Gen9</v>
          </cell>
          <cell r="C1238" t="str">
            <v>追加CPU：Xeon E5-2603v4 1.70GHz 2P/12C</v>
          </cell>
        </row>
        <row r="1239">
          <cell r="A1239" t="str">
            <v>818172-B21</v>
          </cell>
          <cell r="B1239" t="str">
            <v>E5-2620v4 2.10GHz 1P/8C CPU DL360 Gen9</v>
          </cell>
          <cell r="C1239" t="str">
            <v>追加CPU：Xeon E5-2620v4 2.10GHz 2P/16C</v>
          </cell>
        </row>
        <row r="1240">
          <cell r="A1240" t="str">
            <v>818174-B21</v>
          </cell>
          <cell r="B1240" t="str">
            <v>E5-2630v4 2.20GHz 1P/10C CPU KDL360 Gen9</v>
          </cell>
          <cell r="C1240" t="str">
            <v>追加CPU：Xeon E5-2630v4 2.20GHz 2P/20C</v>
          </cell>
        </row>
        <row r="1241">
          <cell r="A1241" t="str">
            <v>818176-B21</v>
          </cell>
          <cell r="B1241" t="str">
            <v>E5-2640v4 2.40GHz 1P/10C CPU DL360 Gen9</v>
          </cell>
          <cell r="C1241" t="str">
            <v>追加CPU：Xeon E5-2640v4 2.40GHz 2P/20C</v>
          </cell>
        </row>
        <row r="1242">
          <cell r="A1242" t="str">
            <v>818178-B21</v>
          </cell>
          <cell r="B1242" t="str">
            <v>E5-2650v4 2.20GHz 1P/12C CPU DL360 Gen9</v>
          </cell>
          <cell r="C1242" t="str">
            <v>追加CPU：Xeon E5-2650v4 2.20GHz 2P/24C</v>
          </cell>
        </row>
        <row r="1243">
          <cell r="A1243" t="str">
            <v>818186-B21</v>
          </cell>
          <cell r="B1243" t="str">
            <v>E5-2690v4 2.60GHz 1P/14C CPU DL360 Gen9</v>
          </cell>
          <cell r="C1243" t="str">
            <v>追加CPU：Xeon E5-2690v4 2.60GHz 2P/28C</v>
          </cell>
        </row>
        <row r="1244">
          <cell r="A1244" t="str">
            <v>818190-B21</v>
          </cell>
          <cell r="B1244" t="str">
            <v>E5-2623v4 2.60GHz 1P/4C CPU  DL360 Gen9</v>
          </cell>
          <cell r="C1244" t="str">
            <v>追加CPU：Xeon E5-2623v4 2.60GHz 2P/8C</v>
          </cell>
        </row>
        <row r="1245">
          <cell r="A1245" t="str">
            <v>818196-B21</v>
          </cell>
          <cell r="B1245" t="str">
            <v>E5-2667v4 3.20GHz 1P/8C CPU DL360 Gen9</v>
          </cell>
          <cell r="C1245" t="str">
            <v>追加CPU：Xeon E5-2667v4 3.20GHz 2P/16C</v>
          </cell>
        </row>
        <row r="1246">
          <cell r="A1246" t="str">
            <v>818206-B21</v>
          </cell>
          <cell r="B1246" t="str">
            <v>E5-2699v4 2.20GHz 1P/22C CPU DL360 Gen9</v>
          </cell>
          <cell r="C1246" t="str">
            <v>追加CPU：Xeon E5-2699v4 2.20GHz 2P/44C</v>
          </cell>
        </row>
        <row r="1247">
          <cell r="A1247" t="str">
            <v>818208-291</v>
          </cell>
          <cell r="B1247" t="str">
            <v>DL360Gen9 E5-2630v4 1P10C 16G 8SFF 500PS</v>
          </cell>
          <cell r="C1247" t="str">
            <v>Xeon E5-2630v4 2.20GHz 1P/10C MEM：16GB P440ar/2GB NIC：1GbEx4p</v>
          </cell>
        </row>
        <row r="1248">
          <cell r="A1248" t="str">
            <v>818213-B21</v>
          </cell>
          <cell r="B1248" t="str">
            <v>DL360Gen9 SFF DVD-ROMオプションVGA/USB付</v>
          </cell>
          <cell r="C1248" t="str">
            <v>DVD-ROMドライブ(フロントVGAポート x1、USB 2.0ポート x1)</v>
          </cell>
        </row>
        <row r="1249">
          <cell r="A1249" t="str">
            <v>822451-B21</v>
          </cell>
          <cell r="B1249" t="str">
            <v>DL20Gen9 Smartアレイバッテリーホルダー</v>
          </cell>
          <cell r="C1249" t="str">
            <v>Smart ストレージ バッテリー 96W を搭載する際に必要なオプション</v>
          </cell>
        </row>
        <row r="1250">
          <cell r="A1250" t="str">
            <v>826682-291</v>
          </cell>
          <cell r="B1250" t="str">
            <v>DL380Gen9 E5-2620v4 1P8C 16G 8SFF 500PS</v>
          </cell>
          <cell r="C1250" t="str">
            <v xml:space="preserve">Xeon E5-2620v4 2.10GHz 1P/8C MEM：16GB P440ar/2GB NIC：1GbEx4p </v>
          </cell>
        </row>
        <row r="1251">
          <cell r="A1251" t="str">
            <v>826683-291</v>
          </cell>
          <cell r="B1251" t="str">
            <v>DL380Gen9 E5-2620v4 1P8C 16G 12LFF 800x2</v>
          </cell>
          <cell r="C1251" t="str">
            <v xml:space="preserve">Xeon E5-2620v4 2.10GHz 1P/8C MEM：16GB P840ar/2GB NIC：1GbEx4p </v>
          </cell>
        </row>
        <row r="1252">
          <cell r="A1252" t="str">
            <v>826685-B21</v>
          </cell>
          <cell r="B1252" t="str">
            <v>DL38x Gen10 3LFF リアドライブケージ</v>
          </cell>
          <cell r="C1252" t="str">
            <v>追加3LFFドライブケージオプション</v>
          </cell>
        </row>
        <row r="1253">
          <cell r="A1253" t="str">
            <v>826686-B21</v>
          </cell>
          <cell r="B1253" t="str">
            <v>DL380 Gen10 4LFF MID-planeドライブケージ</v>
          </cell>
          <cell r="C1253" t="str">
            <v>追加4LFFドライブケージオプション(ホットプラグ非対応)</v>
          </cell>
        </row>
        <row r="1254">
          <cell r="A1254" t="str">
            <v>826687-B21</v>
          </cell>
          <cell r="B1254" t="str">
            <v>DL38x Gen10 2SFFプレミアムドライブケージ</v>
          </cell>
          <cell r="C1254" t="str">
            <v>追加2SFFドライブケージオプション</v>
          </cell>
        </row>
        <row r="1255">
          <cell r="A1255" t="str">
            <v>826688-B21</v>
          </cell>
          <cell r="B1255" t="str">
            <v>DL38x Gen10 2SFF付ライザー</v>
          </cell>
          <cell r="C1255" t="str">
            <v>プライマリまたはセカンド ライザーとして追加可能 (最大 2 枚)
※プライマリ ライザーとして搭載する場合、標準搭載の PCI スロット ライザーと交換する必要があります。</v>
          </cell>
        </row>
        <row r="1256">
          <cell r="A1256" t="str">
            <v>826689-B21</v>
          </cell>
          <cell r="B1256" t="str">
            <v>DL38x Gen10 8xNVMe Expressベイキット</v>
          </cell>
          <cell r="C1256" t="str">
            <v>追加 8 xNVMeドライブケージオプション</v>
          </cell>
        </row>
        <row r="1257">
          <cell r="A1257" t="str">
            <v>826690-B21</v>
          </cell>
          <cell r="B1257" t="str">
            <v>DL38x Gen10 8SFFプレミアムドライブケージ</v>
          </cell>
          <cell r="C1257" t="str">
            <v>追加8SFFドライブケージオプション</v>
          </cell>
        </row>
        <row r="1258">
          <cell r="A1258" t="str">
            <v>826691-B21</v>
          </cell>
          <cell r="B1258" t="str">
            <v>DL38x Gen10 8SFF(2.5型) ドライブケージ</v>
          </cell>
          <cell r="C1258" t="str">
            <v>追加8SFFドライブケージオプション</v>
          </cell>
        </row>
        <row r="1259">
          <cell r="A1259" t="str">
            <v>826694-B21</v>
          </cell>
          <cell r="B1259" t="str">
            <v>DL38x Gen10 セカンドスロットライザー</v>
          </cell>
          <cell r="C1259" t="str">
            <v>セカンダリ ライザー ボード</v>
          </cell>
        </row>
        <row r="1260">
          <cell r="A1260" t="str">
            <v>826700-B21</v>
          </cell>
          <cell r="B1260" t="str">
            <v>DL38x Gen10 サードスロットライザー (x16)</v>
          </cell>
          <cell r="C1260" t="str">
            <v>サード ライザー ボード</v>
          </cell>
        </row>
        <row r="1261">
          <cell r="A1261" t="str">
            <v>826703-B21</v>
          </cell>
          <cell r="B1261" t="str">
            <v>DL380 Gen10 System Insight Display</v>
          </cell>
          <cell r="C1261" t="str">
            <v>System Insight Display を追加するオプション
※CPU、メモリ、NIC、電源、FAN などの異常を LED の色と点灯・点滅から把握することが可能</v>
          </cell>
        </row>
        <row r="1262">
          <cell r="A1262" t="str">
            <v>826704-B21</v>
          </cell>
          <cell r="B1262" t="str">
            <v>Gen10 セカンドスロットライザー(GPU)</v>
          </cell>
          <cell r="C1262" t="str">
            <v>セカンダリ ライザー ボード</v>
          </cell>
        </row>
        <row r="1263">
          <cell r="A1263" t="str">
            <v>826706-B21</v>
          </cell>
          <cell r="B1263" t="str">
            <v>DL380Gen10ハイパフォーマンスヒートシンク</v>
          </cell>
          <cell r="C1263" t="str">
            <v>ヒートシンク オプション(標準搭載のヒートシンクと換装)</v>
          </cell>
        </row>
        <row r="1264">
          <cell r="A1264" t="str">
            <v>826708-B21</v>
          </cell>
          <cell r="B1264" t="str">
            <v>DL380 Gen10 ユニバーサルメディアベイ</v>
          </cell>
          <cell r="C1264" t="str">
            <v>DVD ドライブ用ベイ x1、フロント ビデオ用 Display Port x1、USB 2.0 ポート x2 追加オプション</v>
          </cell>
        </row>
        <row r="1265">
          <cell r="A1265" t="str">
            <v>826709-B21</v>
          </cell>
          <cell r="B1265" t="str">
            <v>DL38x Gen10 Mini SAS ケーブルキット</v>
          </cell>
          <cell r="C1265" t="str">
            <v>-</v>
          </cell>
        </row>
        <row r="1266">
          <cell r="A1266" t="str">
            <v>826846-B21</v>
          </cell>
          <cell r="B1266" t="str">
            <v>XeonS 4110 2.1GHz 1P8C CPU DL380Gen10</v>
          </cell>
          <cell r="C1266" t="str">
            <v>追加CPU：XeonS 4110 2.1GHz 2P/16C</v>
          </cell>
        </row>
        <row r="1267">
          <cell r="A1267" t="str">
            <v>826848-B21</v>
          </cell>
          <cell r="B1267" t="str">
            <v>XeonS 4108 1.8GHz 1P8C CPU DL380Gen10</v>
          </cell>
          <cell r="C1267" t="str">
            <v>追加CPU：XeonS 4108 1.8GHz 2P/16C</v>
          </cell>
        </row>
        <row r="1268">
          <cell r="A1268" t="str">
            <v>826850-B21</v>
          </cell>
          <cell r="B1268" t="str">
            <v>XeonS 4114 2.2GHz 1P10C CPU DL380Gen10</v>
          </cell>
          <cell r="C1268" t="str">
            <v>追加CPU：XeonS 4114 2.2GHz 2P/20C</v>
          </cell>
        </row>
        <row r="1269">
          <cell r="A1269" t="str">
            <v>826854-B21</v>
          </cell>
          <cell r="B1269" t="str">
            <v>XeonG 5118 2.3GHz 1P12C CPU DL380Gen10</v>
          </cell>
          <cell r="C1269" t="str">
            <v>追加CPU：XeonG 5118 2.3GHz 2P/24C</v>
          </cell>
        </row>
        <row r="1270">
          <cell r="A1270" t="str">
            <v>826866-B21</v>
          </cell>
          <cell r="B1270" t="str">
            <v>XeonG 6130 2.1GHz 1P16C CPU DL380Gen10</v>
          </cell>
          <cell r="C1270" t="str">
            <v>追加CPU：XeonG 6130 2.1GHz 2P/32C</v>
          </cell>
        </row>
        <row r="1271">
          <cell r="A1271" t="str">
            <v>826872-B21</v>
          </cell>
          <cell r="B1271" t="str">
            <v>XeonG 6134 3.2GHz 1P8C CPU DL380Gen10</v>
          </cell>
          <cell r="C1271" t="str">
            <v>追加CPU：XeonG 6134 3.2GHz 2P/16C</v>
          </cell>
        </row>
        <row r="1272">
          <cell r="A1272" t="str">
            <v>826880-B21</v>
          </cell>
          <cell r="B1272" t="str">
            <v>XeonG 6142 2.6GHz 1P16C CPU DL380Gen10</v>
          </cell>
          <cell r="C1272" t="str">
            <v>追加CPU：XeonG 6142 2.6GHz 2P/32C</v>
          </cell>
        </row>
        <row r="1273">
          <cell r="A1273" t="str">
            <v>826888-B21</v>
          </cell>
          <cell r="B1273" t="str">
            <v>XeonG 6154 3.0GHz 1P18C CPU DL380Gen10</v>
          </cell>
          <cell r="C1273" t="str">
            <v>追加CPU：XeonG 6154 3.0GHz 2P/36C</v>
          </cell>
        </row>
        <row r="1274">
          <cell r="A1274" t="str">
            <v>830072-291</v>
          </cell>
          <cell r="B1274" t="str">
            <v>DL560Gen9 E5-4620v4 2P20C 64G 8SFF P440</v>
          </cell>
          <cell r="C1274" t="str">
            <v xml:space="preserve">Xeon E5-4620v4 2.1GHz 2P/20C MEM：64GB(16GB x4) P440ar/2GB NIC：10Gbase-T x2 </v>
          </cell>
        </row>
        <row r="1275">
          <cell r="A1275" t="str">
            <v>830073-291</v>
          </cell>
          <cell r="B1275" t="str">
            <v>DL560Gen9 E5-4640v4 4P48C 128G 8SFFP84OV</v>
          </cell>
          <cell r="C1275" t="str">
            <v>Xeon E5-4640v4 2.1GHz 4P/48C MEM：128GB(16GB x8) P840/4GB NIC：10Gbase-T x2 OneView付</v>
          </cell>
        </row>
        <row r="1276">
          <cell r="A1276" t="str">
            <v>830570-291</v>
          </cell>
          <cell r="B1276" t="str">
            <v>DL160Gen9 E5-2603v4 1P6C 8G 4LFF/B140i</v>
          </cell>
          <cell r="C1276" t="str">
            <v xml:space="preserve">Xeon E5-2603v4 1.70GHz 1P/6C MEM：8GB B140i NIC：1GbEx2p </v>
          </cell>
        </row>
        <row r="1277">
          <cell r="A1277" t="str">
            <v>830586-295</v>
          </cell>
          <cell r="B1277" t="str">
            <v>DL160Gen9 E5-2603v4 1P6C 8G 8SFFB140iRPS</v>
          </cell>
          <cell r="C1277" t="str">
            <v xml:space="preserve">Xeon E5-2603v4 1.70GHz 1P/6C MEM：8GB B140i NIC：1GbEx2p </v>
          </cell>
        </row>
        <row r="1278">
          <cell r="A1278" t="str">
            <v>830587-295</v>
          </cell>
          <cell r="B1278" t="str">
            <v>DL160Gen9 E5-2620v4 1P8C 8G 8SFFB140iRPS</v>
          </cell>
          <cell r="C1278" t="str">
            <v xml:space="preserve">Xeon E5-2620v4 2.10GHz 1P/8C MEM：8GB B140i NIC：1GbEx2p </v>
          </cell>
        </row>
        <row r="1279">
          <cell r="A1279" t="str">
            <v>833971-291</v>
          </cell>
          <cell r="B1279" t="str">
            <v>DL180Gen9 E5-2603v4 1P6C 8G 8LFF/B140i</v>
          </cell>
          <cell r="C1279" t="str">
            <v xml:space="preserve">Xeon E5-2603v4 1.70GHz 1P/6C MEM：8GB B140i NIC：1GbEx2p </v>
          </cell>
        </row>
        <row r="1280">
          <cell r="A1280" t="str">
            <v>833974-291</v>
          </cell>
          <cell r="B1280" t="str">
            <v>DL180Gen9 E5-2623v4 1P4C 16G 12LFFP84RPS</v>
          </cell>
          <cell r="C1280" t="str">
            <v xml:space="preserve">Xeon E5-2623v4 2.60GHz 1P/4C MEM：16GB B140i NIC：1GbEx2p </v>
          </cell>
        </row>
        <row r="1281">
          <cell r="A1281" t="str">
            <v>833990-295</v>
          </cell>
          <cell r="B1281" t="str">
            <v>DL180Gen9 E5-2609v4 1P8C 8G 8SFFB140iRPS</v>
          </cell>
          <cell r="C1281" t="str">
            <v xml:space="preserve">Xeon E5-2609v4 1.70GHz 1P/8C MEM：8GB B140i NIC：1GbEx2p </v>
          </cell>
        </row>
        <row r="1282">
          <cell r="A1282" t="str">
            <v>833991-295</v>
          </cell>
          <cell r="B1282" t="str">
            <v>DL180Gen9 E5-2630v4 1P10C 8G 8SFFB140RPS</v>
          </cell>
          <cell r="C1282" t="str">
            <v xml:space="preserve">Xeon E5-2630v4 2.20GHz 1P/10C MEM：8GB B140i NIC：1GbEx2p </v>
          </cell>
        </row>
        <row r="1283">
          <cell r="A1283" t="str">
            <v>839306-295</v>
          </cell>
          <cell r="B1283" t="str">
            <v>DL120Gen9 E5-2603v4 1P6C 8G 4LFFB140iRPS</v>
          </cell>
          <cell r="C1283" t="str">
            <v xml:space="preserve">Xeon E5-2603v4 1.70GHz 1P/6C MEM：8GB B140i NIC：1GbEx2p </v>
          </cell>
        </row>
        <row r="1284">
          <cell r="A1284" t="str">
            <v>839307-295</v>
          </cell>
          <cell r="B1284" t="str">
            <v>DL120Gen9 E5-2623v4 1P4C 8G 8SFFB140iRPS</v>
          </cell>
          <cell r="C1284" t="str">
            <v xml:space="preserve">Xeon E5-2623v4 2.60GHz 1P/4C MEM：8GB B140i NIC：1GbEx2p </v>
          </cell>
        </row>
        <row r="1285">
          <cell r="A1285" t="str">
            <v>840370-291</v>
          </cell>
          <cell r="B1285" t="str">
            <v>DL560Gen10 G6148 4P80C 128G 8SFF/P408a</v>
          </cell>
          <cell r="C1285" t="str">
            <v xml:space="preserve">Xeon G6148 2.4GHz 4P/80C MEM：128GB(16GB x8)P408i-a SR/2GB NIC：10Gbase-T x2 </v>
          </cell>
        </row>
        <row r="1286">
          <cell r="A1286" t="str">
            <v>840371-291</v>
          </cell>
          <cell r="B1286" t="str">
            <v>DL560Gen10 P8170 4P104C 256G 16SFF/P816a</v>
          </cell>
          <cell r="C1286" t="str">
            <v>Xeon P8170 2.1GHz 4P/104C MEM：256GB(16GB x16) P816i-a SR/4GB NIC：10/25GbE SFP28 x2 OneView付</v>
          </cell>
        </row>
        <row r="1287">
          <cell r="A1287" t="str">
            <v>840393-B21</v>
          </cell>
          <cell r="B1287" t="str">
            <v>XeonG 6130 2.1GHz 1P16C CPU DL560Gen10</v>
          </cell>
          <cell r="C1287" t="str">
            <v>追加CPU：XeonG 6130 2.1GHz 2P/32C</v>
          </cell>
        </row>
        <row r="1288">
          <cell r="A1288" t="str">
            <v>843234-B21</v>
          </cell>
          <cell r="B1288" t="str">
            <v>Smartアレイ接続ケーブルキット</v>
          </cell>
          <cell r="C1288" t="str">
            <v>Smart アレイ P840ar コントローラーと、標準8SFFドライブケージおよびオプション2SFFドライブケージとの接続用ケーブルキット</v>
          </cell>
        </row>
        <row r="1289">
          <cell r="A1289" t="str">
            <v>844115-B21</v>
          </cell>
          <cell r="B1289" t="str">
            <v>SASエキスパンダーケーブルキット</v>
          </cell>
          <cell r="C1289" t="str">
            <v>-</v>
          </cell>
        </row>
        <row r="1290">
          <cell r="A1290" t="str">
            <v>844187-295</v>
          </cell>
          <cell r="B1290" t="str">
            <v>DL120Gen9 E5-1620v4 1P4C 8G 4LFFB140iRPS</v>
          </cell>
          <cell r="C1290" t="str">
            <v xml:space="preserve">Xeon E5-1620v4 3.50GHz 1P/4C MEM：8GB B140i NIC：1GbEx2p </v>
          </cell>
        </row>
        <row r="1291">
          <cell r="A1291" t="str">
            <v>844982-295</v>
          </cell>
          <cell r="B1291" t="str">
            <v>DL360Gen9 E5-2603v4 1P6C 8G 8SFF 500PS</v>
          </cell>
          <cell r="C1291" t="str">
            <v xml:space="preserve">Xeon E5-2603v4 1.70GHz 1P/6C MEM：8GB P440ar/2GB NIC：1GbEx4p </v>
          </cell>
        </row>
        <row r="1292">
          <cell r="A1292" t="str">
            <v>844984-295</v>
          </cell>
          <cell r="B1292" t="str">
            <v>DL360Gen9 E5-2620v4 1P8C 8G 8SFF 500PS</v>
          </cell>
          <cell r="C1292" t="str">
            <v xml:space="preserve">Xeon E5-2620v4 2.10GHz 1P/8C MEM：8GB P440ar/2GB NIC：1GbEx4p </v>
          </cell>
        </row>
        <row r="1293">
          <cell r="A1293" t="str">
            <v>848736-291</v>
          </cell>
          <cell r="B1293" t="str">
            <v>DL360Gen9 E5-2640v4 1P10C 16G 8SFF 500PS</v>
          </cell>
          <cell r="C1293" t="str">
            <v xml:space="preserve">Xeon E5-2640v4 2.40GHz 1P/10C MEM：16GB P440ar/2GB NIC：1GbEx4p </v>
          </cell>
        </row>
        <row r="1294">
          <cell r="A1294" t="str">
            <v>848774-291</v>
          </cell>
          <cell r="B1294" t="str">
            <v>DL380Gen9 E5-2630v4 1P10C 16G 8SFF 500PS</v>
          </cell>
          <cell r="C1294" t="str">
            <v xml:space="preserve">Xeon E5-2630v4 2.20GHz 1P/10C MEM：16GB P440ar/2GB NIC：1GbEx4p </v>
          </cell>
        </row>
        <row r="1295">
          <cell r="A1295" t="str">
            <v>848825-295</v>
          </cell>
          <cell r="B1295" t="str">
            <v>DL160Gen9 E5-2630v4  1P10C 8G SFFB140RPS</v>
          </cell>
          <cell r="C1295" t="str">
            <v xml:space="preserve">Xeon E5-2630v4 2.20GHz 1P/10C MEM：8GB B140i NIC：1GbEx2p </v>
          </cell>
        </row>
        <row r="1296">
          <cell r="A1296" t="str">
            <v>848832-295</v>
          </cell>
          <cell r="B1296" t="str">
            <v>DL180Gen9 E5-2620v4 1P8C 8G 8SFFB140iRPS</v>
          </cell>
          <cell r="C1296" t="str">
            <v xml:space="preserve">Xeon E5-2620v4 2.10GHz 1P/8C MEM：8GB B140i NIC：1GbEx2p </v>
          </cell>
        </row>
        <row r="1297">
          <cell r="A1297" t="str">
            <v>860649-B21</v>
          </cell>
          <cell r="B1297" t="str">
            <v>XeonB 3104 1.7GHz 1P6C CPU DL360Gen10</v>
          </cell>
          <cell r="C1297" t="str">
            <v>追加CPU：XeonB 3104 1.7GHz 2P/12C</v>
          </cell>
        </row>
        <row r="1298">
          <cell r="A1298" t="str">
            <v>860655-B21</v>
          </cell>
          <cell r="B1298" t="str">
            <v>XeonS 4108 1.8GHz 1P8C CPU DL360Gen10</v>
          </cell>
          <cell r="C1298" t="str">
            <v>追加CPU：XeonS 4108 1.8GHz 2P/16C</v>
          </cell>
        </row>
        <row r="1299">
          <cell r="A1299" t="str">
            <v>860657-B21</v>
          </cell>
          <cell r="B1299" t="str">
            <v>XeonS 4114 2.2GHz 1P10C CPU DL360Gen10</v>
          </cell>
          <cell r="C1299" t="str">
            <v>追加CPU：XeonS 4114 2.2GHz 2P/20C</v>
          </cell>
        </row>
        <row r="1300">
          <cell r="A1300" t="str">
            <v>860659-B21</v>
          </cell>
          <cell r="B1300" t="str">
            <v>XeonS 4112 2.6GHz 1P4C CPU DL360Gen10</v>
          </cell>
          <cell r="C1300" t="str">
            <v>追加CPU：XeonS 4112 2.6GHz 2P/8C</v>
          </cell>
        </row>
        <row r="1301">
          <cell r="A1301" t="str">
            <v>860663-B21</v>
          </cell>
          <cell r="B1301" t="str">
            <v>XeonG 5118 2.3GHz 1P12C CPU DL360Gen10</v>
          </cell>
          <cell r="C1301" t="str">
            <v>追加CPU：XeonG 5118 2.3GHz 2P/24C</v>
          </cell>
        </row>
        <row r="1302">
          <cell r="A1302" t="str">
            <v>860669-B21</v>
          </cell>
          <cell r="B1302" t="str">
            <v>XeonG 6142 2.6GHz 1P16C CPU DL360Gen10</v>
          </cell>
          <cell r="C1302" t="str">
            <v>追加CPU：XeonG 6142 2.6GHz 2P/32C</v>
          </cell>
        </row>
        <row r="1303">
          <cell r="A1303" t="str">
            <v>860687-B21</v>
          </cell>
          <cell r="B1303" t="str">
            <v>XeonG 6130 2.1GHz 1P16C CPU DL360Gen10</v>
          </cell>
          <cell r="C1303" t="str">
            <v>追加CPU：XeonG 6130 2.1GHz 2P/32C</v>
          </cell>
        </row>
        <row r="1304">
          <cell r="A1304" t="str">
            <v>860689-B21</v>
          </cell>
          <cell r="B1304" t="str">
            <v>XeonG 6134 3.2GHz 1P8C CPU DL360Gen10</v>
          </cell>
          <cell r="C1304" t="str">
            <v>追加CPU：XeonG 6134 3.2GHz 2P/16C</v>
          </cell>
        </row>
        <row r="1305">
          <cell r="A1305" t="str">
            <v>867249-B21</v>
          </cell>
          <cell r="B1305" t="str">
            <v>DL360Gen9 2nd GPU用PCIeスロットライザー</v>
          </cell>
          <cell r="C1305" t="str">
            <v>セカンダリ ライザー ボード</v>
          </cell>
        </row>
        <row r="1306">
          <cell r="A1306" t="str">
            <v>867805-B21</v>
          </cell>
          <cell r="B1306" t="str">
            <v>DL38x Gen10 2SFF フロントドライブケージ</v>
          </cell>
          <cell r="C1306" t="str">
            <v>追加2SFFドライブケージオプション</v>
          </cell>
        </row>
        <row r="1307">
          <cell r="A1307" t="str">
            <v>867806-B21</v>
          </cell>
          <cell r="B1307" t="str">
            <v>DL38xGen10セカンドスロットライザー(NVMe)</v>
          </cell>
          <cell r="C1307" t="str">
            <v>-</v>
          </cell>
        </row>
        <row r="1308">
          <cell r="A1308" t="str">
            <v>867807-B21</v>
          </cell>
          <cell r="B1308" t="str">
            <v>DL38x Gen10 プライマリ NVMe x4 ライザー</v>
          </cell>
          <cell r="C1308" t="str">
            <v>-</v>
          </cell>
        </row>
        <row r="1309">
          <cell r="A1309" t="str">
            <v>867808-B21</v>
          </cell>
          <cell r="B1309" t="str">
            <v>DL38x Gen10 サード NVMe x2 ライザー</v>
          </cell>
          <cell r="C1309" t="str">
            <v>サード ライザー ボード</v>
          </cell>
        </row>
        <row r="1310">
          <cell r="A1310" t="str">
            <v>867809-B21</v>
          </cell>
          <cell r="B1310" t="str">
            <v>Gen10 2U セキュリティーベゼルキット</v>
          </cell>
          <cell r="C1310" t="str">
            <v>サーバー前面に取り付けるセキュリティ ベゼル</v>
          </cell>
        </row>
        <row r="1311">
          <cell r="A1311" t="str">
            <v>867810-B21</v>
          </cell>
          <cell r="B1311" t="str">
            <v>DL38x Gen10 高性能ファン(6個)キット</v>
          </cell>
          <cell r="C1311" t="str">
            <v>高性能ファン(標準ファンと換装)</v>
          </cell>
        </row>
        <row r="1312">
          <cell r="A1312" t="str">
            <v>867824-B21</v>
          </cell>
          <cell r="B1312" t="str">
            <v>DL Gen10 筐体侵入検知オプション</v>
          </cell>
          <cell r="C1312" t="str">
            <v>サーバー筐体の開閉を検知するオプション</v>
          </cell>
        </row>
        <row r="1313">
          <cell r="A1313" t="str">
            <v>867962-291</v>
          </cell>
          <cell r="B1313" t="str">
            <v>DL360Gen10 S4114 1P10C 16G 8SFF/P408a</v>
          </cell>
          <cell r="C1313" t="str">
            <v xml:space="preserve">Xeon S4114 2.2GHz 1P/10C MEM：16GB P408i-a SR/2GB NIC：1GbEx4p </v>
          </cell>
        </row>
        <row r="1314">
          <cell r="A1314" t="str">
            <v>867966-B21</v>
          </cell>
          <cell r="B1314" t="str">
            <v>DL360 Gen10 2SFF SAS/SATA バックプレーン</v>
          </cell>
          <cell r="C1314" t="str">
            <v>追加2SFFドライブケージオプション</v>
          </cell>
        </row>
        <row r="1315">
          <cell r="A1315" t="str">
            <v>867970-B21</v>
          </cell>
          <cell r="B1315" t="str">
            <v>DL360 Gen10 2SFF SATA uFF バックプレーン</v>
          </cell>
          <cell r="C1315" t="str">
            <v>追加2SFF(4uFF)ドライブケージオプション</v>
          </cell>
        </row>
        <row r="1316">
          <cell r="A1316" t="str">
            <v>867972-B21</v>
          </cell>
          <cell r="B1316" t="str">
            <v>DL360 Gen10 1SFFリアバックプレーンキット</v>
          </cell>
          <cell r="C1316" t="str">
            <v>追加1SFF(2uFF)ドライブケージオプション</v>
          </cell>
        </row>
        <row r="1317">
          <cell r="A1317" t="str">
            <v>867974-B21</v>
          </cell>
          <cell r="B1317" t="str">
            <v>DL360 Gen10 10SFF プレミアムBPキット</v>
          </cell>
          <cell r="C1317" t="str">
            <v>HDD/SSDまたは、NVMeドライブ x8ベイ、NVMeドライブ専用 x2ベイ使用可能オプション
※標準搭載のドライブバックプレーンと換装になります。</v>
          </cell>
        </row>
        <row r="1318">
          <cell r="A1318" t="str">
            <v>867978-B21</v>
          </cell>
          <cell r="B1318" t="str">
            <v>DL360 Gen10 M.2 2280 スロットライザー</v>
          </cell>
          <cell r="C1318" t="str">
            <v>プライマリ ライザー ボード(標準搭載のプライマリライザーボードと換装)
※ソリッドステート M.2 2280 を搭載するためのライザーオプションになります。</v>
          </cell>
        </row>
        <row r="1319">
          <cell r="A1319" t="str">
            <v>867980-B21</v>
          </cell>
          <cell r="B1319" t="str">
            <v>DL360 Gen10 GPU用 PCIe スロットライザー</v>
          </cell>
          <cell r="C1319" t="str">
            <v>セカンダリ ライザー ボード</v>
          </cell>
        </row>
        <row r="1320">
          <cell r="A1320" t="str">
            <v>867982-B21</v>
          </cell>
          <cell r="B1320" t="str">
            <v>DL360 Gen10 LP PCIe スロットライザー</v>
          </cell>
          <cell r="C1320" t="str">
            <v>セカンダリ ライザー ボード</v>
          </cell>
        </row>
        <row r="1321">
          <cell r="A1321" t="str">
            <v>867984-B21</v>
          </cell>
          <cell r="B1321" t="str">
            <v>DL360 Gen10 筐体侵入検知オプション</v>
          </cell>
          <cell r="C1321" t="str">
            <v>サーバー筐体の開閉を検知するオプション</v>
          </cell>
        </row>
        <row r="1322">
          <cell r="A1322" t="str">
            <v>867990-B21</v>
          </cell>
          <cell r="B1322" t="str">
            <v>DL360 Gen10 SFF ケーブルキット</v>
          </cell>
          <cell r="C1322" t="str">
            <v>Smart アレイ E208i-p / P408i-pコントローラーと、標準およびオプションのドライブ ケージの接続用ケーブル</v>
          </cell>
        </row>
        <row r="1323">
          <cell r="A1323" t="str">
            <v>867994-B21</v>
          </cell>
          <cell r="B1323" t="str">
            <v>DL360 Gen10 LFF System Insight Display</v>
          </cell>
          <cell r="C1323" t="str">
            <v>System Insight Display を追加するオプション
※CPU、メモリ、NIC、電源、FAN などの異常を LED の色と点灯・点滅から把握することが可能</v>
          </cell>
        </row>
        <row r="1324">
          <cell r="A1324" t="str">
            <v>867996-B21</v>
          </cell>
          <cell r="B1324" t="str">
            <v>DL360 Gen10 SFF System Insight Display</v>
          </cell>
          <cell r="C1324" t="str">
            <v>System Insight Display を追加するオプション
※CPU、メモリ、NIC、電源、FAN などの異常を LED の色と点灯・点滅から把握することが可能</v>
          </cell>
        </row>
        <row r="1325">
          <cell r="A1325" t="str">
            <v>867998-B21</v>
          </cell>
          <cell r="B1325" t="str">
            <v>Gen10 1U セキュリティーベゼルキット</v>
          </cell>
          <cell r="C1325" t="str">
            <v>サーバー前面に取り付けるセキュリティ ベゼル</v>
          </cell>
        </row>
        <row r="1326">
          <cell r="A1326" t="str">
            <v>868000-B21</v>
          </cell>
          <cell r="B1326" t="str">
            <v>DL360Gen10 8SFF ユニバーサルメディアベイ</v>
          </cell>
          <cell r="C1326" t="str">
            <v>DVD ドライブ用ベイ x1、フロント ビデオ ポート(Display Port) x1、USB 2.0 ポート x1 追加オプション</v>
          </cell>
        </row>
        <row r="1327">
          <cell r="A1327" t="str">
            <v>868004-B21</v>
          </cell>
          <cell r="B1327" t="str">
            <v>DL360 Gen10 LFF Display/USBポート増設</v>
          </cell>
          <cell r="C1327" t="str">
            <v>-</v>
          </cell>
        </row>
        <row r="1328">
          <cell r="A1328" t="str">
            <v>868710-291</v>
          </cell>
          <cell r="B1328" t="str">
            <v>DL380Gen10 S4110 1P8C 32G 12LFF/P816a</v>
          </cell>
          <cell r="C1328" t="str">
            <v xml:space="preserve">Xeon S4110 2.1GHz 1P/8C MEM：32GB(16GB x2) P816i-a SR/4GB NIC：1GbEx4p </v>
          </cell>
        </row>
        <row r="1329">
          <cell r="A1329" t="str">
            <v>869724-B21</v>
          </cell>
          <cell r="B1329" t="str">
            <v>グラフィックスカード電源ケーブルキット</v>
          </cell>
          <cell r="C1329" t="str">
            <v>高電力グラフィックス カードへの給電用 2×4 ピンコネクター1 個付きケーブルケーブル 1 本のキット
＊NVIDIA Tesla M60 RAF デュアル GPU モジュール1 枚あたり本キットが 1 つ必要</v>
          </cell>
        </row>
        <row r="1330">
          <cell r="A1330" t="str">
            <v>869845-291</v>
          </cell>
          <cell r="B1330" t="str">
            <v>DL580G10 P8164 4P104C 256G 8SFF P408p OV</v>
          </cell>
          <cell r="C1330" t="str">
            <v>Xeon P8164 2.0GHz 4P/104C MEM：256GB(32GB x8)P408i-p SR/2GB NIC：10/25GbE SFP28 x2p OneView付</v>
          </cell>
        </row>
        <row r="1331">
          <cell r="A1331" t="str">
            <v>869847-291</v>
          </cell>
          <cell r="B1331" t="str">
            <v>DL580G10 G6148 4P80C 128G 8SFF P408p OV</v>
          </cell>
          <cell r="C1331" t="str">
            <v>Xeon G6148 2.4GHz 4P/80C MEM：128GB(16GB x8)P408i-p SR/2GB NIC：10Gbase-T x2p OneView付</v>
          </cell>
        </row>
        <row r="1332">
          <cell r="A1332" t="str">
            <v>869848-291</v>
          </cell>
          <cell r="B1332" t="str">
            <v>DL580Gen10 G5120 2P28C 64G 8SFF P408p</v>
          </cell>
          <cell r="C1332" t="str">
            <v>Xeon G5120 2.2GHz 2P/28C MEM：64GB(16GB x4)P408i-p SR/2GB NIC：1GbE x4p iLO Adv付</v>
          </cell>
        </row>
        <row r="1333">
          <cell r="A1333" t="str">
            <v>869872-B21</v>
          </cell>
          <cell r="B1333" t="str">
            <v>Gen10 4U セキュリティベゼルキット</v>
          </cell>
          <cell r="C1333" t="str">
            <v>サーバー前面に取り付けるセキュリティ ベゼル</v>
          </cell>
        </row>
        <row r="1334">
          <cell r="A1334" t="str">
            <v>870548-B21</v>
          </cell>
          <cell r="B1334" t="str">
            <v>Gen10 セカンドスロットライザー</v>
          </cell>
          <cell r="C1334" t="str">
            <v>セカンダリ ライザー ボード</v>
          </cell>
        </row>
        <row r="1335">
          <cell r="A1335" t="str">
            <v>870549-B21</v>
          </cell>
          <cell r="B1335" t="str">
            <v>DL Gen10 SASエキスパンダーカード</v>
          </cell>
          <cell r="C1335" t="str">
            <v>複数のドライブケージを 1 つのコントローラーで接続するためのオプション</v>
          </cell>
        </row>
        <row r="1336">
          <cell r="A1336" t="str">
            <v>870970-B21</v>
          </cell>
          <cell r="B1336" t="str">
            <v>XeonG 6154 3.0GHz 1P18C CPU DL360Gen10</v>
          </cell>
          <cell r="C1336" t="str">
            <v>追加CPU：XeonG 6154 3.0GHz 2P/36C</v>
          </cell>
        </row>
        <row r="1337">
          <cell r="A1337" t="str">
            <v>871242-B21</v>
          </cell>
          <cell r="B1337" t="str">
            <v>DL360 Gen10 2SFF NVMeバックプレーン</v>
          </cell>
          <cell r="C1337" t="str">
            <v>NVMe ドライブに対応するバックプレーン、2SFFドライブ ベイ、プライマリ PCI ライザーのキット
※標準搭載のプライマリ PCI ライザーと換装になります。</v>
          </cell>
        </row>
        <row r="1338">
          <cell r="A1338" t="str">
            <v>871244-B21</v>
          </cell>
          <cell r="B1338" t="str">
            <v>DL360 Gen10 高性能ファン(7個)キット</v>
          </cell>
          <cell r="C1338" t="str">
            <v>高性能ファン(標準ファンと換装)</v>
          </cell>
        </row>
        <row r="1339">
          <cell r="A1339" t="str">
            <v>871246-B21</v>
          </cell>
          <cell r="B1339" t="str">
            <v>DL360Gen10ハイパフォーマンスヒートシンク</v>
          </cell>
          <cell r="C1339" t="str">
            <v>-</v>
          </cell>
        </row>
        <row r="1340">
          <cell r="A1340" t="str">
            <v>871248-B21</v>
          </cell>
          <cell r="B1340" t="str">
            <v>DL360 Gen10 GPU 電源ケーブルキット</v>
          </cell>
          <cell r="C1340" t="str">
            <v>PCI Express カードに内部電源を供給する 6 ピンコネクター電源ケーブル オプション</v>
          </cell>
        </row>
        <row r="1341">
          <cell r="A1341" t="str">
            <v>871428-291</v>
          </cell>
          <cell r="B1341" t="str">
            <v>DL20Gen9 Pentium G4560 1P2C 8G NHP B140i</v>
          </cell>
          <cell r="C1341" t="str">
            <v xml:space="preserve">Pentium G4560 3.50GHz 1P/2C MEM：8GB B140i NIC：1GbEx2p </v>
          </cell>
        </row>
        <row r="1342">
          <cell r="A1342" t="str">
            <v>871429-291</v>
          </cell>
          <cell r="B1342" t="str">
            <v>DL20Gen9 E3-1220v6 1P4C 8G LFF/B140i</v>
          </cell>
          <cell r="C1342" t="str">
            <v xml:space="preserve">Xeon E3-1220v6 3.00GHz 1P/4C MEM：8GB B140i NIC：1GbEx2p </v>
          </cell>
        </row>
        <row r="1343">
          <cell r="A1343" t="str">
            <v>871827-B21</v>
          </cell>
          <cell r="B1343" t="str">
            <v>DL38xGen10スリムラインNVMeケーブルキット</v>
          </cell>
          <cell r="C1343" t="str">
            <v>-</v>
          </cell>
        </row>
        <row r="1344">
          <cell r="A1344" t="str">
            <v>871828-B21</v>
          </cell>
          <cell r="B1344" t="str">
            <v>DL38x Gen10 GPU 8P 電源ケーブルキット</v>
          </cell>
          <cell r="C1344" t="str">
            <v>Quadro P6000 または Tesla M10 を搭載する DL380 Gen10 に 1 つ必要</v>
          </cell>
        </row>
        <row r="1345">
          <cell r="A1345" t="str">
            <v>871829-B21</v>
          </cell>
          <cell r="B1345" t="str">
            <v>DL38xGen10 GPU 8P キー電源ケーブルキット</v>
          </cell>
          <cell r="C1345" t="str">
            <v>Tesla P40 または Tesla P100 を搭載する DL380 Gen10 に 1 つ必要</v>
          </cell>
        </row>
        <row r="1346">
          <cell r="A1346" t="str">
            <v>871830-B21</v>
          </cell>
          <cell r="B1346" t="str">
            <v>DL38x Gen10 8x6Pケーブルキット</v>
          </cell>
          <cell r="C1346" t="str">
            <v>-</v>
          </cell>
        </row>
        <row r="1347">
          <cell r="A1347" t="str">
            <v>872151-B21</v>
          </cell>
          <cell r="B1347" t="str">
            <v>4U Gen10 CMA/Easy Installラックレール</v>
          </cell>
          <cell r="C1347" t="str">
            <v>ラックレールキットキット　※ケーブルマネジメントアーム付属</v>
          </cell>
        </row>
        <row r="1348">
          <cell r="A1348" t="str">
            <v>872222-B21</v>
          </cell>
          <cell r="B1348" t="str">
            <v>DL560 Gen10 CPUメザニントレイ</v>
          </cell>
          <cell r="C1348" t="str">
            <v>プロセッサーの増設時に必要</v>
          </cell>
        </row>
        <row r="1349">
          <cell r="A1349" t="str">
            <v>872223-B21</v>
          </cell>
          <cell r="B1349" t="str">
            <v>DL560 Gen10 2SFF(2.5型) ケージ</v>
          </cell>
          <cell r="C1349" t="str">
            <v>追加 2SFFドライブケージオプション</v>
          </cell>
        </row>
        <row r="1350">
          <cell r="A1350" t="str">
            <v>872225-B21</v>
          </cell>
          <cell r="B1350" t="str">
            <v>DL560 Gen10 8xNVMe Expressベイキット</v>
          </cell>
          <cell r="C1350" t="str">
            <v>追加 8 xNVMeドライブケージオプション</v>
          </cell>
        </row>
        <row r="1351">
          <cell r="A1351" t="str">
            <v>872227-B21</v>
          </cell>
          <cell r="B1351" t="str">
            <v>DL560 Gen10 Premium 8SFF ベイ1 ケージ</v>
          </cell>
          <cell r="C1351" t="str">
            <v>追加 6 xSFFドライブ、2 xNVMeドライブケージオプション</v>
          </cell>
        </row>
        <row r="1352">
          <cell r="A1352" t="str">
            <v>872229-B21</v>
          </cell>
          <cell r="B1352" t="str">
            <v>DL560 Gen10 Premium 8SFF ベイ2 ケージ</v>
          </cell>
          <cell r="C1352" t="str">
            <v>追加 6 xSFFドライブ、2 xNVMeドライブケージオプション</v>
          </cell>
        </row>
        <row r="1353">
          <cell r="A1353" t="str">
            <v>872231-B21</v>
          </cell>
          <cell r="B1353" t="str">
            <v>DL560 Gen10 Premium 8SFF ベイ3 ケージ</v>
          </cell>
          <cell r="C1353" t="str">
            <v>追加 6 xSFFドライブ、2 xNVMeドライブケージオプション</v>
          </cell>
        </row>
        <row r="1354">
          <cell r="A1354" t="str">
            <v>872233-B21</v>
          </cell>
          <cell r="B1354" t="str">
            <v>DL560 Gen10 8SFF(2.5型) ベイ1 ケージ</v>
          </cell>
          <cell r="C1354" t="str">
            <v>追加 8 xSFFドライブケージオプション</v>
          </cell>
        </row>
        <row r="1355">
          <cell r="A1355" t="str">
            <v>872235-B21</v>
          </cell>
          <cell r="B1355" t="str">
            <v>DL560 Gen10 8SFF(2.5型) ベイ2 ケージ</v>
          </cell>
          <cell r="C1355" t="str">
            <v>追加 8 xSFFドライブケージオプション</v>
          </cell>
        </row>
        <row r="1356">
          <cell r="A1356" t="str">
            <v>872237-B21</v>
          </cell>
          <cell r="B1356" t="str">
            <v>DL560 Gen10 8SFF(2.5型) ベイ3 ケージ</v>
          </cell>
          <cell r="C1356" t="str">
            <v>追加 8 xSFFドライブケージオプション</v>
          </cell>
        </row>
        <row r="1357">
          <cell r="A1357" t="str">
            <v>872253-B21</v>
          </cell>
          <cell r="B1357" t="str">
            <v>DL560 Gen10 サードスロットライザー PCI</v>
          </cell>
          <cell r="C1357" t="str">
            <v>サード ライザー ボード</v>
          </cell>
        </row>
        <row r="1358">
          <cell r="A1358" t="str">
            <v>872255-B21</v>
          </cell>
          <cell r="B1358" t="str">
            <v>DL560Gen10サードスロットライザーPCI/NVMe</v>
          </cell>
          <cell r="C1358" t="str">
            <v>サード ライザー ボード</v>
          </cell>
        </row>
        <row r="1359">
          <cell r="A1359" t="str">
            <v>872257-B21</v>
          </cell>
          <cell r="B1359" t="str">
            <v>DL560 Gen10 サード NVMe x2 ライザー</v>
          </cell>
          <cell r="C1359" t="str">
            <v>サード ライザー ボード</v>
          </cell>
        </row>
        <row r="1360">
          <cell r="A1360" t="str">
            <v>872261-B21</v>
          </cell>
          <cell r="B1360" t="str">
            <v>DL5x0 Gen10 System Insight Display</v>
          </cell>
          <cell r="C1360" t="str">
            <v>System Insight Display を追加するオプション
※CPU、メモリ、NIC、電源、FAN などの異常を LED の色と点灯・点滅から把握することが可能</v>
          </cell>
        </row>
        <row r="1361">
          <cell r="A1361" t="str">
            <v>872267-B21</v>
          </cell>
          <cell r="B1361" t="str">
            <v>DL560 Gen10 ユニバーサルメディアベイ</v>
          </cell>
          <cell r="C1361" t="str">
            <v>DVD ドライブ用ベイ×1、フロント ビデオ用 Display Port×1、USB 2.0 ポート×2 追加オプション</v>
          </cell>
        </row>
        <row r="1362">
          <cell r="A1362" t="str">
            <v>872336-B21</v>
          </cell>
          <cell r="B1362" t="str">
            <v>DL580 Gen10 PCI x6 NVMe x2ライザー</v>
          </cell>
          <cell r="C1362" t="str">
            <v>プライマリ ライザーボード</v>
          </cell>
        </row>
        <row r="1363">
          <cell r="A1363" t="str">
            <v>872338-B21</v>
          </cell>
          <cell r="B1363" t="str">
            <v>DL580 Gen10 PCI x8 NVMe x2ライザー</v>
          </cell>
          <cell r="C1363" t="str">
            <v>セカンド および サード ライザーボード</v>
          </cell>
        </row>
        <row r="1364">
          <cell r="A1364" t="str">
            <v>872340-B21</v>
          </cell>
          <cell r="B1364" t="str">
            <v>DL580 Gen10 PCI x9スロットライザー</v>
          </cell>
          <cell r="C1364" t="str">
            <v>セカンド および サード ライザーボード</v>
          </cell>
        </row>
        <row r="1365">
          <cell r="A1365" t="str">
            <v>872878-295</v>
          </cell>
          <cell r="B1365" t="str">
            <v>DL20Gen9 E3-1240v6 1P4C 8G LFF/B140i</v>
          </cell>
          <cell r="C1365" t="str">
            <v xml:space="preserve">Xeon E3-1240v6 3.70GHz 1P/4C MEM：8GB B140i NIC：1GbEx2p </v>
          </cell>
        </row>
        <row r="1366">
          <cell r="A1366" t="str">
            <v>872879-295</v>
          </cell>
          <cell r="B1366" t="str">
            <v>DL20Gen9 E3-1220v6 1P4C 8G SFF/B140i</v>
          </cell>
          <cell r="C1366" t="str">
            <v xml:space="preserve">Xeon E3-1220v6 3.00GHz 1P/4C MEM：8GB B140i NIC：1GbEx2p </v>
          </cell>
        </row>
        <row r="1367">
          <cell r="A1367" t="str">
            <v>872880-295</v>
          </cell>
          <cell r="B1367" t="str">
            <v>DL20Gen9 E3-1220v6 1P4C 8G SFF/B140i/RPS</v>
          </cell>
          <cell r="C1367" t="str">
            <v xml:space="preserve">Xeon E3-1220v6 3.00GHz 1P/4C MEM：8GB B140i NIC：1GbEx2p </v>
          </cell>
        </row>
        <row r="1368">
          <cell r="A1368" t="str">
            <v>872881-295</v>
          </cell>
          <cell r="B1368" t="str">
            <v>DL20Gen9 E3-1240v6 1P4C 8G SFF/B140i/RPS</v>
          </cell>
          <cell r="C1368" t="str">
            <v xml:space="preserve">Xeon E3-1240v6 3.70GHz 1P/4C MEM：8GB B140i NIC：1GbEx2p </v>
          </cell>
        </row>
        <row r="1369">
          <cell r="A1369" t="str">
            <v>873444-B21</v>
          </cell>
          <cell r="B1369" t="str">
            <v>DL560 Gen10 SASエキスパンダーカード</v>
          </cell>
          <cell r="C1369" t="str">
            <v>複数のドライブケージを 1 つのコントローラーで接続するためのオプション</v>
          </cell>
        </row>
        <row r="1370">
          <cell r="A1370" t="str">
            <v>873641-B21</v>
          </cell>
          <cell r="B1370" t="str">
            <v>XeonB 3104 1.7GHz 1P6C CPU DL380Gen10</v>
          </cell>
          <cell r="C1370" t="str">
            <v>追加CPU：XeonB 3104 1.7GHz 2P/12C</v>
          </cell>
        </row>
        <row r="1371">
          <cell r="A1371" t="str">
            <v>873647-B21</v>
          </cell>
          <cell r="B1371" t="str">
            <v>XeonS 4112 2.6GHz 1P4C CPU DL380Gen10</v>
          </cell>
          <cell r="C1371" t="str">
            <v>追加CPU：XeonS 4112 2.6GHz 2P/8C</v>
          </cell>
        </row>
        <row r="1372">
          <cell r="A1372" t="str">
            <v>873732-B21</v>
          </cell>
          <cell r="B1372" t="str">
            <v>DL38x Gen10 セカンド NVMe x4ライザー</v>
          </cell>
          <cell r="C1372" t="str">
            <v>セカンダリ ライザー ボード
※PCIe スロット無
※NVMe ドライブを 8台接続可能</v>
          </cell>
        </row>
        <row r="1373">
          <cell r="A1373" t="str">
            <v>873770-B21</v>
          </cell>
          <cell r="B1373" t="str">
            <v>DL3xx Gen10 リア シリアルポートx1増設</v>
          </cell>
          <cell r="C1373" t="str">
            <v>シリアル ポート(RS-232C、DB-9) x1 追加オプション</v>
          </cell>
        </row>
        <row r="1374">
          <cell r="A1374" t="str">
            <v>873781-B21</v>
          </cell>
          <cell r="B1374" t="str">
            <v>DL38xGen10 2SFF NVMe Frontドライブケージ</v>
          </cell>
          <cell r="C1374" t="str">
            <v>追加 2 xNVMeドライブケージオプション</v>
          </cell>
        </row>
        <row r="1375">
          <cell r="A1375" t="str">
            <v>873869-B21</v>
          </cell>
          <cell r="B1375" t="str">
            <v>DL360 Gen10 LFF ケーブルキット</v>
          </cell>
          <cell r="C1375" t="str">
            <v>-</v>
          </cell>
        </row>
        <row r="1376">
          <cell r="A1376" t="str">
            <v>874212-B21</v>
          </cell>
          <cell r="B1376" t="str">
            <v>GPU 6Px6P Y電源ケーブルキット</v>
          </cell>
          <cell r="C1376" t="str">
            <v>Quadro P4000 を搭載する DL380 Gen10 に 1 つ必要</v>
          </cell>
        </row>
        <row r="1377">
          <cell r="A1377" t="str">
            <v>874633-B21</v>
          </cell>
          <cell r="B1377" t="str">
            <v>DL560 Gen10 NVMe x4 メザニンカード</v>
          </cell>
          <cell r="C1377" t="str">
            <v>NVMe スリムラインポート x4、NVMe ドライブを最大 8 台接続可能</v>
          </cell>
        </row>
        <row r="1378">
          <cell r="A1378" t="str">
            <v>875519-B21</v>
          </cell>
          <cell r="B1378" t="str">
            <v>セキュリティーベゼルロックキット</v>
          </cell>
          <cell r="C1378" t="str">
            <v>セキュリティーベゼルをロックするための鍵</v>
          </cell>
        </row>
        <row r="1379">
          <cell r="A1379" t="str">
            <v>875608-B21</v>
          </cell>
          <cell r="B1379" t="str">
            <v>DL560 Gen10 CPUメザニンキット(2CPU用)</v>
          </cell>
          <cell r="C1379" t="str">
            <v>2CPU 構成時の UPI 接続オプション</v>
          </cell>
        </row>
        <row r="1380">
          <cell r="A1380" t="str">
            <v>875675-B21</v>
          </cell>
          <cell r="B1380" t="str">
            <v>DL560 Gen10 4電源イネーブルメントキット</v>
          </cell>
          <cell r="C1380" t="str">
            <v>パワーサプライを 4 個搭載可能にするオプション</v>
          </cell>
        </row>
        <row r="1381">
          <cell r="A1381" t="str">
            <v>875769-295</v>
          </cell>
          <cell r="B1381" t="str">
            <v>DL380Gen10 S4108 1P8C 16G 8SFF/P408a</v>
          </cell>
          <cell r="C1381" t="str">
            <v xml:space="preserve">Xeon S4108 1.8GHz 1P/8C MEM：16GB P408i-a SR/2GB NIC：1GbEx4p </v>
          </cell>
        </row>
        <row r="1382">
          <cell r="A1382" t="str">
            <v>875780-B21</v>
          </cell>
          <cell r="B1382" t="str">
            <v>DL38x Gen10 サードスロットライザー (x8)</v>
          </cell>
          <cell r="C1382" t="str">
            <v>サード ライザー ボード</v>
          </cell>
        </row>
        <row r="1383">
          <cell r="A1383" t="str">
            <v>875807-291</v>
          </cell>
          <cell r="B1383" t="str">
            <v>DL560Gen10 G6130 2P32C 64G 8SFF/P408a</v>
          </cell>
          <cell r="C1383" t="str">
            <v xml:space="preserve">Xeon G6130 2.1GHz 2P/32C MEM：64GB(16GB x4)P408i-a SR/2GB NIC：10Gbase-T x2 </v>
          </cell>
        </row>
        <row r="1384">
          <cell r="A1384" t="str">
            <v>876342-295</v>
          </cell>
          <cell r="B1384" t="str">
            <v>DL360Gen10 B3104 1P6C 16G 8SFF/P408a</v>
          </cell>
          <cell r="C1384" t="str">
            <v xml:space="preserve">Xeon B3104 1.7GHz 1P/6C MEM：16GB P408i-a SR/2GB NIC：1GbEx4p </v>
          </cell>
        </row>
        <row r="1385">
          <cell r="A1385" t="str">
            <v>878127-B21</v>
          </cell>
          <cell r="B1385" t="str">
            <v>XeonG 5120 2.2GHz 1P14C CPU DL580Gen10</v>
          </cell>
          <cell r="C1385" t="str">
            <v>追加CPU：XeonG 5120 2.2GHz 4P/56C</v>
          </cell>
        </row>
        <row r="1386">
          <cell r="A1386" t="str">
            <v>878214-B21</v>
          </cell>
          <cell r="B1386" t="str">
            <v>DL580 Gen10 PCI x7スロットライザー</v>
          </cell>
          <cell r="C1386" t="str">
            <v>プライマリ ライザーボード</v>
          </cell>
        </row>
        <row r="1387">
          <cell r="A1387" t="str">
            <v>878360-B21</v>
          </cell>
          <cell r="B1387" t="str">
            <v>DL580 Gen10 NVMe x8ライザー</v>
          </cell>
          <cell r="C1387" t="str">
            <v>プライマリ ライザーボード</v>
          </cell>
        </row>
        <row r="1388">
          <cell r="A1388" t="str">
            <v>878362-B21</v>
          </cell>
          <cell r="B1388" t="str">
            <v>DL580 Gen10 8xNVMe Expressベイキット</v>
          </cell>
          <cell r="C1388" t="str">
            <v>追加 8 xNVMeドライブケージオプション</v>
          </cell>
        </row>
        <row r="1389">
          <cell r="A1389" t="str">
            <v>878364-B21</v>
          </cell>
          <cell r="B1389" t="str">
            <v>DL580 Gen10 6SFF + 2NVMeドライブケージ</v>
          </cell>
          <cell r="C1389" t="str">
            <v>追加 6 xSFFドライブ、2 xNVMeドライブケージオプション</v>
          </cell>
        </row>
        <row r="1390">
          <cell r="A1390" t="str">
            <v>878366-B21</v>
          </cell>
          <cell r="B1390" t="str">
            <v>DL580 Gen10 8SFF(2.5型) ドライブケージ</v>
          </cell>
          <cell r="C1390" t="str">
            <v>追加 8 xSFFドライブケージオプション</v>
          </cell>
        </row>
        <row r="1391">
          <cell r="A1391" t="str">
            <v>878712-291</v>
          </cell>
          <cell r="B1391" t="str">
            <v>DL385Gen10 EP7251 1P8C 16G 8LFF E208a</v>
          </cell>
          <cell r="C1391" t="str">
            <v xml:space="preserve">AMD EPYC 7251 2.1GHz 1P/8C MEM：16GB E208i-a SR NIC：1GbEx4p </v>
          </cell>
        </row>
        <row r="1392">
          <cell r="A1392" t="str">
            <v>878716-291</v>
          </cell>
          <cell r="B1392" t="str">
            <v>DL385Gen10 EP7251 1P8C 32G 12LFF P816a</v>
          </cell>
          <cell r="C1392" t="str">
            <v xml:space="preserve">AMD EPYC 7251 2.1GHz 1P/8C MEM：32GB(16GB x2) P816i-a SR/4GB  NIC：1GbEx4p </v>
          </cell>
        </row>
        <row r="1393">
          <cell r="A1393" t="str">
            <v>878718-291</v>
          </cell>
          <cell r="B1393" t="str">
            <v>DL385Gen10 EP7301 1P16C 32G 8SFF P408a</v>
          </cell>
          <cell r="C1393" t="str">
            <v xml:space="preserve">AMD EPYC 7301 2.2GHz 1P/16C MEM：32GB(16GB x2) P408i-a SR/2GB  NIC：1GbEx4p </v>
          </cell>
        </row>
        <row r="1394">
          <cell r="A1394" t="str">
            <v>878720-291</v>
          </cell>
          <cell r="B1394" t="str">
            <v>DL385Gen10 EP7401 1P24C 32G 24SFF P408a</v>
          </cell>
          <cell r="C1394" t="str">
            <v xml:space="preserve">AMD EPYC 7401 2.0GHz 1P/24C MEM：32GB(16GB x2) P408i-a SR/2GB + SAS Expand  NIC：1GbEx4p </v>
          </cell>
        </row>
        <row r="1395">
          <cell r="A1395" t="str">
            <v>878724-291</v>
          </cell>
          <cell r="B1395" t="str">
            <v>DL385Gen10 EP7451 2P48C 64G 24SFF P408a</v>
          </cell>
          <cell r="C1395" t="str">
            <v xml:space="preserve">AMD EPYC 7451 2.3GHz 2P/48C MEM：64GB(32GB x2) P408i-a SR/2GB + SAS Expand  NIC：1GbEx4p </v>
          </cell>
        </row>
        <row r="1396">
          <cell r="A1396" t="str">
            <v>880121-B21</v>
          </cell>
          <cell r="B1396" t="str">
            <v>DL580 Gen10 2SFFプレミアムドライブケージ</v>
          </cell>
          <cell r="C1396" t="str">
            <v>追加 2SFFドライブケージオプション</v>
          </cell>
        </row>
        <row r="1397">
          <cell r="A1397" t="str">
            <v>880173-291</v>
          </cell>
          <cell r="B1397" t="str">
            <v>DL560Gen10 P8164 4P104C 256G 16SFF/P816a</v>
          </cell>
          <cell r="C1397" t="str">
            <v>Xeon P8164 2.0GHz 4P/104C MEM：256GB(16GB x16) P816i-a SR/4GB NIC：10/25GbE SFP28 x2 OneView付</v>
          </cell>
        </row>
        <row r="1398">
          <cell r="A1398" t="str">
            <v>881101-B21</v>
          </cell>
          <cell r="B1398" t="str">
            <v>DL580 Gen10 SASエキスパンダーカード</v>
          </cell>
          <cell r="C1398" t="str">
            <v>3 基までのドライブケージを 1 つのコントローラーで 接続するためのオプション</v>
          </cell>
        </row>
        <row r="1399">
          <cell r="A1399" t="str">
            <v>881166-B21</v>
          </cell>
          <cell r="B1399" t="str">
            <v>EPYC 7401 2.0GHz 1P24C CPU DL385Gen10</v>
          </cell>
          <cell r="C1399" t="str">
            <v>追加CPU：AMD EPYC 7401 2.0GHz 2P/48C</v>
          </cell>
        </row>
        <row r="1400">
          <cell r="A1400" t="str">
            <v>881170-B21</v>
          </cell>
          <cell r="B1400" t="str">
            <v>EPYC 7301 2.2GHz 1P16C CPU DL385Gen10</v>
          </cell>
          <cell r="C1400" t="str">
            <v>追加CPU：AMD EPYC 7301 2.2GHz 2P/32C</v>
          </cell>
        </row>
        <row r="1401">
          <cell r="A1401" t="str">
            <v>881171-B21</v>
          </cell>
          <cell r="B1401" t="str">
            <v>EPYC 7251 2.1GHz 1P8C CPU DL385Gen10</v>
          </cell>
          <cell r="C1401" t="str">
            <v>追加CPU：AMD EPYC 7251 2.1GHz 2P/16C</v>
          </cell>
        </row>
        <row r="1402">
          <cell r="A1402" t="str">
            <v>882096-B21</v>
          </cell>
          <cell r="B1402" t="str">
            <v>DL385 Gen10 4LFF MID-planeドライブケージ</v>
          </cell>
          <cell r="C1402" t="str">
            <v>4LFF ミッドプレーンドライブケージ</v>
          </cell>
        </row>
        <row r="1403">
          <cell r="A1403" t="str">
            <v>882097-B21</v>
          </cell>
          <cell r="B1403" t="str">
            <v>DL385 Gen10 ユニバーサルメディアベイ</v>
          </cell>
          <cell r="C1403" t="str">
            <v>※DVD ドライブ用ベイ×1、フロント ビデオ用 Display Port×1、USB 2.0 ポート×2 を提供</v>
          </cell>
        </row>
        <row r="1404">
          <cell r="A1404" t="str">
            <v>882098-B21</v>
          </cell>
          <cell r="B1404" t="str">
            <v>DL385Gen10ハイパフォーマンスヒートシンク</v>
          </cell>
          <cell r="C1404" t="str">
            <v>※高性能なヒートシンク×2 個組のキット
※搭載するプロセッサー数に関わらず 1 キット必要
※本体標準搭載(1st CPU)、プロセッサー キット(2nd CPU) に標準添付のヒートシンクと交換となります。</v>
          </cell>
        </row>
        <row r="1405">
          <cell r="A1405" t="str">
            <v>882099-B21</v>
          </cell>
          <cell r="B1405" t="str">
            <v>DL385 Gen10 System Insight Display</v>
          </cell>
          <cell r="C1405" t="str">
            <v>※SFF モデルに追加可能
※System Insight Display を追加するオプション
※CPU、メモリ、NIC、電源、FAN などの異常を LED の色と点灯・点滅から把握することが可能
※フロントの iLO リモート管理用 USB ポートは利用不可になります。</v>
          </cell>
        </row>
        <row r="1406">
          <cell r="A1406" t="str">
            <v>882100-B21</v>
          </cell>
          <cell r="B1406" t="str">
            <v>DL385 Gen10 Mini SAS 3POS ケーブルキット</v>
          </cell>
          <cell r="C1406" t="str">
            <v>-</v>
          </cell>
        </row>
        <row r="1407">
          <cell r="A1407" t="str">
            <v>P00268-B21</v>
          </cell>
          <cell r="B1407" t="str">
            <v>DL580 Gen10 GPU ブラケットキット</v>
          </cell>
          <cell r="C1407" t="str">
            <v>グラフィックス コントローラーをPCIeスロット 4、11 に搭載する場合に、1枚につき 1つ必要</v>
          </cell>
        </row>
        <row r="1408">
          <cell r="A1408" t="str">
            <v>P00327-295</v>
          </cell>
          <cell r="B1408" t="str">
            <v>DL385Gen10 EP7251 1P8C 16G 8SFF P408a</v>
          </cell>
          <cell r="C1408" t="str">
            <v xml:space="preserve">AMD EPYC 7251 2.1GHz 1P/8C MEM：16GB P408i-a SR/2GB  NIC：1GbEx4p </v>
          </cell>
        </row>
        <row r="1409">
          <cell r="A1409" t="str">
            <v>P01880-291</v>
          </cell>
          <cell r="B1409" t="str">
            <v>DL360Gen10 B3104 1P6C 8G 4LFF S100i</v>
          </cell>
          <cell r="C1409" t="str">
            <v xml:space="preserve">Xeon B3104 1.7GHz 1P/6C MEM：8GB S100i NIC：1GbEx4p </v>
          </cell>
        </row>
        <row r="1410">
          <cell r="A1410" t="str">
            <v>P9V54A</v>
          </cell>
          <cell r="B1410" t="str">
            <v>DL360Gen9 E5-2650v4 1P12C 16G 8SFF 800PS</v>
          </cell>
          <cell r="C1410" t="str">
            <v xml:space="preserve">Xeon E5-2650v4 2.20GHz 1P/12C MEM：16GB P440ar/2GB NIC：1GbEx4p </v>
          </cell>
        </row>
        <row r="1411">
          <cell r="A1411" t="str">
            <v>P9V56A</v>
          </cell>
          <cell r="B1411" t="str">
            <v>DL380Gen9 E5-2603v4 1P6C 8G 8SFF 500PS</v>
          </cell>
          <cell r="C1411" t="str">
            <v xml:space="preserve">Xeon E5-2603v4 1.70GHz 1P/6C MEM：8GB P440ar/2GB NIC：1GbEx4p </v>
          </cell>
        </row>
        <row r="1412">
          <cell r="A1412" t="str">
            <v>P9V57A</v>
          </cell>
          <cell r="B1412" t="str">
            <v>DL380Gen9 E5-2623v4 1P4C 8G 8SFF 500PS</v>
          </cell>
          <cell r="C1412" t="str">
            <v>Xeon E5-2623v4 2.60GHz 1P/4C MEM：8GB P440ar/2GB NIC：1GbEx4p</v>
          </cell>
        </row>
        <row r="1413">
          <cell r="A1413" t="str">
            <v>P9V58A</v>
          </cell>
          <cell r="B1413" t="str">
            <v>DL380Gen9 E5-2640v4 1P10C 16G 8SFF 800PS</v>
          </cell>
          <cell r="C1413" t="str">
            <v xml:space="preserve">Xeon E5-2640v4 2.40GHz 1P/10C MEM：16GB P440ar/2GB NIC：1GbEx4p </v>
          </cell>
        </row>
        <row r="1414">
          <cell r="A1414" t="str">
            <v>P9V59A</v>
          </cell>
          <cell r="B1414" t="str">
            <v>DL380Gen9 E5-2650v4 1P12C 16G 8SFF 800PS</v>
          </cell>
          <cell r="C1414" t="str">
            <v xml:space="preserve">Xeon E5-2650v4 2.20GHz 1P/12C MEM：16GB P440ar/2GB NIC：1GbEx4p </v>
          </cell>
        </row>
        <row r="1415">
          <cell r="A1415" t="str">
            <v>P9V60A</v>
          </cell>
          <cell r="B1415" t="str">
            <v>DL380Gen9 E5-2690v4 1P14C 16G 8SFF 800PS</v>
          </cell>
          <cell r="C1415" t="str">
            <v>Xeon E5-2690v4 2.60GHz 1P/14C MEM：16GB P440ar/2GB NIC：1GbEx4p</v>
          </cell>
        </row>
        <row r="1416">
          <cell r="A1416" t="str">
            <v>P9V61A</v>
          </cell>
          <cell r="B1416" t="str">
            <v>DL380Gen9 E5-2697v4 1P18C 16G 8SFF 800PS</v>
          </cell>
          <cell r="C1416" t="str">
            <v>Xeon E5-2697v4 2.30GHz 1P/18C MEM：16GB P440ar/2GB NIC：1GbEx4p</v>
          </cell>
        </row>
        <row r="1417">
          <cell r="A1417" t="str">
            <v>P9V62A</v>
          </cell>
          <cell r="B1417" t="str">
            <v>DL380Gen9 E5-2699v4 1P22C 16G 8SFF 800PS</v>
          </cell>
          <cell r="C1417" t="str">
            <v>Xeon E5-2699v4 2.20GHz 1P/22C MEM：16GB P440ar/2GB NIC：1GbEx4p</v>
          </cell>
        </row>
        <row r="1418">
          <cell r="A1418" t="str">
            <v>P9V63A</v>
          </cell>
          <cell r="B1418" t="str">
            <v>DL360Gen9 E5-2667v4 1P8C 16G 8SFF 800PS</v>
          </cell>
          <cell r="C1418" t="str">
            <v>Xeon E5-2667v4 3.20GHz 1P/8C MEM：16GB P440ar/2GB NIC：1GbEx4p</v>
          </cell>
        </row>
        <row r="1419">
          <cell r="A1419" t="str">
            <v>P9V64A</v>
          </cell>
          <cell r="B1419" t="str">
            <v>DL360Gen9 E5-2690v4 1P14C 16G 8SFF 800PS</v>
          </cell>
          <cell r="C1419" t="str">
            <v>Xeon E5-2690v4 2.60GHz 1P/14C MEM：16GB P440ar/2GB NIC：1GbEx4p</v>
          </cell>
        </row>
        <row r="1420">
          <cell r="A1420" t="str">
            <v>P9V65A</v>
          </cell>
          <cell r="B1420" t="str">
            <v>DL360Gen9 E5-2699v4 1P22C 16G 8SFF 800PS</v>
          </cell>
          <cell r="C1420" t="str">
            <v>Xeon E5-2699v4 2.20GHz 1P/22C MEM：16GB P440ar/2GB NIC：1GbEx4p</v>
          </cell>
        </row>
        <row r="1421">
          <cell r="A1421" t="str">
            <v>Q0B88A</v>
          </cell>
          <cell r="B1421" t="str">
            <v>DL360Gen9 E5-2623v4 1P4C 8G 8SFF 500PS</v>
          </cell>
          <cell r="C1421" t="str">
            <v>Xeon E5-2623v4 2.60GHz 1P/4C MEM：8GB P440ar/2GB NIC：1GbEx4p</v>
          </cell>
        </row>
        <row r="1422">
          <cell r="A1422" t="str">
            <v>Q0C62A</v>
          </cell>
          <cell r="B1422" t="str">
            <v>DL180Gen9 E5-2603v4 1P6C 8G 8LFF/B140RPS</v>
          </cell>
          <cell r="C1422" t="str">
            <v xml:space="preserve">Xeon E5-2603v4 1.70GHz 1P/6C MEM：8GB B140i NIC：1GbEx2p </v>
          </cell>
        </row>
        <row r="1423">
          <cell r="A1423" t="str">
            <v>Q0C63A</v>
          </cell>
          <cell r="B1423" t="str">
            <v>DL180Gen9 E5-2603v4 1P6C 8G 8SFFB140iRPS</v>
          </cell>
          <cell r="C1423" t="str">
            <v xml:space="preserve">Xeon E5-2603v4 1.70GHz 1P/6C MEM：8GB B140i NIC：1GbEx2p </v>
          </cell>
        </row>
        <row r="1424">
          <cell r="A1424" t="str">
            <v>Q0C64A</v>
          </cell>
          <cell r="B1424" t="str">
            <v>DL180Gen9 E5-2609v4 1P8C 8G 8LFF/B140i</v>
          </cell>
          <cell r="C1424" t="str">
            <v xml:space="preserve">Xeon E5-2609v4 1.70GHz 1P/8C MEM：8GB B140i NIC：1GbEx2p </v>
          </cell>
        </row>
        <row r="1425">
          <cell r="A1425" t="str">
            <v>Q0C65A</v>
          </cell>
          <cell r="B1425" t="str">
            <v>DL120Gen9 E5-2603v4 1P6C 8G 8SFFB140iRPS</v>
          </cell>
          <cell r="C1425" t="str">
            <v xml:space="preserve">Xeon E5-2603v4 1.70GHz 1P/6C MEM：8GB B140i NIC：1GbEx2p </v>
          </cell>
        </row>
        <row r="1426">
          <cell r="A1426" t="str">
            <v>Q0C66A</v>
          </cell>
          <cell r="B1426" t="str">
            <v>DL120Gen9 E5-2620v4 1P8C 8G 8SFFB140iRPS</v>
          </cell>
          <cell r="C1426" t="str">
            <v xml:space="preserve">Xeon E5-2620v4 2.10GHz 1P/8C MEM：8GB B140i NIC：1GbEx2p </v>
          </cell>
        </row>
        <row r="1427">
          <cell r="A1427" t="str">
            <v>Q0C67A</v>
          </cell>
          <cell r="B1427" t="str">
            <v>DL120Gen9 E5-2603v4 1P6C 8G 4LFF/B140i</v>
          </cell>
          <cell r="C1427" t="str">
            <v xml:space="preserve">Xeon E5-2603v4 1.70GHz 1P/6C MEM：8GB B140i NIC：1GbEx2p </v>
          </cell>
        </row>
        <row r="1428">
          <cell r="A1428" t="str">
            <v>Q0C68A</v>
          </cell>
          <cell r="B1428" t="str">
            <v>DL120Gen9 E5-2630v4 1P10C 8G 8SFFB140RPS</v>
          </cell>
          <cell r="C1428" t="str">
            <v xml:space="preserve">Xeon E5-2630v4 2.20GHz 1P/10C MEM：8GB B140i NIC：1GbEx2p </v>
          </cell>
        </row>
        <row r="1429">
          <cell r="A1429" t="str">
            <v>Q0C69A</v>
          </cell>
          <cell r="B1429" t="str">
            <v>DL160Gen9 E5-2620v4 1P8C 8G 8SFF/B140i</v>
          </cell>
          <cell r="C1429" t="str">
            <v xml:space="preserve">Xeon E5-2620v4 2.10GHz 1P/8C MEM：8GB B140i NIC：1GbEx2p </v>
          </cell>
        </row>
        <row r="1430">
          <cell r="A1430" t="str">
            <v>Q0C70A</v>
          </cell>
          <cell r="B1430" t="str">
            <v>DL160Gen9 E5-2623v4 1P4C 8G 8SFFB140iRPS</v>
          </cell>
          <cell r="C1430" t="str">
            <v xml:space="preserve">Xeon E5-2623v4 2.60GHz 1P/4C MEM：8GB B140i NIC：1GbEx2p </v>
          </cell>
        </row>
        <row r="1431">
          <cell r="A1431" t="str">
            <v>Q0J79A</v>
          </cell>
          <cell r="B1431" t="str">
            <v>DL120Gen9 E5-1603v4 1P4C 8G 4LFFB140iRPS</v>
          </cell>
          <cell r="C1431" t="str">
            <v xml:space="preserve">Xeon E5-1603v4 2.80GHz 1P/4C MEM：8GB B140i NIC：1GbEx2p </v>
          </cell>
        </row>
        <row r="1432">
          <cell r="A1432" t="str">
            <v>Q0J80A</v>
          </cell>
          <cell r="B1432" t="str">
            <v>DL120Gen9 E5-1603v4 1P4C 8G 8SFFB140iRPS</v>
          </cell>
          <cell r="C1432" t="str">
            <v xml:space="preserve">Xeon E5-1603v4 2.80GHz 1P/4C MEM：8GB B140i NIC：1GbEx2p </v>
          </cell>
        </row>
        <row r="1433">
          <cell r="A1433" t="str">
            <v>Q0J81A</v>
          </cell>
          <cell r="B1433" t="str">
            <v>DL120Gen9 E5-1620v4 1P4C 8G 8SFFB140iRPS</v>
          </cell>
          <cell r="C1433" t="str">
            <v xml:space="preserve">Xeon E5-1620v4 3.50GHz 1P/4C MEM：8GB B140i NIC：1GbEx2p </v>
          </cell>
        </row>
        <row r="1434">
          <cell r="A1434" t="str">
            <v>Q8T65A</v>
          </cell>
          <cell r="B1434" t="str">
            <v>DL360Gen10 G5118 1P12C 16G 8SFF/P408a</v>
          </cell>
          <cell r="C1434" t="str">
            <v xml:space="preserve">Xeon G5118 2.3GHz 1P/12C MEM：16GB P408i-a SR/2GB NIC：1GbEx4p </v>
          </cell>
        </row>
        <row r="1435">
          <cell r="A1435" t="str">
            <v>Q8T66A</v>
          </cell>
          <cell r="B1435" t="str">
            <v>DL360Gen10 G6130 1P16C 16G 8SFF/P408a</v>
          </cell>
          <cell r="C1435" t="str">
            <v xml:space="preserve">Xeon G6130 2.1GHz 1P/16C MEM：16GB P408i-a SR/2GB NIC：1GbEx4p </v>
          </cell>
        </row>
        <row r="1436">
          <cell r="A1436" t="str">
            <v>Q8T67A</v>
          </cell>
          <cell r="B1436" t="str">
            <v>DL360Gen10 G6134 1P8C 16G 8SFF/P408a</v>
          </cell>
          <cell r="C1436" t="str">
            <v xml:space="preserve">Xeon G6134 3.2GHz 1P/8C MEM：16GB P408i-a SR/2GB NIC：1GbEx4p </v>
          </cell>
        </row>
        <row r="1437">
          <cell r="A1437" t="str">
            <v>Q8T68A</v>
          </cell>
          <cell r="B1437" t="str">
            <v>DL360Gen10 G6142 1P16C 16G 8SFF/P408a</v>
          </cell>
          <cell r="C1437" t="str">
            <v xml:space="preserve">Xeon G6142 2.6GHz 1P/16C MEM：16GB P408i-a SR/2GB NIC：1GbEx4p </v>
          </cell>
        </row>
        <row r="1438">
          <cell r="A1438" t="str">
            <v>Q8T69A</v>
          </cell>
          <cell r="B1438" t="str">
            <v>DL360Gen10 G6154 1P18C 16G 8SFF/P408a</v>
          </cell>
          <cell r="C1438" t="str">
            <v xml:space="preserve">Xeon G6154 3.0GHz 1P/18C MEM：16GB P408i-a SR/2GB NIC：1GbEx4p </v>
          </cell>
        </row>
        <row r="1439">
          <cell r="A1439" t="str">
            <v>Q8T70A</v>
          </cell>
          <cell r="B1439" t="str">
            <v>DL360Gen10 S4108 1P8C 16G 8SFF/P408a</v>
          </cell>
          <cell r="C1439" t="str">
            <v xml:space="preserve">Xeon S4108 1.8GHz 1P/8C MEM：16GB P408i-a SR/2GB NIC：1GbEx4p </v>
          </cell>
        </row>
        <row r="1440">
          <cell r="A1440" t="str">
            <v>Q8T71A</v>
          </cell>
          <cell r="B1440" t="str">
            <v>DL360Gen10 S4112 1P4C 16G 8SFF/P408a</v>
          </cell>
          <cell r="C1440" t="str">
            <v xml:space="preserve">Xeon S4112 2.6GHz 1P/4C MEM：16GB P408i-a SR/2GB NIC：1GbEx4p </v>
          </cell>
        </row>
        <row r="1441">
          <cell r="A1441" t="str">
            <v>Q8T85A</v>
          </cell>
          <cell r="B1441" t="str">
            <v>DL380Gen10 B3104 1P6C 16G 8SFF/P408a</v>
          </cell>
          <cell r="C1441" t="str">
            <v xml:space="preserve">Xeon B3104 1.7GHz 1P/6C MEM：16GB P408i-a SR/2GB NIC：1GbEx4p </v>
          </cell>
        </row>
        <row r="1442">
          <cell r="A1442" t="str">
            <v>Q8T86A</v>
          </cell>
          <cell r="B1442" t="str">
            <v>DL380Gen10 G5118 1P12C 16G 8SFF/P408a</v>
          </cell>
          <cell r="C1442" t="str">
            <v xml:space="preserve">Xeon G5118 2.3GHz 1P/12C MEM：16GB P408i-a SR/2GB NIC：1GbEx4p </v>
          </cell>
        </row>
        <row r="1443">
          <cell r="A1443" t="str">
            <v>Q8T87A</v>
          </cell>
          <cell r="B1443" t="str">
            <v>DL380Gen10 G6130 1P16C 16G 8SFF/P408a</v>
          </cell>
          <cell r="C1443" t="str">
            <v xml:space="preserve">Xeon G6130 2.1GHz 1P/16C MEM：16GB P408i-a SR/2GB NIC：1GbEx4p </v>
          </cell>
        </row>
        <row r="1444">
          <cell r="A1444" t="str">
            <v>Q8T88A</v>
          </cell>
          <cell r="B1444" t="str">
            <v>DL380Gen10 G6134 1P8C 16G 8SFF/P408a</v>
          </cell>
          <cell r="C1444" t="str">
            <v xml:space="preserve">Xeon G6134 3.2GHz 1P/8C MEM：16GB P408i-a SR/2GB NIC：1GbEx4p </v>
          </cell>
        </row>
        <row r="1445">
          <cell r="A1445" t="str">
            <v>Q8T89A</v>
          </cell>
          <cell r="B1445" t="str">
            <v>DL380Gen10 G6142 1P16C 16G 8SFF/P408a</v>
          </cell>
          <cell r="C1445" t="str">
            <v xml:space="preserve">Xeon G6142 2.6GHz 1P/16C MEM：16GB P408i-a SR/2GB NIC：1GbEx4p </v>
          </cell>
        </row>
        <row r="1446">
          <cell r="A1446" t="str">
            <v>Q8T90A</v>
          </cell>
          <cell r="B1446" t="str">
            <v>DL380Gen10 G6154 1P18C 16G 8SFF/P408a</v>
          </cell>
          <cell r="C1446" t="str">
            <v xml:space="preserve">Xeon G6154 3.0GHz 1P/18C MEM：16GB P408i-a SR/2GB NIC：1GbEx4p </v>
          </cell>
        </row>
        <row r="1447">
          <cell r="A1447" t="str">
            <v>Q8T91A</v>
          </cell>
          <cell r="B1447" t="str">
            <v>DL380Gen10 S4112 1P4C 16G 8SFF/P408a</v>
          </cell>
          <cell r="C1447" t="str">
            <v xml:space="preserve">Xeon S4112 2.6GHz 1P/4C MEM：16GB P408i-a SR/2GB NIC：1GbEx4p </v>
          </cell>
        </row>
        <row r="1448">
          <cell r="A1448" t="str">
            <v>Q8T92A</v>
          </cell>
          <cell r="B1448" t="str">
            <v>DL380Gen10 S4114 1P10C 16G 8SFF/P408a</v>
          </cell>
          <cell r="C1448" t="str">
            <v xml:space="preserve">Xeon S4114 2.2GHz 1P/10C MEM：16GB P408i-a SR/2GB NIC：1GbEx4p </v>
          </cell>
        </row>
        <row r="1449">
          <cell r="A1449" t="str">
            <v>120672-B21</v>
          </cell>
          <cell r="B1449" t="str">
            <v>バラストキット</v>
          </cell>
          <cell r="C1449" t="str">
            <v>ラックの安定性能を高めるための転倒防止用の錘(おもり)</v>
          </cell>
        </row>
        <row r="1450">
          <cell r="A1450" t="str">
            <v>142257-003</v>
          </cell>
          <cell r="B1450" t="str">
            <v>C13-14 電源ケーブル(10フィート)</v>
          </cell>
          <cell r="C1450" t="str">
            <v>200V電源ケーブル</v>
          </cell>
        </row>
        <row r="1451">
          <cell r="A1451" t="str">
            <v>142257-006</v>
          </cell>
          <cell r="B1451" t="str">
            <v>C13-14 電源ケーブル (4.5フィート)</v>
          </cell>
          <cell r="C1451" t="str">
            <v>200V電源ケーブル</v>
          </cell>
        </row>
        <row r="1452">
          <cell r="A1452" t="str">
            <v>168233-B21</v>
          </cell>
          <cell r="B1452" t="str">
            <v>ケーブル マネジメントキット</v>
          </cell>
          <cell r="C1452" t="str">
            <v>ラック内のケーブル整理金具(D リング ブラケット)10 個組</v>
          </cell>
        </row>
        <row r="1453">
          <cell r="A1453" t="str">
            <v>234672-B21</v>
          </cell>
          <cell r="B1453" t="str">
            <v>ラック スライドシェルフキット</v>
          </cell>
          <cell r="C1453" t="str">
            <v>ラック組み込み製品ではないタワー型製品をラックマウントできるようにするキット</v>
          </cell>
        </row>
        <row r="1454">
          <cell r="A1454" t="str">
            <v>253449-B21</v>
          </cell>
          <cell r="B1454" t="str">
            <v>モニタ シェルフキット</v>
          </cell>
          <cell r="C1454" t="str">
            <v>CRT モニター用テーブル/固定式棚板としても利用可能(最大積載重量：68kg)
※19 インチ以上のモニターは収納不可</v>
          </cell>
        </row>
        <row r="1455">
          <cell r="A1455" t="str">
            <v>257413-B21</v>
          </cell>
          <cell r="B1455" t="str">
            <v>ラックファンキット 100V</v>
          </cell>
          <cell r="C1455" t="str">
            <v>ラック内の冷却効率を上げるための 100V 対応ルーフ マウント型ファン
※AC100V 用電源ケーブル(12 フィート)が付属(プラグ形状：NEMA 5-15P)
※ラック最上部に 1U の空きスペースが必要</v>
          </cell>
        </row>
        <row r="1456">
          <cell r="A1456" t="str">
            <v>257414-B21</v>
          </cell>
          <cell r="B1456" t="str">
            <v>ラックファンキット 200V</v>
          </cell>
          <cell r="C1456" t="str">
            <v>ラック内の冷却効率を上げるための 200V 対応ルーフ マウント型ファン
※AC200V 用 C13-C14 電源ケーブル(10 フィート)が付属
※ラック最上部に 1U の空きスペースが必要</v>
          </cell>
        </row>
        <row r="1457">
          <cell r="A1457" t="str">
            <v>263474-B22</v>
          </cell>
          <cell r="B1457" t="str">
            <v>IP CAT5 6フィートケーブル 8本パック</v>
          </cell>
          <cell r="C1457" t="str">
            <v>コンソールスイッチ用CAT5 ケーブル8本パックオプション</v>
          </cell>
        </row>
        <row r="1458">
          <cell r="A1458" t="str">
            <v>263474-B23</v>
          </cell>
          <cell r="B1458" t="str">
            <v>IP CAT5 12フィートケーブル 8本パック</v>
          </cell>
          <cell r="C1458" t="str">
            <v>コンソールスイッチ用CAT5 ケーブル8本パックオプション</v>
          </cell>
        </row>
        <row r="1459">
          <cell r="A1459" t="str">
            <v>263474-B25</v>
          </cell>
          <cell r="B1459" t="str">
            <v>IP CAT5 40フィートケーブル 1本パック</v>
          </cell>
          <cell r="C1459" t="str">
            <v>コンソールスイッチ用CAT5 ケーブルオプション</v>
          </cell>
        </row>
        <row r="1460">
          <cell r="A1460" t="str">
            <v>295633-B22</v>
          </cell>
          <cell r="B1460" t="str">
            <v>C19-20 電源ケーブル (2.5m)</v>
          </cell>
          <cell r="C1460" t="str">
            <v>200V電源ケーブル</v>
          </cell>
        </row>
        <row r="1461">
          <cell r="A1461" t="str">
            <v>332558-B21</v>
          </cell>
          <cell r="B1461" t="str">
            <v>ラック レールキット</v>
          </cell>
          <cell r="C1461" t="str">
            <v>非スライド式据え置き型ラックレールキット</v>
          </cell>
        </row>
        <row r="1462">
          <cell r="A1462" t="str">
            <v>361591-B21</v>
          </cell>
          <cell r="B1462" t="str">
            <v>収納ボックス(ラック用,ドロワー式)</v>
          </cell>
          <cell r="C1462" t="str">
            <v>レール付き収納ボックス(2U)</v>
          </cell>
        </row>
        <row r="1463">
          <cell r="A1463" t="str">
            <v>379820-B21</v>
          </cell>
          <cell r="B1463" t="str">
            <v>ケーブルマネジメントストラップキット</v>
          </cell>
          <cell r="C1463" t="str">
            <v>ラック内のケーブルをマジックテープで整理し、クリップで容易にラックに取り付けることの出来るストラップのキット
※3 種の長さ(12.7cm×20 本、20.3cm×20 本、30.5cm×10 本)のクリップ付きストラップ 50 本組</v>
          </cell>
        </row>
        <row r="1464">
          <cell r="A1464" t="str">
            <v>417705-B21</v>
          </cell>
          <cell r="B1464" t="str">
            <v>ラック搭載キット</v>
          </cell>
          <cell r="C1464" t="str">
            <v>タワー型システムを、ラックに搭載するためのトレイキット</v>
          </cell>
        </row>
        <row r="1465">
          <cell r="A1465" t="str">
            <v>453151-B21</v>
          </cell>
          <cell r="B1465" t="str">
            <v>1000Base-SX SFPモジュール</v>
          </cell>
          <cell r="C1465" t="str">
            <v>1000Base-SX SFPモジュールトランシーバーオプション</v>
          </cell>
        </row>
        <row r="1466">
          <cell r="A1466" t="str">
            <v>453154-B21</v>
          </cell>
          <cell r="B1466" t="str">
            <v>1000Base-T SFPモジュール</v>
          </cell>
          <cell r="C1466" t="str">
            <v>1000Base-T SFPモジュールトランシーバーオプション</v>
          </cell>
        </row>
        <row r="1467">
          <cell r="A1467" t="str">
            <v>455883-B21</v>
          </cell>
          <cell r="B1467" t="str">
            <v>10GbE SR SFP+モジュール</v>
          </cell>
          <cell r="C1467" t="str">
            <v>10GbE SR SFP+モジュールトランシーバーオプション</v>
          </cell>
        </row>
        <row r="1468">
          <cell r="A1468" t="str">
            <v>455886-B21</v>
          </cell>
          <cell r="B1468" t="str">
            <v>10GbE LR SFP+モジュール</v>
          </cell>
          <cell r="C1468" t="str">
            <v>10GbE LR SFP+モジュールトランシーバーオプション</v>
          </cell>
        </row>
        <row r="1469">
          <cell r="A1469" t="str">
            <v>487649-B21</v>
          </cell>
          <cell r="B1469" t="str">
            <v>10GbE SFP+ 銅線ケーブル 0.5m</v>
          </cell>
          <cell r="C1469" t="str">
            <v>10GbE SFP+ DACケーブルオプション(0.5m)</v>
          </cell>
        </row>
        <row r="1470">
          <cell r="A1470" t="str">
            <v>487652-B21</v>
          </cell>
          <cell r="B1470" t="str">
            <v>10GbE SFP+ 銅線ケーブル 1m</v>
          </cell>
          <cell r="C1470" t="str">
            <v>10GbE SFP+ DACケーブルオプション(1m)</v>
          </cell>
        </row>
        <row r="1471">
          <cell r="A1471" t="str">
            <v>487655-B21</v>
          </cell>
          <cell r="B1471" t="str">
            <v>10GbE SFP+ 銅線ケーブル 3m</v>
          </cell>
          <cell r="C1471" t="str">
            <v>10GbE SFP+ DACケーブルオプション(3m)</v>
          </cell>
        </row>
        <row r="1472">
          <cell r="A1472" t="str">
            <v>488069-B21</v>
          </cell>
          <cell r="B1472" t="str">
            <v>HP Trusted Platform Module (TPM) Option</v>
          </cell>
          <cell r="C1472" t="str">
            <v>業界標準規格 TPM 1.2 に準拠した小型セキュリティ チップ</v>
          </cell>
        </row>
        <row r="1473">
          <cell r="A1473" t="str">
            <v>503296-B21</v>
          </cell>
          <cell r="B1473" t="str">
            <v>パワーサプライオプションキット(460W)</v>
          </cell>
          <cell r="C1473" t="str">
            <v>電源冗長構成</v>
          </cell>
        </row>
        <row r="1474">
          <cell r="A1474" t="str">
            <v>512327-B21</v>
          </cell>
          <cell r="B1474" t="str">
            <v>パワーサプライオプションキット(750W)</v>
          </cell>
          <cell r="C1474" t="str">
            <v>電源冗長構成</v>
          </cell>
        </row>
        <row r="1475">
          <cell r="A1475" t="str">
            <v>537963-B21</v>
          </cell>
          <cell r="B1475" t="str">
            <v>10GbE SFP+ 銅線ケーブル 5m</v>
          </cell>
          <cell r="C1475" t="str">
            <v>10GbE SFP+ DACケーブルオプション(5m)</v>
          </cell>
        </row>
        <row r="1476">
          <cell r="A1476" t="str">
            <v>615732-B21</v>
          </cell>
          <cell r="B1476" t="str">
            <v>HP Ethernet 1Gb 2P 332T NIC</v>
          </cell>
          <cell r="C1476" t="str">
            <v>追加NIC 1GbE x2ポート オプション</v>
          </cell>
        </row>
        <row r="1477">
          <cell r="A1477" t="str">
            <v>629135-B22</v>
          </cell>
          <cell r="B1477" t="str">
            <v>HP Ethernet 1Gb 4P 331FLR NIC</v>
          </cell>
          <cell r="C1477" t="str">
            <v>追加NIC 1GbE x4ポート FlexibleLOMオプション</v>
          </cell>
        </row>
        <row r="1478">
          <cell r="A1478" t="str">
            <v>631360-B21</v>
          </cell>
          <cell r="B1478" t="str">
            <v>HP USB日本語版キーボード/マウスキット</v>
          </cell>
          <cell r="C1478" t="str">
            <v>USB 日本語版(109A)キーボードと USB 光学式マウス(各 1 個)</v>
          </cell>
        </row>
        <row r="1479">
          <cell r="A1479" t="str">
            <v>631671-B21</v>
          </cell>
          <cell r="B1479" t="str">
            <v>HP Smartアレイ P420/2GB FBWC</v>
          </cell>
          <cell r="C1479" t="str">
            <v>2GBキャッシュ付HW RAIDコントローラー(バッテリ含む)</v>
          </cell>
        </row>
        <row r="1480">
          <cell r="A1480" t="str">
            <v>631679-B21</v>
          </cell>
          <cell r="B1480" t="str">
            <v>HP 1GB FBWC SmartアレイPシリーズ用</v>
          </cell>
          <cell r="C1480" t="str">
            <v>1GBキャッシュ(バッテリ含む)</v>
          </cell>
        </row>
        <row r="1481">
          <cell r="A1481" t="str">
            <v>647594-B21</v>
          </cell>
          <cell r="B1481" t="str">
            <v>HP Ethernet 1Gb 4P 331T NIC</v>
          </cell>
          <cell r="C1481" t="str">
            <v>追加NIC 1GbE x4ポート オプション</v>
          </cell>
        </row>
        <row r="1482">
          <cell r="A1482" t="str">
            <v>652238-B21</v>
          </cell>
          <cell r="B1482" t="str">
            <v>HP 9.5mm SATA DVD-ROMドライブ</v>
          </cell>
          <cell r="C1482" t="str">
            <v>DVD-ROMドライブ</v>
          </cell>
        </row>
        <row r="1483">
          <cell r="A1483" t="str">
            <v>652497-B21</v>
          </cell>
          <cell r="B1483" t="str">
            <v>HP Ethernet 1Gb 2P 361T NIC</v>
          </cell>
          <cell r="C1483" t="str">
            <v>追加NIC 1GbE x2ポート オプション</v>
          </cell>
        </row>
        <row r="1484">
          <cell r="A1484" t="str">
            <v>652503-B21</v>
          </cell>
          <cell r="B1484" t="str">
            <v>HP Ethernet 10Gb 2P 530SFP NIC</v>
          </cell>
          <cell r="C1484" t="str">
            <v>追加NIC 10GbE SFP+ x2ポート オプション</v>
          </cell>
        </row>
        <row r="1485">
          <cell r="A1485" t="str">
            <v>655710-B21</v>
          </cell>
          <cell r="B1485" t="str">
            <v>HP 1TB 7.2k SC 2.5 6G SATA HDD</v>
          </cell>
          <cell r="C1485" t="str">
            <v>RAID 実効容量約</v>
          </cell>
        </row>
        <row r="1486">
          <cell r="A1486" t="str">
            <v>656362-B21</v>
          </cell>
          <cell r="B1486" t="str">
            <v>HP 460W CS Platinum Plusパワーサプライ</v>
          </cell>
          <cell r="C1486" t="str">
            <v>電源冗長構成</v>
          </cell>
        </row>
        <row r="1487">
          <cell r="A1487" t="str">
            <v>656363-B21</v>
          </cell>
          <cell r="B1487" t="str">
            <v>HP 750W CS Platinum Plusパワーサプライ</v>
          </cell>
          <cell r="C1487" t="str">
            <v>電源冗長構成</v>
          </cell>
        </row>
        <row r="1488">
          <cell r="A1488" t="str">
            <v>656364-B21</v>
          </cell>
          <cell r="B1488" t="str">
            <v>HP 1200W CS Platinum Plusパワーサプライ</v>
          </cell>
          <cell r="C1488" t="str">
            <v>電源冗長構成</v>
          </cell>
        </row>
        <row r="1489">
          <cell r="A1489" t="str">
            <v>656596-B21</v>
          </cell>
          <cell r="B1489" t="str">
            <v>HP Ethernet 10Gb 2P 530T NIC</v>
          </cell>
          <cell r="C1489" t="str">
            <v>追加NIC 10GbE-T x2ポート オプション</v>
          </cell>
        </row>
        <row r="1490">
          <cell r="A1490" t="str">
            <v>660584-B21</v>
          </cell>
          <cell r="B1490" t="str">
            <v>5Uラック型 セキュリティベゼルキット</v>
          </cell>
          <cell r="C1490" t="str">
            <v>ラックマウント型モデル用
※サーバー前面に取り付けるセキュリティ ベゼル</v>
          </cell>
        </row>
        <row r="1491">
          <cell r="A1491" t="str">
            <v>663201-B21</v>
          </cell>
          <cell r="B1491" t="str">
            <v>1U SFF用ボールベアリング式ラックレール</v>
          </cell>
          <cell r="C1491" t="str">
            <v>ラックレールキット</v>
          </cell>
        </row>
        <row r="1492">
          <cell r="A1492" t="str">
            <v>663202-B21</v>
          </cell>
          <cell r="B1492" t="str">
            <v>1U LFF用ボールベアリング式ラックレール</v>
          </cell>
          <cell r="C1492" t="str">
            <v>ラックレールキット</v>
          </cell>
        </row>
        <row r="1493">
          <cell r="A1493" t="str">
            <v>663203-B21</v>
          </cell>
          <cell r="B1493" t="str">
            <v>1U用 ケーブルマネジメントアーム</v>
          </cell>
          <cell r="C1493" t="str">
            <v>ラック搭載状態での保守時にケーブル取り回しを容易にするケーブル マネジメント アームのキット</v>
          </cell>
        </row>
        <row r="1494">
          <cell r="A1494" t="str">
            <v>664918-B21</v>
          </cell>
          <cell r="B1494" t="str">
            <v>1Uラック型 セキュリティベゼルキット</v>
          </cell>
          <cell r="C1494" t="str">
            <v>サーバー前面に取り付けるセキュリティ ベゼル</v>
          </cell>
        </row>
        <row r="1495">
          <cell r="A1495" t="str">
            <v>665240-B21</v>
          </cell>
          <cell r="B1495" t="str">
            <v>HP Ethernet 1Gb 4P 366FLR NIC</v>
          </cell>
          <cell r="C1495" t="str">
            <v>追加NIC 1GbE x4ポート FlexibleLOMオプション</v>
          </cell>
        </row>
        <row r="1496">
          <cell r="A1496" t="str">
            <v>665243-B21</v>
          </cell>
          <cell r="B1496" t="str">
            <v>HP Ethernet 10Gb 2P 560FLR-SFP+ NIC</v>
          </cell>
          <cell r="C1496" t="str">
            <v>追加NIC 10GbE SFP+ x2ポート FlexibleLOMオプション</v>
          </cell>
        </row>
        <row r="1497">
          <cell r="A1497" t="str">
            <v>665249-B21</v>
          </cell>
          <cell r="B1497" t="str">
            <v>HP Ethernet 10Gb 2P 560SFP NIC</v>
          </cell>
          <cell r="C1497" t="str">
            <v>追加NIC 10GbE SFP+ x2ポート オプション</v>
          </cell>
        </row>
        <row r="1498">
          <cell r="A1498" t="str">
            <v>666986-B21</v>
          </cell>
          <cell r="B1498" t="str">
            <v>LFF(3.5)HDDベイ用ブランクパネル</v>
          </cell>
          <cell r="C1498" t="str">
            <v>ドライブベイの空きスロットを塞ぐためのオプション</v>
          </cell>
        </row>
        <row r="1499">
          <cell r="A1499" t="str">
            <v>666987-B21</v>
          </cell>
          <cell r="B1499" t="str">
            <v>SFF(2.5)HDDベイ用ブランクパネル</v>
          </cell>
          <cell r="C1499" t="str">
            <v>ドライブベイの空きスロットを塞ぐためのオプション</v>
          </cell>
        </row>
        <row r="1500">
          <cell r="A1500" t="str">
            <v>666988-B21</v>
          </cell>
          <cell r="B1500" t="str">
            <v>2Uラック型 セキュリティベゼルキット</v>
          </cell>
          <cell r="C1500" t="str">
            <v>サーバー前面に取り付けるセキュリティ ベゼル</v>
          </cell>
        </row>
        <row r="1501">
          <cell r="A1501" t="str">
            <v>672097-373</v>
          </cell>
          <cell r="B1501" t="str">
            <v>HP USB英語版キーボード/マウスキット</v>
          </cell>
          <cell r="C1501" t="str">
            <v>USB 英語版(104)キーボードと USB 光学式マウス(各 1 個)</v>
          </cell>
        </row>
        <row r="1502">
          <cell r="A1502" t="str">
            <v>676473-B21</v>
          </cell>
          <cell r="B1502" t="str">
            <v>HP 512MB FBWC SmartアレイBシリーズ用</v>
          </cell>
          <cell r="C1502" t="str">
            <v>512MBキャッシュ(バッテリ含む)</v>
          </cell>
        </row>
        <row r="1503">
          <cell r="A1503" t="str">
            <v>691968-B21</v>
          </cell>
          <cell r="B1503" t="str">
            <v>SAS外部接続ケーブル SFF8644 0.5m</v>
          </cell>
          <cell r="C1503" t="str">
            <v>サーバとストレージ間の接続用SASケーブル 0.5m</v>
          </cell>
        </row>
        <row r="1504">
          <cell r="A1504" t="str">
            <v>691971-B21</v>
          </cell>
          <cell r="B1504" t="str">
            <v>SAS外部接続ケーブル SFF8644-SFF8088 0.5m</v>
          </cell>
          <cell r="C1504" t="str">
            <v>サーバとストレージ間の接続用SASケーブル 0.5m</v>
          </cell>
        </row>
        <row r="1505">
          <cell r="A1505" t="str">
            <v>698533-B21</v>
          </cell>
          <cell r="B1505" t="str">
            <v>HP Smartアレイ P830/4GB FBWC</v>
          </cell>
          <cell r="C1505" t="str">
            <v>4GBキャッシュ付HW RAIDコントローラー(バッテリ含む)</v>
          </cell>
        </row>
        <row r="1506">
          <cell r="A1506" t="str">
            <v>700139-B21</v>
          </cell>
          <cell r="B1506" t="str">
            <v>HP 32GB microSD フラッシュメディア</v>
          </cell>
          <cell r="C1506" t="str">
            <v>32GB SDフラッシュメディア</v>
          </cell>
        </row>
        <row r="1507">
          <cell r="A1507" t="str">
            <v>700699-B21</v>
          </cell>
          <cell r="B1507" t="str">
            <v>HP Ethernet 10Gb 2P 561FLR-T NIC</v>
          </cell>
          <cell r="C1507" t="str">
            <v>追加NIC 10GbE-T x2ポート FlexibleLOMオプション</v>
          </cell>
        </row>
        <row r="1508">
          <cell r="A1508" t="str">
            <v>700751-B21</v>
          </cell>
          <cell r="B1508" t="str">
            <v>HP FlexFabric 10Gb 2P 534FLR-SFP+ NIC</v>
          </cell>
          <cell r="C1508" t="str">
            <v>追加NIC 10GbE SFP+ x2ポート FlexibleLOMオプション</v>
          </cell>
        </row>
        <row r="1509">
          <cell r="A1509" t="str">
            <v>700759-B21</v>
          </cell>
          <cell r="B1509" t="str">
            <v>HP FlexFabric 10Gb 2P 533FLR-T NIC</v>
          </cell>
          <cell r="C1509" t="str">
            <v>追加NIC 10GbE-T x2ポート FlexibleLOMオプション</v>
          </cell>
        </row>
        <row r="1510">
          <cell r="A1510" t="str">
            <v>716189-B21</v>
          </cell>
          <cell r="B1510" t="str">
            <v>SAS外部接続ケーブル SFF8644-SFF8088 1m</v>
          </cell>
          <cell r="C1510" t="str">
            <v>サーバとストレージ間の接続用SASケーブル 1m</v>
          </cell>
        </row>
        <row r="1511">
          <cell r="A1511" t="str">
            <v>716191-B21</v>
          </cell>
          <cell r="B1511" t="str">
            <v>SAS外部接続ケーブル SFF8644-SFF8088 2m</v>
          </cell>
          <cell r="C1511" t="str">
            <v>サーバとストレージ間の接続用SASケーブル 2m</v>
          </cell>
        </row>
        <row r="1512">
          <cell r="A1512" t="str">
            <v>716193-B21</v>
          </cell>
          <cell r="B1512" t="str">
            <v>SAS外部接続ケーブル SFF8644-SFF8088 4m</v>
          </cell>
          <cell r="C1512" t="str">
            <v>サーバとストレージ間の接続用SASケーブル 4m</v>
          </cell>
        </row>
        <row r="1513">
          <cell r="A1513" t="str">
            <v>716195-B21</v>
          </cell>
          <cell r="B1513" t="str">
            <v>SAS外部接続ケーブル SFF8644 1m</v>
          </cell>
          <cell r="C1513" t="str">
            <v>サーバとストレージ間の接続用SASケーブル 1m</v>
          </cell>
        </row>
        <row r="1514">
          <cell r="A1514" t="str">
            <v>716197-B21</v>
          </cell>
          <cell r="B1514" t="str">
            <v>SAS外部接続ケーブル SFF8644 2m</v>
          </cell>
          <cell r="C1514" t="str">
            <v>サーバとストレージ間の接続用SASケーブル 2m</v>
          </cell>
        </row>
        <row r="1515">
          <cell r="A1515" t="str">
            <v>716199-B21</v>
          </cell>
          <cell r="B1515" t="str">
            <v>SAS外部接続ケーブル SFF8644 4m</v>
          </cell>
          <cell r="C1515" t="str">
            <v>サーバとストレージ間の接続用SASケーブル 4m</v>
          </cell>
        </row>
        <row r="1516">
          <cell r="A1516" t="str">
            <v>716591-B21</v>
          </cell>
          <cell r="B1516" t="str">
            <v>HP Ethernet 10Gb 2P 561T NIC</v>
          </cell>
          <cell r="C1516" t="str">
            <v>追加NIC 10GbE-T x2ポート オプション</v>
          </cell>
        </row>
        <row r="1517">
          <cell r="A1517" t="str">
            <v>720187-B21</v>
          </cell>
          <cell r="B1517" t="str">
            <v>HP 40Gb QSFP+ SR4 100m MPO XCVR</v>
          </cell>
          <cell r="C1517" t="str">
            <v>40G Base-SR4 対応 QSFP+トランシーバー(最大100m)</v>
          </cell>
        </row>
        <row r="1518">
          <cell r="A1518" t="str">
            <v>720193-B21</v>
          </cell>
          <cell r="B1518" t="str">
            <v>HP QSFP+ to SFP+ アダプター</v>
          </cell>
          <cell r="C1518" t="str">
            <v>QSFP+ポート(40GbE)を SFP+ポート(10GbE)に変換するアダプター</v>
          </cell>
        </row>
        <row r="1519">
          <cell r="A1519" t="str">
            <v>720196-B21</v>
          </cell>
          <cell r="B1519" t="str">
            <v>HP QSFP+ to QSFP+ DACケーブル 1m</v>
          </cell>
          <cell r="C1519" t="str">
            <v>QSFP+対応 DACケーブル 1m</v>
          </cell>
        </row>
        <row r="1520">
          <cell r="A1520" t="str">
            <v>720199-B21</v>
          </cell>
          <cell r="B1520" t="str">
            <v>HP QSFP+ to QSFP+ DACケーブル 3m</v>
          </cell>
          <cell r="C1520" t="str">
            <v>QSFP+対応 DACケーブル 3m</v>
          </cell>
        </row>
        <row r="1521">
          <cell r="A1521" t="str">
            <v>720202-B21</v>
          </cell>
          <cell r="B1521" t="str">
            <v>HP QSFP+ to QSFP+ DACケーブル 5m</v>
          </cell>
          <cell r="C1521" t="str">
            <v>QSFP+対応 DACケーブル 5m</v>
          </cell>
        </row>
        <row r="1522">
          <cell r="A1522" t="str">
            <v>720205-B21</v>
          </cell>
          <cell r="B1522" t="str">
            <v>HP QSFP+ to QSFP+ AOCケーブル 7m</v>
          </cell>
          <cell r="C1522" t="str">
            <v>QSFP+対応 AOCケーブル 7m</v>
          </cell>
        </row>
        <row r="1523">
          <cell r="A1523" t="str">
            <v>720211-B21</v>
          </cell>
          <cell r="B1523" t="str">
            <v>HP QSFP+ to QSFP+ AOCケーブル 15m</v>
          </cell>
          <cell r="C1523" t="str">
            <v>QSFP+対応 AOCケーブル 15m</v>
          </cell>
        </row>
        <row r="1524">
          <cell r="A1524" t="str">
            <v>720478-B21</v>
          </cell>
          <cell r="B1524" t="str">
            <v>HP 500W FS Platinum パワーサプライ</v>
          </cell>
          <cell r="C1524" t="str">
            <v>電源冗長構成</v>
          </cell>
        </row>
        <row r="1525">
          <cell r="A1525" t="str">
            <v>720479-B21</v>
          </cell>
          <cell r="B1525" t="str">
            <v>HP 800W FS Platinum パワーサプライ</v>
          </cell>
          <cell r="C1525" t="str">
            <v>電源冗長構成</v>
          </cell>
        </row>
        <row r="1526">
          <cell r="A1526" t="str">
            <v>720480-B21</v>
          </cell>
          <cell r="B1526" t="str">
            <v>HP 800W FS DC-48Vパワーサプライ</v>
          </cell>
          <cell r="C1526" t="str">
            <v>電源冗長構成</v>
          </cell>
        </row>
        <row r="1527">
          <cell r="A1527" t="str">
            <v>720482-B21</v>
          </cell>
          <cell r="B1527" t="str">
            <v>HP 800W FS Titanium パワーサプライ</v>
          </cell>
          <cell r="C1527" t="str">
            <v>電源冗長構成</v>
          </cell>
        </row>
        <row r="1528">
          <cell r="A1528" t="str">
            <v>720484-B21</v>
          </cell>
          <cell r="B1528" t="str">
            <v>HP 800W FS パワーサプライ(高電圧)</v>
          </cell>
          <cell r="C1528" t="str">
            <v>電源冗長構成</v>
          </cell>
        </row>
        <row r="1529">
          <cell r="A1529" t="str">
            <v>720620-B21</v>
          </cell>
          <cell r="B1529" t="str">
            <v>HP 1400W FS Platinum Plusパワーサプライ</v>
          </cell>
          <cell r="C1529" t="str">
            <v>電源冗長構成</v>
          </cell>
        </row>
        <row r="1530">
          <cell r="A1530" t="str">
            <v>720865-B21</v>
          </cell>
          <cell r="B1530" t="str">
            <v>2U用 ケーブルマネジメントアーム</v>
          </cell>
          <cell r="C1530" t="str">
            <v>ラック搭載状態での保守時にケーブル取り回しを容易にするケーブル マネジメント アームのキット</v>
          </cell>
        </row>
        <row r="1531">
          <cell r="A1531" t="str">
            <v>721064-B21</v>
          </cell>
          <cell r="B1531" t="str">
            <v>HP QSFP+ to 4x10G SFP+ DACケーブル 3m</v>
          </cell>
          <cell r="C1531" t="str">
            <v>QSFP+ to 4x10G SFP+対応 DACケーブル 3m</v>
          </cell>
        </row>
        <row r="1532">
          <cell r="A1532" t="str">
            <v>721070-B21</v>
          </cell>
          <cell r="B1532" t="str">
            <v>HP QSFP+ to 4x10G SFP+ AOCケーブル 7m</v>
          </cell>
          <cell r="C1532" t="str">
            <v>QSFP+ to 4x10G SFP+対応 AOCケーブル 7m</v>
          </cell>
        </row>
        <row r="1533">
          <cell r="A1533" t="str">
            <v>721076-B21</v>
          </cell>
          <cell r="B1533" t="str">
            <v>HP QSFP+ to 4x10G SFP+ AOCケーブル 15m</v>
          </cell>
          <cell r="C1533" t="str">
            <v>QSFP+ to 4x10G SFP+対応 AOCケーブル 15m</v>
          </cell>
        </row>
        <row r="1534">
          <cell r="A1534" t="str">
            <v>725569-B21</v>
          </cell>
          <cell r="B1534" t="str">
            <v>PCIeスロットライザー(3PCIex8)</v>
          </cell>
          <cell r="C1534" t="str">
            <v>セカンダリ ライザー ボード</v>
          </cell>
        </row>
        <row r="1535">
          <cell r="A1535" t="str">
            <v>725570-B21</v>
          </cell>
          <cell r="B1535" t="str">
            <v>PCIeスロットライザー(2PCIex16)</v>
          </cell>
          <cell r="C1535" t="str">
            <v>セカンダリ ライザー ボード</v>
          </cell>
        </row>
        <row r="1536">
          <cell r="A1536" t="str">
            <v>725572-B21</v>
          </cell>
          <cell r="B1536" t="str">
            <v>8SFF(2.5型) HPドライブケージ</v>
          </cell>
          <cell r="C1536" t="str">
            <v>追加8SFFドライブケージオプション</v>
          </cell>
        </row>
        <row r="1537">
          <cell r="A1537" t="str">
            <v>725574-B21</v>
          </cell>
          <cell r="B1537" t="str">
            <v>8LFF用 12LFF拡張オプション</v>
          </cell>
          <cell r="C1537" t="str">
            <v>8LFF モデルのドライブケージの HDD / SSD搭載数を 12 台に拡張するオプション</v>
          </cell>
        </row>
        <row r="1538">
          <cell r="A1538" t="str">
            <v>725577-B21</v>
          </cell>
          <cell r="B1538" t="str">
            <v>Smartアレイ接続ケーブルキット</v>
          </cell>
          <cell r="C1538" t="str">
            <v>Smart アレイ P440 / P840 コントローラーと標準搭載またはオプションのドライブケージとの接続用ケーブル</v>
          </cell>
        </row>
        <row r="1539">
          <cell r="A1539" t="str">
            <v>725578-B21</v>
          </cell>
          <cell r="B1539" t="str">
            <v>Smartアレイ接続ケーブルキット</v>
          </cell>
          <cell r="C1539" t="str">
            <v>Smart アレイ P440 / P840 コントローラーと標準搭載またはオプションのドライブケージとの接続用ケーブル</v>
          </cell>
        </row>
        <row r="1540">
          <cell r="A1540" t="str">
            <v>725582-B21</v>
          </cell>
          <cell r="B1540" t="str">
            <v>オプティカルドライブケージ</v>
          </cell>
          <cell r="C1540" t="str">
            <v>DVDドライブを搭載する際に必要なオプション</v>
          </cell>
        </row>
        <row r="1541">
          <cell r="A1541" t="str">
            <v>725586-B21</v>
          </cell>
          <cell r="B1541" t="str">
            <v>スロットライザー(PCIe x16)</v>
          </cell>
          <cell r="C1541" t="str">
            <v>セカンダリ ライザー ボードオプション（2CPU搭載必須）</v>
          </cell>
        </row>
        <row r="1542">
          <cell r="A1542" t="str">
            <v>725590-B21</v>
          </cell>
          <cell r="B1542" t="str">
            <v>Smart HBA接続ケーブルキット</v>
          </cell>
          <cell r="C1542" t="str">
            <v>4LFF モデルで H240 Smart HBAの内部ポートとドライブケージを接続する場合に必要なケーブルオプション</v>
          </cell>
        </row>
        <row r="1543">
          <cell r="A1543" t="str">
            <v>725593-B21</v>
          </cell>
          <cell r="B1543" t="str">
            <v>Smartアレイ接続ケーブルキット</v>
          </cell>
          <cell r="C1543" t="str">
            <v>4LFF モデルでSmart アレイ P440コントローラーの内部ポートとドライブケージを接続する場合に必要なケーブルオプション</v>
          </cell>
        </row>
        <row r="1544">
          <cell r="A1544" t="str">
            <v>725872-B21</v>
          </cell>
          <cell r="B1544" t="str">
            <v>4ベイLFF(3.5型) ドライブケージ</v>
          </cell>
          <cell r="C1544" t="str">
            <v>追加4LFFドライブケージオプション</v>
          </cell>
        </row>
        <row r="1545">
          <cell r="A1545" t="str">
            <v>725874-B21</v>
          </cell>
          <cell r="B1545" t="str">
            <v>8ベイSFF(2.5型) ドライブケージ</v>
          </cell>
          <cell r="C1545" t="str">
            <v>追加8SFFドライブケージオプション</v>
          </cell>
        </row>
        <row r="1546">
          <cell r="A1546" t="str">
            <v>725878-B21</v>
          </cell>
          <cell r="B1546" t="str">
            <v>ML350 Gen9 リダンダントファン</v>
          </cell>
          <cell r="C1546" t="str">
            <v>ファン冗長化オプション</v>
          </cell>
        </row>
        <row r="1547">
          <cell r="A1547" t="str">
            <v>726116-B21</v>
          </cell>
          <cell r="B1547" t="str">
            <v>HP 8GB microSD フラッシュメディア</v>
          </cell>
          <cell r="C1547" t="str">
            <v>8GB SDフラッシュメディア</v>
          </cell>
        </row>
        <row r="1548">
          <cell r="A1548" t="str">
            <v>726545-B21</v>
          </cell>
          <cell r="B1548" t="str">
            <v>SFF(2.5型)メディアケージ</v>
          </cell>
          <cell r="C1548" t="str">
            <v>RDX、テープ ドライブ搭載用メディアケージオプション</v>
          </cell>
        </row>
        <row r="1549">
          <cell r="A1549" t="str">
            <v>726547-B21</v>
          </cell>
          <cell r="B1549" t="str">
            <v>8ベイLFF(3.5型)ドライブケージ</v>
          </cell>
          <cell r="C1549" t="str">
            <v>追加8LFFドライブケージオプション</v>
          </cell>
        </row>
        <row r="1550">
          <cell r="A1550" t="str">
            <v>726551-B21</v>
          </cell>
          <cell r="B1550" t="str">
            <v>ML350 Gen9 6xNVMe Expressベイキット</v>
          </cell>
          <cell r="C1550" t="str">
            <v>追加6xNVMeドライブケージオプション</v>
          </cell>
        </row>
        <row r="1551">
          <cell r="A1551" t="str">
            <v>726561-B21</v>
          </cell>
          <cell r="B1551" t="str">
            <v>LFF(3.5型)メディアケージ</v>
          </cell>
          <cell r="C1551" t="str">
            <v>RDX、テープ ドライブ搭載用メディアケージオプション</v>
          </cell>
        </row>
        <row r="1552">
          <cell r="A1552" t="str">
            <v>726563-B21</v>
          </cell>
          <cell r="B1552" t="str">
            <v>ML350 Gen9 System Insight Displayキット</v>
          </cell>
          <cell r="C1552" t="str">
            <v>System Insight Display を追加するオプション
※CPU、メモリ、NIC、電源、FAN などの異常を LED の色と点灯・点滅から把握することが可能</v>
          </cell>
        </row>
        <row r="1553">
          <cell r="A1553" t="str">
            <v>726565-B21</v>
          </cell>
          <cell r="B1553" t="str">
            <v>ML350 Gen9グラフィックカードサポートKit</v>
          </cell>
          <cell r="C1553" t="str">
            <v>グラフィックス カード用の電源ケーブルのオプション
※グラフィックス カード 1 枚につき 1 個必要</v>
          </cell>
        </row>
        <row r="1554">
          <cell r="A1554" t="str">
            <v>726567-B21</v>
          </cell>
          <cell r="B1554" t="str">
            <v>ML350 Gen9 ラックコンバージョンキット</v>
          </cell>
          <cell r="C1554" t="str">
            <v>タワー型システムをラックマウント型にするためのキット(5U)
(ラックレールキット、ケーブル マネジメント アームを同梱)</v>
          </cell>
        </row>
        <row r="1555">
          <cell r="A1555" t="str">
            <v>726717-B21</v>
          </cell>
          <cell r="B1555" t="str">
            <v>HP 4GB 1Rx8 PC4-2133P-R Memory Kit</v>
          </cell>
          <cell r="C1555" t="str">
            <v>追加メモリ：計GB</v>
          </cell>
        </row>
        <row r="1556">
          <cell r="A1556" t="str">
            <v>726718-B21</v>
          </cell>
          <cell r="B1556" t="str">
            <v>HP 8GB 1Rx4 PC4-2133P-R Memory Kit</v>
          </cell>
          <cell r="C1556" t="str">
            <v>追加メモリ：計GB</v>
          </cell>
        </row>
        <row r="1557">
          <cell r="A1557" t="str">
            <v>726719-B21</v>
          </cell>
          <cell r="B1557" t="str">
            <v>HP 16GB 2Rx4 PC4-2133P-R Memory Kit</v>
          </cell>
          <cell r="C1557" t="str">
            <v>追加メモリ：計GB</v>
          </cell>
        </row>
        <row r="1558">
          <cell r="A1558" t="str">
            <v>726720-B21</v>
          </cell>
          <cell r="B1558" t="str">
            <v>HP 16GB 2Rx4 PC4-2133P-L Memory Kit</v>
          </cell>
          <cell r="C1558" t="str">
            <v>追加メモリ：計GB</v>
          </cell>
        </row>
        <row r="1559">
          <cell r="A1559" t="str">
            <v>726722-B21</v>
          </cell>
          <cell r="B1559" t="str">
            <v>HP 32GB 4Rx4 PC4-2133P-L Memory Kit</v>
          </cell>
          <cell r="C1559" t="str">
            <v>追加メモリ：計GB</v>
          </cell>
        </row>
        <row r="1560">
          <cell r="A1560" t="str">
            <v>726724-B21</v>
          </cell>
          <cell r="B1560" t="str">
            <v>HP 64GB 4Rx4 PC4-2133P-L Memory Kit</v>
          </cell>
          <cell r="C1560" t="str">
            <v>追加メモリ：計GB</v>
          </cell>
        </row>
        <row r="1561">
          <cell r="A1561" t="str">
            <v>726736-B21</v>
          </cell>
          <cell r="B1561" t="str">
            <v>HP Smartアレイ P440ar/2GB FBWC</v>
          </cell>
          <cell r="C1561" t="str">
            <v>2GBキャッシュ付HW RAIDコントローラー(バッテリ含む)
※システム ボード上にドーターボード形式で搭載</v>
          </cell>
        </row>
        <row r="1562">
          <cell r="A1562" t="str">
            <v>726740-B21</v>
          </cell>
          <cell r="B1562" t="str">
            <v>DL360 Gen9 HP Smartアレイ P440ar</v>
          </cell>
          <cell r="C1562" t="str">
            <v>-</v>
          </cell>
        </row>
        <row r="1563">
          <cell r="A1563" t="str">
            <v>726757-B21</v>
          </cell>
          <cell r="B1563" t="str">
            <v>HP H240ar Smartホストバスアダプター</v>
          </cell>
          <cell r="C1563" t="str">
            <v>キャッシュ未搭載 HW RAIDコントローラー
※システム ボード上にドーターボード形式で搭載</v>
          </cell>
        </row>
        <row r="1564">
          <cell r="A1564" t="str">
            <v>726821-B21</v>
          </cell>
          <cell r="B1564" t="str">
            <v>HP Smartアレイ P440/4GB FBWC</v>
          </cell>
          <cell r="C1564" t="str">
            <v>4GBキャッシュ付HW RAIDコントローラー</v>
          </cell>
        </row>
        <row r="1565">
          <cell r="A1565" t="str">
            <v>726825-B21</v>
          </cell>
          <cell r="B1565" t="str">
            <v>HP Smartアレイ P441/4GB FBWC</v>
          </cell>
          <cell r="C1565" t="str">
            <v>4GBキャッシュ付HW RAIDコントローラー(外部ストレージ接続用)</v>
          </cell>
        </row>
        <row r="1566">
          <cell r="A1566" t="str">
            <v>726897-B21</v>
          </cell>
          <cell r="B1566" t="str">
            <v>HP Smartアレイ P840/4GB FBWC</v>
          </cell>
          <cell r="C1566" t="str">
            <v>4GBキャッシュ付HW RAIDコントローラー</v>
          </cell>
        </row>
        <row r="1567">
          <cell r="A1567" t="str">
            <v>726907-B21</v>
          </cell>
          <cell r="B1567" t="str">
            <v>HP H240 Smartホストバスアダプター</v>
          </cell>
          <cell r="C1567" t="str">
            <v>キャッシュ未搭載 HW RAIDコントローラー/SAS HBA</v>
          </cell>
        </row>
        <row r="1568">
          <cell r="A1568" t="str">
            <v>726911-B21</v>
          </cell>
          <cell r="B1568" t="str">
            <v>HP H241 Smartホストバスアダプター</v>
          </cell>
          <cell r="C1568" t="str">
            <v>外部ストレージ接続用 キャッシュ未搭載 HW RAIDコントローラー/SAS HBA( x2ポート)</v>
          </cell>
        </row>
        <row r="1569">
          <cell r="A1569" t="str">
            <v>727054-B21</v>
          </cell>
          <cell r="B1569" t="str">
            <v xml:space="preserve">Ethernet 10Gb 2P 562FLR-SFP+ NIC </v>
          </cell>
          <cell r="C1569" t="str">
            <v>追加NIC 10GbE SFP+ x2ポート FlexibleLOMオプション</v>
          </cell>
        </row>
        <row r="1570">
          <cell r="A1570" t="str">
            <v>727055-B21</v>
          </cell>
          <cell r="B1570" t="str">
            <v>Ethernet 10Gb 2P 562SFP+ NIC</v>
          </cell>
          <cell r="C1570" t="str">
            <v>追加NIC 10GbE SFP+ x2ポート オプション</v>
          </cell>
        </row>
        <row r="1571">
          <cell r="A1571" t="str">
            <v>727060-B21</v>
          </cell>
          <cell r="B1571" t="str">
            <v>HP FlexFabric 10Gb 2P 556FLR-SFP+ NIC</v>
          </cell>
          <cell r="C1571" t="str">
            <v>追加NIC 10GbE SFP+ x2ポート FlexibleLOMオプション</v>
          </cell>
        </row>
        <row r="1572">
          <cell r="A1572" t="str">
            <v>727250-B21</v>
          </cell>
          <cell r="B1572" t="str">
            <v>DL380 Gen9 HP SASエキスパンダーカード</v>
          </cell>
          <cell r="C1572" t="str">
            <v>複数のドライブケージを 1 つのコントローラーで接続するためのオプション</v>
          </cell>
        </row>
        <row r="1573">
          <cell r="A1573" t="str">
            <v>727258-B21</v>
          </cell>
          <cell r="B1573" t="str">
            <v>HP Smartストレージバッテリー 96W</v>
          </cell>
          <cell r="C1573" t="str">
            <v>Smart アレイ コントローラー使用時に必要なオプション
＊Smart アレイの数に関わらず、サーバー1 台につき 1 個搭載可能</v>
          </cell>
        </row>
        <row r="1574">
          <cell r="A1574" t="str">
            <v>728629-B21</v>
          </cell>
          <cell r="B1574" t="str">
            <v>HP 32GB 2Rx4 PC4-2133P-R Memory Kit</v>
          </cell>
          <cell r="C1574" t="str">
            <v>追加メモリ：計GB</v>
          </cell>
        </row>
        <row r="1575">
          <cell r="A1575" t="str">
            <v>730907-B21</v>
          </cell>
          <cell r="B1575" t="str">
            <v>HP QSFP+ to QSFP+ DACケーブル 0.35m</v>
          </cell>
          <cell r="C1575" t="str">
            <v>QSFP+対応 DACケーブル 0.35m</v>
          </cell>
        </row>
        <row r="1576">
          <cell r="A1576" t="str">
            <v>733045-B21</v>
          </cell>
          <cell r="B1576" t="str">
            <v>SAS外部接続ケーブル SFF8644-SFF8088 6m</v>
          </cell>
          <cell r="C1576" t="str">
            <v>サーバとストレージ間の接続用SASケーブル 6m</v>
          </cell>
        </row>
        <row r="1577">
          <cell r="A1577" t="str">
            <v>733660-B21</v>
          </cell>
          <cell r="B1577" t="str">
            <v>2U SFF用 Easy Install式ラックレール</v>
          </cell>
          <cell r="C1577" t="str">
            <v>ラックレールキット</v>
          </cell>
        </row>
        <row r="1578">
          <cell r="A1578" t="str">
            <v>733662-B21</v>
          </cell>
          <cell r="B1578" t="str">
            <v>2U LFF用 Easy Install式ラックレール</v>
          </cell>
          <cell r="C1578" t="str">
            <v>ラックレールキット</v>
          </cell>
        </row>
        <row r="1579">
          <cell r="A1579" t="str">
            <v>733664-B21</v>
          </cell>
          <cell r="B1579" t="str">
            <v>2U Easy Install式用 CMA</v>
          </cell>
          <cell r="C1579" t="str">
            <v>ラック搭載状態での保守時にケーブル取り回しを容易にするケーブル マネジメント アームのキット</v>
          </cell>
        </row>
        <row r="1580">
          <cell r="A1580" t="str">
            <v>734807-B21</v>
          </cell>
          <cell r="B1580" t="str">
            <v>1U SFF用 Easy Install式ラックレール</v>
          </cell>
          <cell r="C1580" t="str">
            <v>ラックレールキット</v>
          </cell>
        </row>
        <row r="1581">
          <cell r="A1581" t="str">
            <v>734811-B21</v>
          </cell>
          <cell r="B1581" t="str">
            <v>1U Easy Install式用 CMA</v>
          </cell>
          <cell r="C1581" t="str">
            <v>ラック搭載状態での保守時にケーブル取り回しを容易にするケーブル マネジメント アームのキット</v>
          </cell>
        </row>
        <row r="1582">
          <cell r="A1582" t="str">
            <v>737261-B21</v>
          </cell>
          <cell r="B1582" t="str">
            <v>HP 300GB 15k SC 3.5 12G SAS HDD</v>
          </cell>
          <cell r="C1582" t="str">
            <v>RAID 実効容量約</v>
          </cell>
        </row>
        <row r="1583">
          <cell r="A1583" t="str">
            <v>737394-B21</v>
          </cell>
          <cell r="B1583" t="str">
            <v>HP 450GB 15k SC 3.5 12G SAS HDD</v>
          </cell>
          <cell r="C1583" t="str">
            <v>RAID 実効容量約</v>
          </cell>
        </row>
        <row r="1584">
          <cell r="A1584" t="str">
            <v>737953-B21</v>
          </cell>
          <cell r="B1584" t="str">
            <v>8GB USB フラッシュメディアドライブキー</v>
          </cell>
          <cell r="C1584" t="str">
            <v>8GB USBフラッシュメディアドライブキー</v>
          </cell>
        </row>
        <row r="1585">
          <cell r="A1585" t="str">
            <v>741279-B21</v>
          </cell>
          <cell r="B1585" t="str">
            <v>デュアル8GB microSD USB kit</v>
          </cell>
          <cell r="C1585" t="str">
            <v>8GB SD x2 フラッシュメディアドライブ USBキット</v>
          </cell>
        </row>
        <row r="1586">
          <cell r="A1586" t="str">
            <v>742702-B21</v>
          </cell>
          <cell r="B1586" t="str">
            <v>E5-4620v3 2GHz 1P/10C CPU DL560 Gen9</v>
          </cell>
          <cell r="C1586" t="str">
            <v>追加CPU：Xeon E5-4620v3 2GHz 4P/40C</v>
          </cell>
        </row>
        <row r="1587">
          <cell r="A1587" t="str">
            <v>742704-B21</v>
          </cell>
          <cell r="B1587" t="str">
            <v>E5-4610v3 1.70GHz 1P/10C CPU DL560 Gen9</v>
          </cell>
          <cell r="C1587" t="str">
            <v>追加CPU：Xeon E5-4610v3 1.70GHz  4P/40C</v>
          </cell>
        </row>
        <row r="1588">
          <cell r="A1588" t="str">
            <v>745823-B21</v>
          </cell>
          <cell r="B1588" t="str">
            <v>Trusted Platform Module (TPM) 2.0 Kit</v>
          </cell>
          <cell r="C1588" t="str">
            <v>業界標準規格 TPM 2.0 に準拠した小型セキュリティ チップ</v>
          </cell>
        </row>
        <row r="1589">
          <cell r="A1589" t="str">
            <v>747698-B21</v>
          </cell>
          <cell r="B1589" t="str">
            <v>HP 40Gb QSFP+ SR4 300m MPO XCVR</v>
          </cell>
          <cell r="C1589" t="str">
            <v>40G Base-SR4 対応 QSFP+トランシーバー(最大300m)</v>
          </cell>
        </row>
        <row r="1590">
          <cell r="A1590" t="str">
            <v>759208-B21</v>
          </cell>
          <cell r="B1590" t="str">
            <v>HP 300GB 15k SC 2.5 12G SAS HDD</v>
          </cell>
          <cell r="C1590" t="str">
            <v>RAID 実効容量約</v>
          </cell>
        </row>
        <row r="1591">
          <cell r="A1591" t="str">
            <v>759934-B21</v>
          </cell>
          <cell r="B1591" t="str">
            <v>HP 8GB 2Rx8 PC4-2133P-R Memory Kit</v>
          </cell>
          <cell r="C1591" t="str">
            <v>追加メモリ：計GB</v>
          </cell>
        </row>
        <row r="1592">
          <cell r="A1592" t="str">
            <v>764302-B21</v>
          </cell>
          <cell r="B1592" t="str">
            <v xml:space="preserve">FlexFabric 10Gb 4P 536FLR-T NIC </v>
          </cell>
          <cell r="C1592" t="str">
            <v>追加NIC 10GbE-T x4ポート FlexibleLOMオプション</v>
          </cell>
        </row>
        <row r="1593">
          <cell r="A1593" t="str">
            <v>765424-B21</v>
          </cell>
          <cell r="B1593" t="str">
            <v>HP 600GB 15k SC 3.5 12G SAS HDD</v>
          </cell>
          <cell r="C1593" t="str">
            <v>RAID 実効容量約</v>
          </cell>
        </row>
        <row r="1594">
          <cell r="A1594" t="str">
            <v>765455-B21</v>
          </cell>
          <cell r="B1594" t="str">
            <v xml:space="preserve">2TB 7.2k SC 2.5 6G SATA 512e DS HDD  </v>
          </cell>
          <cell r="C1594" t="str">
            <v>RAID 実効容量約</v>
          </cell>
        </row>
        <row r="1595">
          <cell r="A1595" t="str">
            <v>765464-B21</v>
          </cell>
          <cell r="B1595" t="str">
            <v xml:space="preserve">1TB 7.2k SC 2.5 12G SAS 512e DS HDD  </v>
          </cell>
          <cell r="C1595" t="str">
            <v>RAID 実効容量約</v>
          </cell>
        </row>
        <row r="1596">
          <cell r="A1596" t="str">
            <v>765466-B21</v>
          </cell>
          <cell r="B1596" t="str">
            <v xml:space="preserve">2TB 7.2k SC 2.5 12G SAS 512e DS HDD  </v>
          </cell>
          <cell r="C1596" t="str">
            <v>RAID 実効容量約</v>
          </cell>
        </row>
        <row r="1597">
          <cell r="A1597" t="str">
            <v>765509-B21</v>
          </cell>
          <cell r="B1597" t="str">
            <v>スロットライザー(FlexibleLOM用)</v>
          </cell>
          <cell r="C1597" t="str">
            <v>セカンダリ ライザー ボード</v>
          </cell>
        </row>
        <row r="1598">
          <cell r="A1598" t="str">
            <v>765510-B21</v>
          </cell>
          <cell r="B1598" t="str">
            <v>スロットライザー(2 PCIe x8)</v>
          </cell>
          <cell r="C1598" t="str">
            <v>セカンダリ ライザー ボード</v>
          </cell>
        </row>
        <row r="1599">
          <cell r="A1599" t="str">
            <v>765515-B21</v>
          </cell>
          <cell r="B1599" t="str">
            <v>スロットライザー(PCIe x8 x2)</v>
          </cell>
          <cell r="C1599" t="str">
            <v>プライマリ ライザー ボード(標準搭載のプライマリライザーボードと換装)</v>
          </cell>
        </row>
        <row r="1600">
          <cell r="A1600" t="str">
            <v>765648-B21</v>
          </cell>
          <cell r="B1600" t="str">
            <v>Smart HBA接続ケーブルキット</v>
          </cell>
          <cell r="C1600" t="str">
            <v>H240 Smart HBAと、標準搭載またはオプションのドライブケージとの接続用ケーブル</v>
          </cell>
        </row>
        <row r="1601">
          <cell r="A1601" t="str">
            <v>765650-B21</v>
          </cell>
          <cell r="B1601" t="str">
            <v>Smartアレイ接続ケーブルキット</v>
          </cell>
          <cell r="C1601" t="str">
            <v>Smart アレイ P440 / P840 コントローラーと標準搭載またはオプションのドライブケージとの接続用ケーブル 2 本組</v>
          </cell>
        </row>
        <row r="1602">
          <cell r="A1602" t="str">
            <v>765652-B21</v>
          </cell>
          <cell r="B1602" t="str">
            <v>Smartアレイ/HBA接続ケーブルキット</v>
          </cell>
          <cell r="C1602" t="str">
            <v>Smart アレイ P440ar コントローラーまたはH240ar Smart HBAと標準搭載またはオプションのドライブケージとの接続用ケーブル</v>
          </cell>
        </row>
        <row r="1603">
          <cell r="A1603" t="str">
            <v>769635-B21</v>
          </cell>
          <cell r="B1603" t="str">
            <v>HP SAS エキスパンダーカード</v>
          </cell>
          <cell r="C1603" t="str">
            <v>3 基までのドライブケージを 1 つのコントローラーで接続するためのオプション</v>
          </cell>
        </row>
        <row r="1604">
          <cell r="A1604" t="str">
            <v>774619-B21</v>
          </cell>
          <cell r="B1604" t="str">
            <v>Smartアレイ接続ケーブルキット</v>
          </cell>
          <cell r="C1604" t="str">
            <v>8SFF モデルでSmart アレイ P440コントローラーの内部ポートとドライブケージを接続する場合に必要なケーブルオプション</v>
          </cell>
        </row>
        <row r="1605">
          <cell r="A1605" t="str">
            <v>774621-B21</v>
          </cell>
          <cell r="B1605" t="str">
            <v>Smart HBA接続ケーブルキット</v>
          </cell>
          <cell r="C1605" t="str">
            <v>8SFF モデルでSmart アレイ P440コントローラーの内部ポートとドライブケージを接続する場合に必要なケーブルオプション</v>
          </cell>
        </row>
        <row r="1606">
          <cell r="A1606" t="str">
            <v>775595-B21</v>
          </cell>
          <cell r="B1606" t="str">
            <v>900W Goldパワー モジュール</v>
          </cell>
          <cell r="C1606" t="str">
            <v>冗長構成</v>
          </cell>
        </row>
        <row r="1607">
          <cell r="A1607" t="str">
            <v>775612-B21</v>
          </cell>
          <cell r="B1607" t="str">
            <v>1U フリクション式ラックレールキット</v>
          </cell>
          <cell r="C1607" t="str">
            <v>ラックレールキット</v>
          </cell>
        </row>
        <row r="1608">
          <cell r="A1608" t="str">
            <v>776444-B21</v>
          </cell>
          <cell r="B1608" t="str">
            <v>HP 550W パワーサプライ</v>
          </cell>
          <cell r="C1608" t="str">
            <v>非冗長構成
※350W ノンホットプラグ パワーサプライ標準搭載モデルでは、
　 標準搭載のノンホットプラグ パワーサプライと交換になります。</v>
          </cell>
        </row>
        <row r="1609">
          <cell r="A1609" t="str">
            <v>777382-B21</v>
          </cell>
          <cell r="B1609" t="str">
            <v>4LFF Smartアレイ接続ケーブルキット</v>
          </cell>
          <cell r="C1609" t="str">
            <v>Smart アレイ P440コントローラーの内部ポートとドライブケージを接続する場合に必要なケーブルオプション</v>
          </cell>
        </row>
        <row r="1610">
          <cell r="A1610" t="str">
            <v>777385-B21</v>
          </cell>
          <cell r="B1610" t="str">
            <v>4LFF Smart HBA接続ケーブルキット</v>
          </cell>
          <cell r="C1610" t="str">
            <v>H240 Smart HBAの内部ポートとドライブケージを接続する場合に必要なケーブルオプション</v>
          </cell>
        </row>
        <row r="1611">
          <cell r="A1611" t="str">
            <v>777418-B21</v>
          </cell>
          <cell r="B1611" t="str">
            <v>8SFF Smartアレイ接続ケーブルキット</v>
          </cell>
          <cell r="C1611" t="str">
            <v>8SFF モデルでSmart アレイ P440コントローラーの内部ポートとドライブケージを接続する場合に必要なケーブルオプション</v>
          </cell>
        </row>
        <row r="1612">
          <cell r="A1612" t="str">
            <v>777421-B21</v>
          </cell>
          <cell r="B1612" t="str">
            <v>8SFF Smart HBA接続ケーブルキット</v>
          </cell>
          <cell r="C1612" t="str">
            <v>8SFF モデルで H240 Smart HBAの内部ポートとドライブケージを接続する場合に必要なケーブルオプション</v>
          </cell>
        </row>
        <row r="1613">
          <cell r="A1613" t="str">
            <v>778157-B21</v>
          </cell>
          <cell r="B1613" t="str">
            <v>8ベイSFF(2.5型)ドライブケージ</v>
          </cell>
          <cell r="C1613" t="str">
            <v>追加8SFFドライブケージオプション</v>
          </cell>
        </row>
        <row r="1614">
          <cell r="A1614" t="str">
            <v>779793-B21</v>
          </cell>
          <cell r="B1614" t="str">
            <v>HP Ethernet 10Gb 2P 546SFP+ NIC</v>
          </cell>
          <cell r="C1614" t="str">
            <v>追加NIC 10GbE SFP+ x2ポート オプション</v>
          </cell>
        </row>
        <row r="1615">
          <cell r="A1615" t="str">
            <v>779799-B21</v>
          </cell>
          <cell r="B1615" t="str">
            <v>HP Ethernet 10Gb 2P 546FLR-SFP+ NIC</v>
          </cell>
          <cell r="C1615" t="str">
            <v>追加NIC 10GbE SFP+ x2ポート FlexibleLOMオプション</v>
          </cell>
        </row>
        <row r="1616">
          <cell r="A1616" t="str">
            <v>779861-B21</v>
          </cell>
          <cell r="B1616" t="str">
            <v>PCI バッフルキット</v>
          </cell>
          <cell r="C1616" t="str">
            <v>PCI Express スロットにカードを搭載する際に必要なオプション</v>
          </cell>
        </row>
        <row r="1617">
          <cell r="A1617" t="str">
            <v>779863-B21</v>
          </cell>
          <cell r="B1617" t="str">
            <v>ML150 Gen9 GPUイネーブルオプション</v>
          </cell>
          <cell r="C1617" t="str">
            <v>GPU サポートホルダーと GPU 電源ケーブルのセット
※K2200 以外のグラフィックカード搭載時に 1 個必要</v>
          </cell>
        </row>
        <row r="1618">
          <cell r="A1618" t="str">
            <v>782692-B21</v>
          </cell>
          <cell r="B1618" t="str">
            <v>8GB 1Rx4 DDR4-2133 NVDIMM Kit</v>
          </cell>
          <cell r="C1618" t="str">
            <v>メモリ スロットに実装され、高速なドライブ (SSD) として利用可能
※ドライブとしての利用には対応 OS および専用ドライバーが必要</v>
          </cell>
        </row>
        <row r="1619">
          <cell r="A1619" t="str">
            <v>784580-B21</v>
          </cell>
          <cell r="B1619" t="str">
            <v>ML110 Gen9 PCIファンキット</v>
          </cell>
          <cell r="C1619" t="str">
            <v>PCI Express スロットにカードを搭載する際に必要なオプション</v>
          </cell>
        </row>
        <row r="1620">
          <cell r="A1620" t="str">
            <v>784582-B21</v>
          </cell>
          <cell r="B1620" t="str">
            <v>ML110 Gen9 RPS バックプレーン</v>
          </cell>
          <cell r="C1620" t="str">
            <v>パワーサプライの冗長構成に必要</v>
          </cell>
        </row>
        <row r="1621">
          <cell r="A1621" t="str">
            <v>784584-B21</v>
          </cell>
          <cell r="B1621" t="str">
            <v>4ベイLFF(3.5型) ドライブケージ</v>
          </cell>
          <cell r="C1621" t="str">
            <v>追加4LFFドライブケージオプション</v>
          </cell>
        </row>
        <row r="1622">
          <cell r="A1622" t="str">
            <v>784603-B21</v>
          </cell>
          <cell r="B1622" t="str">
            <v>薄型オプティカルドライブケージ</v>
          </cell>
          <cell r="C1622" t="str">
            <v>DVDドライブを搭載する際に必要なオプション</v>
          </cell>
        </row>
        <row r="1623">
          <cell r="A1623" t="str">
            <v>784606-B21</v>
          </cell>
          <cell r="B1623" t="str">
            <v>Smart HBA接続ケーブルキット</v>
          </cell>
          <cell r="C1623" t="str">
            <v>H240 Smart HBAと標準搭載またはオプションのドライブケージとの接続用ケーブル</v>
          </cell>
        </row>
        <row r="1624">
          <cell r="A1624" t="str">
            <v>784608-B21</v>
          </cell>
          <cell r="B1624" t="str">
            <v>Smartアレイ接続ケーブルキット</v>
          </cell>
          <cell r="C1624" t="str">
            <v>Smart アレイ P440 / P840 コントローラーと標準搭載またはオプションのドライブケージとの接続用ケーブル</v>
          </cell>
        </row>
        <row r="1625">
          <cell r="A1625" t="str">
            <v>785067-B21</v>
          </cell>
          <cell r="B1625" t="str">
            <v>HP 300GB 10k SC 2.5 12G SAS HDD</v>
          </cell>
          <cell r="C1625" t="str">
            <v>RAID 実効容量約</v>
          </cell>
        </row>
        <row r="1626">
          <cell r="A1626" t="str">
            <v>785069-B21</v>
          </cell>
          <cell r="B1626" t="str">
            <v>HP 900GB 10k SC 2.5 12G SAS HDD</v>
          </cell>
          <cell r="C1626" t="str">
            <v>RAID 実効容量約</v>
          </cell>
        </row>
        <row r="1627">
          <cell r="A1627" t="str">
            <v>786710-B21</v>
          </cell>
          <cell r="B1627" t="str">
            <v>HP Smartストレージバッテリーホルダー</v>
          </cell>
          <cell r="C1627" t="str">
            <v>Smart ストレージ バッテリー 96W を搭載する際に必要なオプション</v>
          </cell>
        </row>
        <row r="1628">
          <cell r="A1628" t="str">
            <v>789648-B21</v>
          </cell>
          <cell r="B1628" t="str">
            <v>Smart HBA接続ケーブルキット</v>
          </cell>
          <cell r="C1628" t="str">
            <v>H240 Smart HBAと標準搭載またはオプションのホットプラグドライブ ケージとの接続用ケーブル</v>
          </cell>
        </row>
        <row r="1629">
          <cell r="A1629" t="str">
            <v>789651-B21</v>
          </cell>
          <cell r="B1629" t="str">
            <v>Smartアレイ接続ケーブルキット</v>
          </cell>
          <cell r="C1629" t="str">
            <v>Smart アレイ P440 コントローラーと標準搭載またはオプションのドライブケージとの接続用ケーブル</v>
          </cell>
        </row>
        <row r="1630">
          <cell r="A1630" t="str">
            <v>789654-B21</v>
          </cell>
          <cell r="B1630" t="str">
            <v>ML110 Gen9 システムファンアップグレード</v>
          </cell>
          <cell r="C1630" t="str">
            <v>SAS SSD を搭載する際に必要なオプション</v>
          </cell>
        </row>
        <row r="1631">
          <cell r="A1631" t="str">
            <v>791034-B21</v>
          </cell>
          <cell r="B1631" t="str">
            <v>HP 1.8TB 10k SC 2.5 12G SAS 512e HDD</v>
          </cell>
          <cell r="C1631" t="str">
            <v>RAID 実効容量約</v>
          </cell>
        </row>
        <row r="1632">
          <cell r="A1632" t="str">
            <v>801882-B21</v>
          </cell>
          <cell r="B1632" t="str">
            <v>1TB 7.2k N3.5 6G SATA HDD</v>
          </cell>
          <cell r="C1632" t="str">
            <v>RAID 実効容量約</v>
          </cell>
        </row>
        <row r="1633">
          <cell r="A1633" t="str">
            <v>801884-B21</v>
          </cell>
          <cell r="B1633" t="str">
            <v>2TB 7.2k N3.5 6G SATA HDD</v>
          </cell>
          <cell r="C1633" t="str">
            <v>RAID 実効容量約</v>
          </cell>
        </row>
        <row r="1634">
          <cell r="A1634" t="str">
            <v>801888-B21</v>
          </cell>
          <cell r="B1634" t="str">
            <v>4TB 7.2k N3.5 6G SATA HDD</v>
          </cell>
          <cell r="C1634" t="str">
            <v>RAID 実効容量約</v>
          </cell>
        </row>
        <row r="1635">
          <cell r="A1635" t="str">
            <v>802578-B21</v>
          </cell>
          <cell r="B1635" t="str">
            <v>HP 200GB WI SC 2.5 12G SAS SSD</v>
          </cell>
          <cell r="C1635" t="str">
            <v>RAID 実効容量約</v>
          </cell>
        </row>
        <row r="1636">
          <cell r="A1636" t="str">
            <v>802988-B21</v>
          </cell>
          <cell r="B1636" t="str">
            <v>ML350 Gen9 x4 RPS バックプレーン</v>
          </cell>
          <cell r="C1636" t="str">
            <v>パワーサプライを 4 個搭載するためのオプション</v>
          </cell>
        </row>
        <row r="1637">
          <cell r="A1637" t="str">
            <v>804326-B21</v>
          </cell>
          <cell r="B1637" t="str">
            <v>Smartアレイ E208i-a SR Gen10</v>
          </cell>
          <cell r="C1637" t="str">
            <v>キャッシュ未搭載 HW RAIDコントローラー
※システム ボード上にドーターボード形式で搭載</v>
          </cell>
        </row>
        <row r="1638">
          <cell r="A1638" t="str">
            <v>804331-B21</v>
          </cell>
          <cell r="B1638" t="str">
            <v>Smartアレイ P408i-a SR Gen10</v>
          </cell>
          <cell r="C1638" t="str">
            <v>2GBキャッシュ付HW RAIDコントローラー
※システム ボード上にドーターボード形式で搭載</v>
          </cell>
        </row>
        <row r="1639">
          <cell r="A1639" t="str">
            <v>804338-B21</v>
          </cell>
          <cell r="B1639" t="str">
            <v>Smartアレイ P816i-a SR Gen10</v>
          </cell>
          <cell r="C1639" t="str">
            <v>4GBキャッシュ付HW RAIDコントローラー
※システム ボード上にドーターボード形式で搭載</v>
          </cell>
        </row>
        <row r="1640">
          <cell r="A1640" t="str">
            <v>804394-B21</v>
          </cell>
          <cell r="B1640" t="str">
            <v>Smartアレイ E208i-p SR Gen10</v>
          </cell>
          <cell r="C1640" t="str">
            <v>キャッシュ未搭載 HW RAIDコントローラー</v>
          </cell>
        </row>
        <row r="1641">
          <cell r="A1641" t="str">
            <v>804398-B21</v>
          </cell>
          <cell r="B1641" t="str">
            <v>Smartアレイ E208e-p SR Gen10</v>
          </cell>
          <cell r="C1641" t="str">
            <v>外部ストレージ接続用 キャッシュ未搭載 HW RAIDコントローラー/SAS HBA( x2ポート)</v>
          </cell>
        </row>
        <row r="1642">
          <cell r="A1642" t="str">
            <v>804405-B21</v>
          </cell>
          <cell r="B1642" t="str">
            <v>Smartアレイ P408e-p SR Gen10</v>
          </cell>
          <cell r="C1642" t="str">
            <v>外部ストレージ接続用 4GBキャッシュ付 HW RAIDコントローラー/SAS HBA( x2ポート)</v>
          </cell>
        </row>
        <row r="1643">
          <cell r="A1643" t="str">
            <v>804424-B21</v>
          </cell>
          <cell r="B1643" t="str">
            <v>Smartアレイ P204i-c SR Gen10</v>
          </cell>
          <cell r="C1643" t="str">
            <v>1GBキャッシュ付HW RAIDコントローラー
※システム ボード上にドーターボード形式で搭載</v>
          </cell>
        </row>
        <row r="1644">
          <cell r="A1644" t="str">
            <v>804428-B21</v>
          </cell>
          <cell r="B1644" t="str">
            <v>Smartアレイ P416ie-m SR Gen10</v>
          </cell>
          <cell r="C1644" t="str">
            <v>Synergy D3940 ストレージ モジュール接続用 2GBキャッシュ付 HW RAIDコントローラー</v>
          </cell>
        </row>
        <row r="1645">
          <cell r="A1645" t="str">
            <v>805283-B21</v>
          </cell>
          <cell r="B1645" t="str">
            <v>HP DL60/120 Gen9 M.2 接続ケーブルキット</v>
          </cell>
          <cell r="C1645" t="str">
            <v>システムボード上の SATA コネクターとソリッドステート M.2 ドライブを接続する場合に必要なケーブル 2 本組のオプション</v>
          </cell>
        </row>
        <row r="1646">
          <cell r="A1646" t="str">
            <v>805347-B21</v>
          </cell>
          <cell r="B1646" t="str">
            <v>8GB 1Rx8 PC4-2400T-R Memory Kit</v>
          </cell>
          <cell r="C1646" t="str">
            <v>追加メモリ：計GB</v>
          </cell>
        </row>
        <row r="1647">
          <cell r="A1647" t="str">
            <v>805349-B21</v>
          </cell>
          <cell r="B1647" t="str">
            <v>16GB 1Rx4 PC4-2400T-R Memory Kit</v>
          </cell>
          <cell r="C1647" t="str">
            <v>追加メモリ：計GB</v>
          </cell>
        </row>
        <row r="1648">
          <cell r="A1648" t="str">
            <v>805351-B21</v>
          </cell>
          <cell r="B1648" t="str">
            <v>32GB 2Rx4 PC4-2400T-R Memory Kit</v>
          </cell>
          <cell r="C1648" t="str">
            <v>追加メモリ：計GB</v>
          </cell>
        </row>
        <row r="1649">
          <cell r="A1649" t="str">
            <v>805353-B21</v>
          </cell>
          <cell r="B1649" t="str">
            <v>32GB 2Rx4 PC4-2400T-L Memory Kit</v>
          </cell>
          <cell r="C1649" t="str">
            <v>追加メモリ：計GB</v>
          </cell>
        </row>
        <row r="1650">
          <cell r="A1650" t="str">
            <v>805358-B21</v>
          </cell>
          <cell r="B1650" t="str">
            <v>64GB 4Rx4 PC4-2400T-L Memory Kit</v>
          </cell>
          <cell r="C1650" t="str">
            <v>追加メモリ：計GB</v>
          </cell>
        </row>
        <row r="1651">
          <cell r="A1651" t="str">
            <v>805667-B21</v>
          </cell>
          <cell r="B1651" t="str">
            <v>4GB 1Rx8 PC4-2133P-E Memory Kit</v>
          </cell>
          <cell r="C1651" t="str">
            <v>追加メモリ：計GB</v>
          </cell>
        </row>
        <row r="1652">
          <cell r="A1652" t="str">
            <v>805669-B21</v>
          </cell>
          <cell r="B1652" t="str">
            <v>8GB 2Rx8 PC4-2133P-E Memory Kit</v>
          </cell>
          <cell r="C1652" t="str">
            <v>追加メモリ：計GB</v>
          </cell>
        </row>
        <row r="1653">
          <cell r="A1653" t="str">
            <v>805671-B21</v>
          </cell>
          <cell r="B1653" t="str">
            <v>16GB 2Rx8 PC4-2133P-E Memory Kit</v>
          </cell>
          <cell r="C1653" t="str">
            <v>追加メモリ：計GB</v>
          </cell>
        </row>
        <row r="1654">
          <cell r="A1654" t="str">
            <v>805755-B21</v>
          </cell>
          <cell r="B1654" t="str">
            <v>40G QSFP+ MPO SR4 100m 4x10G XCVR</v>
          </cell>
          <cell r="C1654" t="str">
            <v>40GbE QSFP+を 10G Base-SR×4 に変換するトランシーバー</v>
          </cell>
        </row>
        <row r="1655">
          <cell r="A1655" t="str">
            <v>809208-B21</v>
          </cell>
          <cell r="B1655" t="str">
            <v>128GB 8Rx4 PC4-2400U-L Memory Kit</v>
          </cell>
          <cell r="C1655" t="str">
            <v>追加メモリ：計GB</v>
          </cell>
        </row>
        <row r="1656">
          <cell r="A1656" t="str">
            <v>811216-B21</v>
          </cell>
          <cell r="B1656" t="str">
            <v>SAS 2nd エキスパンダーカード</v>
          </cell>
          <cell r="C1656" t="str">
            <v>3 基までのドライブケージを 1 つのコントローラーで接続するためのオプション</v>
          </cell>
        </row>
        <row r="1657">
          <cell r="A1657" t="str">
            <v>811259-B21</v>
          </cell>
          <cell r="B1657" t="str">
            <v>PCIe スロットライザー(FlexibleLOM用)</v>
          </cell>
          <cell r="C1657" t="str">
            <v>標準搭載のライザー ボードと交換</v>
          </cell>
        </row>
        <row r="1658">
          <cell r="A1658" t="str">
            <v>811279-B21</v>
          </cell>
          <cell r="B1658" t="str">
            <v>2LFF Smartアレイ接続ケーブルキット</v>
          </cell>
          <cell r="C1658" t="str">
            <v>Smart アレイ P440コントローラーの内部ポートとドライブケージを接続する場合に必要なケーブルオプション</v>
          </cell>
        </row>
        <row r="1659">
          <cell r="A1659" t="str">
            <v>811282-B21</v>
          </cell>
          <cell r="B1659" t="str">
            <v>4SFF Smartアレイ接続ケーブルキット</v>
          </cell>
          <cell r="C1659" t="str">
            <v>Smart アレイ P440コントローラーの内部ポートとドライブケージを接続する場合に必要なケーブルオプション</v>
          </cell>
        </row>
        <row r="1660">
          <cell r="A1660" t="str">
            <v>811546-B21</v>
          </cell>
          <cell r="B1660" t="str">
            <v>HP Ethernet 1Gb 4P 366T NIC</v>
          </cell>
          <cell r="C1660" t="str">
            <v>追加NIC 1GbE x4ポート オプション</v>
          </cell>
        </row>
        <row r="1661">
          <cell r="A1661" t="str">
            <v>812248-B21</v>
          </cell>
          <cell r="B1661" t="str">
            <v>ML10 v2 ドライブ対応キット</v>
          </cell>
          <cell r="C1661" t="str">
            <v>リムーバブルドライブベイにノンホットハードドライブを 1 台搭載するためのキット</v>
          </cell>
        </row>
        <row r="1662">
          <cell r="A1662" t="str">
            <v>813661-B21</v>
          </cell>
          <cell r="B1662" t="str">
            <v>Ethernet 10Gb 2P 535T NIC</v>
          </cell>
          <cell r="C1662" t="str">
            <v>追加NIC 10Gbase-T x2ポート オプション</v>
          </cell>
        </row>
        <row r="1663">
          <cell r="A1663" t="str">
            <v>813874-B21</v>
          </cell>
          <cell r="B1663" t="str">
            <v>10GBase-T SFP+ XCVR</v>
          </cell>
          <cell r="C1663" t="str">
            <v>10GBase-T 対応SFP+トランシーバー</v>
          </cell>
        </row>
        <row r="1664">
          <cell r="A1664" t="str">
            <v>814835-B21</v>
          </cell>
          <cell r="B1664" t="str">
            <v>リダンダントパワーサプライ対応キット</v>
          </cell>
          <cell r="C1664" t="str">
            <v>パワーサプライの冗長構成に必要</v>
          </cell>
        </row>
        <row r="1665">
          <cell r="A1665" t="str">
            <v>815097-B21</v>
          </cell>
          <cell r="B1665" t="str">
            <v>8GB 1Rx8 PC4-2666V-R Smartメモリキット</v>
          </cell>
          <cell r="C1665" t="str">
            <v>追加メモリ：計GB</v>
          </cell>
        </row>
        <row r="1666">
          <cell r="A1666" t="str">
            <v>815098-B21</v>
          </cell>
          <cell r="B1666" t="str">
            <v>16GB 1Rx4 PC4-2666V-R Smartメモリキット</v>
          </cell>
          <cell r="C1666" t="str">
            <v>追加メモリ：計GB</v>
          </cell>
        </row>
        <row r="1667">
          <cell r="A1667" t="str">
            <v>815100-B21</v>
          </cell>
          <cell r="B1667" t="str">
            <v>32GB 2Rx4 PC4-2666V-R Smartメモリキット</v>
          </cell>
          <cell r="C1667" t="str">
            <v>追加メモリ：計GB</v>
          </cell>
        </row>
        <row r="1668">
          <cell r="A1668" t="str">
            <v>815101-B21</v>
          </cell>
          <cell r="B1668" t="str">
            <v>64GB 4Rx4 PC4-2666V-L Smartメモリキット</v>
          </cell>
          <cell r="C1668" t="str">
            <v>追加メモリ：計GB</v>
          </cell>
        </row>
        <row r="1669">
          <cell r="A1669" t="str">
            <v>815102-B21</v>
          </cell>
          <cell r="B1669" t="str">
            <v>128GB 8Rx4 PC4-2666V-L Smartメモリキット</v>
          </cell>
          <cell r="C1669" t="str">
            <v>追加メモリ：計GB</v>
          </cell>
        </row>
        <row r="1670">
          <cell r="A1670" t="str">
            <v>815635-B21</v>
          </cell>
          <cell r="B1670" t="str">
            <v>4TB 5.9k NHP 3.5 6G SATA 512e Entry HDD</v>
          </cell>
          <cell r="C1670" t="str">
            <v>RAID 実効容量約</v>
          </cell>
        </row>
        <row r="1671">
          <cell r="A1671" t="str">
            <v>816284-B21</v>
          </cell>
          <cell r="B1671" t="str">
            <v>DL20 Gen9 オプティカルケーブルキット</v>
          </cell>
          <cell r="C1671" t="str">
            <v>DVD ドライブまたは M.2 ドライブを搭載する際に必要なオプション</v>
          </cell>
        </row>
        <row r="1672">
          <cell r="A1672" t="str">
            <v>817709-B21</v>
          </cell>
          <cell r="B1672" t="str">
            <v xml:space="preserve">Ethernet 10/25Gb 2P 631FLR-SFP28 NIC </v>
          </cell>
          <cell r="C1672" t="str">
            <v>追加NIC 10/25GbE x2ポート FlexibleLOMオプション(25GbE SFP28 または 10GbE SFP+)</v>
          </cell>
        </row>
        <row r="1673">
          <cell r="A1673" t="str">
            <v>817718-B21</v>
          </cell>
          <cell r="B1673" t="str">
            <v>Ethernet 10/25Gb 2P 631SFP28 NIC</v>
          </cell>
          <cell r="C1673" t="str">
            <v>追加NIC 10/25GbE x2ポート オプション(25GbE SFP28 または 10GbE SFP+)</v>
          </cell>
        </row>
        <row r="1674">
          <cell r="A1674" t="str">
            <v>817721-B21</v>
          </cell>
          <cell r="B1674" t="str">
            <v xml:space="preserve">Ethernet 10Gb 2P 535FLR-T NIC  </v>
          </cell>
          <cell r="C1674" t="str">
            <v>追加NIC 10Gbase-T x2ポート FlexibleLOMオプション</v>
          </cell>
        </row>
        <row r="1675">
          <cell r="A1675" t="str">
            <v>817738-B21</v>
          </cell>
          <cell r="B1675" t="str">
            <v>Ethernet 10Gb 2P 562T NIC</v>
          </cell>
          <cell r="C1675" t="str">
            <v>追加NIC 10Gbase-T x2ポート オプション</v>
          </cell>
        </row>
        <row r="1676">
          <cell r="A1676" t="str">
            <v>817745-B21</v>
          </cell>
          <cell r="B1676" t="str">
            <v xml:space="preserve">Ethernet 10Gb 2P 562FLR-T NIC </v>
          </cell>
          <cell r="C1676" t="str">
            <v>追加NIC 10Gbase-T x2ポート FlexibleLOMオプション</v>
          </cell>
        </row>
        <row r="1677">
          <cell r="A1677" t="str">
            <v>817749-B21</v>
          </cell>
          <cell r="B1677" t="str">
            <v>Ethernet 10/25Gb 2P 640FLR-SFP28 NIC</v>
          </cell>
          <cell r="C1677" t="str">
            <v>追加NIC 10/25GbE x2ポート FlexibleLOMオプション(25GbE SFP28 または 10GbE SFP+)</v>
          </cell>
        </row>
        <row r="1678">
          <cell r="A1678" t="str">
            <v>817753-B21</v>
          </cell>
          <cell r="B1678" t="str">
            <v>Ethernet 10/25Gb 2P 640SFP28 NIC</v>
          </cell>
          <cell r="C1678" t="str">
            <v>追加NIC 10/25GbE x2ポート オプション(25GbE SFP28 または 10GbE SFP+)</v>
          </cell>
        </row>
        <row r="1679">
          <cell r="A1679" t="str">
            <v>819201-B21</v>
          </cell>
          <cell r="B1679" t="str">
            <v xml:space="preserve">8TB 7.2k SC 3.5 12G SAS 512e DS HDD   </v>
          </cell>
          <cell r="C1679" t="str">
            <v>RAID 実効容量約</v>
          </cell>
        </row>
        <row r="1680">
          <cell r="A1680" t="str">
            <v>819203-B21</v>
          </cell>
          <cell r="B1680" t="str">
            <v>8TB 7.2k SC 3.5 6G SATA 512e DS HDD</v>
          </cell>
          <cell r="C1680" t="str">
            <v>RAID 実効容量約</v>
          </cell>
        </row>
        <row r="1681">
          <cell r="A1681" t="str">
            <v>819880-B21</v>
          </cell>
          <cell r="B1681" t="str">
            <v>8GB 1Rx8 PC4-2133P-E Memory Kit</v>
          </cell>
          <cell r="C1681" t="str">
            <v>追加メモリ：計GB</v>
          </cell>
        </row>
        <row r="1682">
          <cell r="A1682" t="str">
            <v>820288-B21</v>
          </cell>
          <cell r="B1682" t="str">
            <v xml:space="preserve">薄型オプティカル ドライブケージ </v>
          </cell>
          <cell r="C1682" t="str">
            <v>DVDドライブを搭載する際に必要なオプション</v>
          </cell>
        </row>
        <row r="1683">
          <cell r="A1683" t="str">
            <v>820290-B21</v>
          </cell>
          <cell r="B1683" t="str">
            <v>ML30 Gen9 PCIファンキット</v>
          </cell>
          <cell r="C1683" t="str">
            <v>PCI Express スロットにカードを搭載する際に必要なオプション</v>
          </cell>
        </row>
        <row r="1684">
          <cell r="A1684" t="str">
            <v>820306-B21</v>
          </cell>
          <cell r="B1684" t="str">
            <v>RPS対応キット用ケーブルキット</v>
          </cell>
          <cell r="C1684" t="str">
            <v>リダンダントパワーサプライ対応キット使用時、サーバーの電源の配線に必要なケーブルのオプション</v>
          </cell>
        </row>
        <row r="1685">
          <cell r="A1685" t="str">
            <v>820834-B21</v>
          </cell>
          <cell r="B1685" t="str">
            <v>HP SmartアレイP440/2GB FBWC</v>
          </cell>
          <cell r="C1685" t="str">
            <v>2GBキャッシュ付HW RAIDコントローラー(バッテリ含む)</v>
          </cell>
        </row>
        <row r="1686">
          <cell r="A1686" t="str">
            <v>822607-B21</v>
          </cell>
          <cell r="B1686" t="str">
            <v>ML30 Gen9 RPS バックプレーン</v>
          </cell>
          <cell r="C1686" t="str">
            <v>パワーサプライの冗長構成に必要</v>
          </cell>
        </row>
        <row r="1687">
          <cell r="A1687" t="str">
            <v>822608-B21</v>
          </cell>
          <cell r="B1687" t="str">
            <v>4ベイLFF(3.5型) ドライブケージ</v>
          </cell>
          <cell r="C1687" t="str">
            <v>追加4LFFドライブケージオプション</v>
          </cell>
        </row>
        <row r="1688">
          <cell r="A1688" t="str">
            <v>822756-B21</v>
          </cell>
          <cell r="B1688" t="str">
            <v>8ベイSFF(2.5型) ドライブケージ</v>
          </cell>
          <cell r="C1688" t="str">
            <v>追加8SFFドライブケージオプション</v>
          </cell>
        </row>
        <row r="1689">
          <cell r="A1689" t="str">
            <v>823852-B21</v>
          </cell>
          <cell r="B1689" t="str">
            <v>Smartアレイ E208i-c SR Gen10</v>
          </cell>
          <cell r="C1689" t="str">
            <v>キャッシュ未搭載 HW RAIDコントローラー
※システム ボード上にドーターボード形式で搭載</v>
          </cell>
        </row>
        <row r="1690">
          <cell r="A1690" t="str">
            <v>823856-B21</v>
          </cell>
          <cell r="B1690" t="str">
            <v>Smartアレイ P408i-c SR Gen10</v>
          </cell>
          <cell r="C1690" t="str">
            <v>2GBキャッシュ付HW RAIDコントローラー
※システム ボード上にドーターボード形式で搭載</v>
          </cell>
        </row>
        <row r="1691">
          <cell r="A1691" t="str">
            <v>830267-B21</v>
          </cell>
          <cell r="B1691" t="str">
            <v>E5-4620v4 2.10GHz 1P/10C CPU DL560 Gen9</v>
          </cell>
          <cell r="C1691" t="str">
            <v>追加CPU：Xeon E5-4620v4 2.10GHz 4P/40C</v>
          </cell>
        </row>
        <row r="1692">
          <cell r="A1692" t="str">
            <v>830272-B21</v>
          </cell>
          <cell r="B1692" t="str">
            <v>1600W FS Platinum LH パワーサプライ</v>
          </cell>
          <cell r="C1692" t="str">
            <v>電源冗長構成</v>
          </cell>
        </row>
        <row r="1693">
          <cell r="A1693" t="str">
            <v>830824-B21</v>
          </cell>
          <cell r="B1693" t="str">
            <v>Smartアレイ P408i-p SR Gen10</v>
          </cell>
          <cell r="C1693" t="str">
            <v>2GBキャッシュ付HW RAIDコントローラー</v>
          </cell>
        </row>
        <row r="1694">
          <cell r="A1694" t="str">
            <v>832514-B21</v>
          </cell>
          <cell r="B1694" t="str">
            <v xml:space="preserve">1TB 7.2k SC 2.5 12G SAS DS HDD  </v>
          </cell>
          <cell r="C1694" t="str">
            <v>RAID 実効容量約</v>
          </cell>
        </row>
        <row r="1695">
          <cell r="A1695" t="str">
            <v>833926-B21</v>
          </cell>
          <cell r="B1695" t="str">
            <v xml:space="preserve">2TB 7.2k LP 3.5 12G SAS DS HDD  </v>
          </cell>
          <cell r="C1695" t="str">
            <v>RAID 実効容量約</v>
          </cell>
        </row>
        <row r="1696">
          <cell r="A1696" t="str">
            <v>833928-B21</v>
          </cell>
          <cell r="B1696" t="str">
            <v xml:space="preserve">4TB 7.2k LP 3.5 12G SAS DS HDD </v>
          </cell>
          <cell r="C1696" t="str">
            <v>RAID 実効容量約</v>
          </cell>
        </row>
        <row r="1697">
          <cell r="A1697" t="str">
            <v>834028-B21</v>
          </cell>
          <cell r="B1697" t="str">
            <v>8TB 7.2k LP 3.5 6G SATA 512e DS HDD</v>
          </cell>
          <cell r="C1697" t="str">
            <v>RAID 実効容量約</v>
          </cell>
        </row>
        <row r="1698">
          <cell r="A1698" t="str">
            <v>834031-B21</v>
          </cell>
          <cell r="B1698" t="str">
            <v>8TB 7.2k LP 3.5 12G SAS 512e DS HDD</v>
          </cell>
          <cell r="C1698" t="str">
            <v>RAID 実効容量約</v>
          </cell>
        </row>
        <row r="1699">
          <cell r="A1699" t="str">
            <v>835955-B21</v>
          </cell>
          <cell r="B1699" t="str">
            <v>16GB 2Rx8 PC4-2666V-R Smartメモリキット</v>
          </cell>
          <cell r="C1699" t="str">
            <v>追加メモリ：計GB</v>
          </cell>
        </row>
        <row r="1700">
          <cell r="A1700" t="str">
            <v>836220-B21</v>
          </cell>
          <cell r="B1700" t="str">
            <v>16GB 2Rx4 PC4-2400T-R Memory Kit</v>
          </cell>
          <cell r="C1700" t="str">
            <v>追加メモリ：計GB</v>
          </cell>
        </row>
        <row r="1701">
          <cell r="A1701" t="str">
            <v>836739-B21</v>
          </cell>
          <cell r="B1701" t="str">
            <v>ML10 Gen9ドライブ対応キット</v>
          </cell>
          <cell r="C1701" t="str">
            <v>リムーバブルドライブベイにノンホットハードドライブを 1 台搭載するためのキット</v>
          </cell>
        </row>
        <row r="1702">
          <cell r="A1702" t="str">
            <v>836742-B21</v>
          </cell>
          <cell r="B1702" t="str">
            <v>薄型オプティカル ドライブケージ</v>
          </cell>
          <cell r="C1702" t="str">
            <v>DVDドライブを搭載する際に必要なオプション</v>
          </cell>
        </row>
        <row r="1703">
          <cell r="A1703" t="str">
            <v>838079-B21</v>
          </cell>
          <cell r="B1703" t="str">
            <v>8GB 1Rx8 PC4-2666V-R Smartメモリキット</v>
          </cell>
          <cell r="C1703" t="str">
            <v>追加メモリ：計GB</v>
          </cell>
        </row>
        <row r="1704">
          <cell r="A1704" t="str">
            <v>838081-B21</v>
          </cell>
          <cell r="B1704" t="str">
            <v>16GB 1Rx4 PC4-2666V-R Smartメモリキット</v>
          </cell>
          <cell r="C1704" t="str">
            <v>追加メモリ：計GB</v>
          </cell>
        </row>
        <row r="1705">
          <cell r="A1705" t="str">
            <v>838083-B21</v>
          </cell>
          <cell r="B1705" t="str">
            <v>32GB 2Rx4 PC4-2666V-R Smartメモリキット</v>
          </cell>
          <cell r="C1705" t="str">
            <v>追加メモリ：計GB</v>
          </cell>
        </row>
        <row r="1706">
          <cell r="A1706" t="str">
            <v>838085-B21</v>
          </cell>
          <cell r="B1706" t="str">
            <v>64GB 4Rx4 PC4-2666V-L Smartメモリキット</v>
          </cell>
          <cell r="C1706" t="str">
            <v>追加メモリ：計GB</v>
          </cell>
        </row>
        <row r="1707">
          <cell r="A1707" t="str">
            <v>838089-B21</v>
          </cell>
          <cell r="B1707" t="str">
            <v>16GB 2Rx8 PC4-2666V-R Smartメモリキット</v>
          </cell>
          <cell r="C1707" t="str">
            <v>追加メモリ：計GB</v>
          </cell>
        </row>
        <row r="1708">
          <cell r="A1708" t="str">
            <v>841425-B21</v>
          </cell>
          <cell r="B1708" t="str">
            <v>ハードディスクドライブ取付キット</v>
          </cell>
          <cell r="C1708" t="str">
            <v>5 台目のハードドライブを搭載する際に必要なキット</v>
          </cell>
        </row>
        <row r="1709">
          <cell r="A1709" t="str">
            <v>841716-B21</v>
          </cell>
          <cell r="B1709" t="str">
            <v>QSFP+ 40Gb 双方向 LC トランシーバー</v>
          </cell>
          <cell r="C1709" t="str">
            <v>40GbE QSFP+ 対応 Duplex LC トランシーバー</v>
          </cell>
        </row>
        <row r="1710">
          <cell r="A1710" t="str">
            <v>843199-B21</v>
          </cell>
          <cell r="B1710" t="str">
            <v>Smartアレイ P840ar/2GB FBWC</v>
          </cell>
          <cell r="C1710" t="str">
            <v>2GBキャッシュ付HW RAIDコントローラー(バッテリ含む)
※システム ボード上にドーターボード形式で搭載</v>
          </cell>
        </row>
        <row r="1711">
          <cell r="A1711" t="str">
            <v>843266-B21</v>
          </cell>
          <cell r="B1711" t="str">
            <v>1TB 7.2k NHP 3.5 6G SATA 512e Entry HDD</v>
          </cell>
          <cell r="C1711" t="str">
            <v>RAID 実効容量約</v>
          </cell>
        </row>
        <row r="1712">
          <cell r="A1712" t="str">
            <v>844474-B21</v>
          </cell>
          <cell r="B1712" t="str">
            <v>25Gb SFP28 to SFP28 DACケーブル 1m</v>
          </cell>
          <cell r="C1712" t="str">
            <v>25Gb SFP28対応 DACケーブル 1m</v>
          </cell>
        </row>
        <row r="1713">
          <cell r="A1713" t="str">
            <v>844477-B21</v>
          </cell>
          <cell r="B1713" t="str">
            <v>25Gb SFP28 to SFP28 DACケーブル 3m</v>
          </cell>
          <cell r="C1713" t="str">
            <v>25Gb SFP28対応 DACケーブル 3m</v>
          </cell>
        </row>
        <row r="1714">
          <cell r="A1714" t="str">
            <v>844480-B21</v>
          </cell>
          <cell r="B1714" t="str">
            <v>25Gb SFP28 to SFP28 DACケーブル 5m</v>
          </cell>
          <cell r="C1714" t="str">
            <v>25Gb SFP28対応 DACケーブル 5m</v>
          </cell>
        </row>
        <row r="1715">
          <cell r="A1715" t="str">
            <v>845264-B21</v>
          </cell>
          <cell r="B1715" t="str">
            <v>16GB 1Rx4 DDR4-2666 NVDIMM Kit</v>
          </cell>
          <cell r="C1715" t="str">
            <v>追加メモリ：計GB</v>
          </cell>
        </row>
        <row r="1716">
          <cell r="A1716" t="str">
            <v>845398-B21</v>
          </cell>
          <cell r="B1716" t="str">
            <v>25Gb SFP28 SR 100m LCトランシーバー</v>
          </cell>
          <cell r="C1716" t="str">
            <v>25Gb SFP28 SR 対応 LC トランシーバー(最大100m)</v>
          </cell>
        </row>
        <row r="1717">
          <cell r="A1717" t="str">
            <v>845404-B21</v>
          </cell>
          <cell r="B1717" t="str">
            <v>100Gb QSFP28 to QSFP28 DACケーブル 1m</v>
          </cell>
          <cell r="C1717" t="str">
            <v>100Gb QSFP28対応 DACケーブル 1m</v>
          </cell>
        </row>
        <row r="1718">
          <cell r="A1718" t="str">
            <v>845406-B21</v>
          </cell>
          <cell r="B1718" t="str">
            <v>100Gb QSFP28 to QSFP28 DACケーブル 3m</v>
          </cell>
          <cell r="C1718" t="str">
            <v>100Gb QSFP28対応 DACケーブル 3m</v>
          </cell>
        </row>
        <row r="1719">
          <cell r="A1719" t="str">
            <v>845408-B21</v>
          </cell>
          <cell r="B1719" t="str">
            <v>100Gb QSFP28 to QSFP28 DACケーブル 5m</v>
          </cell>
          <cell r="C1719" t="str">
            <v>100Gb QSFP28対応 DACケーブル 5m</v>
          </cell>
        </row>
        <row r="1720">
          <cell r="A1720" t="str">
            <v>845410-B21</v>
          </cell>
          <cell r="B1720" t="str">
            <v>100Gb QSFP28 to QSFP28 AOCケーブル 7m</v>
          </cell>
          <cell r="C1720" t="str">
            <v>QSFP28対応 AOCケーブル 7m</v>
          </cell>
        </row>
        <row r="1721">
          <cell r="A1721" t="str">
            <v>845414-B21</v>
          </cell>
          <cell r="B1721" t="str">
            <v>100Gb QSFP28 to QSFP28 AOCケーブル 15m</v>
          </cell>
          <cell r="C1721" t="str">
            <v>QSFP28対応 AOCケーブル 15m</v>
          </cell>
        </row>
        <row r="1722">
          <cell r="A1722" t="str">
            <v>845416-B21</v>
          </cell>
          <cell r="B1722" t="str">
            <v>100Gb QSFP28 to 4xSFP28 DACケーブル 3m</v>
          </cell>
          <cell r="C1722" t="str">
            <v>100Gb QSFP28 to 4xSFP28対応 DACケーブル 3m</v>
          </cell>
        </row>
        <row r="1723">
          <cell r="A1723" t="str">
            <v>845966-B21</v>
          </cell>
          <cell r="B1723" t="str">
            <v>100Gb QSFP28 SR4 100m MPO トランシーバー</v>
          </cell>
          <cell r="C1723" t="str">
            <v>100Gb QSFP28 SR4 対応 MPO トランシーバー(最大100m)</v>
          </cell>
        </row>
        <row r="1724">
          <cell r="A1724" t="str">
            <v>846514-B21</v>
          </cell>
          <cell r="B1724" t="str">
            <v xml:space="preserve">6TB 7.2k SC 3.5 12G SAS DS HDD   </v>
          </cell>
          <cell r="C1724" t="str">
            <v>RAID 実効容量約</v>
          </cell>
        </row>
        <row r="1725">
          <cell r="A1725" t="str">
            <v>846524-B21</v>
          </cell>
          <cell r="B1725" t="str">
            <v xml:space="preserve">1TB 7.2k SC 3.5 12G SAS DS HDD  </v>
          </cell>
          <cell r="C1725" t="str">
            <v>RAID 実効容量約</v>
          </cell>
        </row>
        <row r="1726">
          <cell r="A1726" t="str">
            <v>846526-B21</v>
          </cell>
          <cell r="B1726" t="str">
            <v xml:space="preserve">1TB 7.2k LP 3.5 12G SAS DS HDD  </v>
          </cell>
          <cell r="C1726" t="str">
            <v>RAID 実効容量約</v>
          </cell>
        </row>
        <row r="1727">
          <cell r="A1727" t="str">
            <v>851615-B21</v>
          </cell>
          <cell r="B1727" t="str">
            <v>内蔵バックアップドライブ用 電源ケーブル</v>
          </cell>
          <cell r="C1727" t="str">
            <v>内蔵 RDX / テープドライブに電源ケーブルを接続するために必要なキット</v>
          </cell>
        </row>
        <row r="1728">
          <cell r="A1728" t="str">
            <v>857644-B21</v>
          </cell>
          <cell r="B1728" t="str">
            <v>10TB 7.2k SC 3.5 12G SAS 512e He DS HDD</v>
          </cell>
          <cell r="C1728" t="str">
            <v>RAID 実効容量約</v>
          </cell>
        </row>
        <row r="1729">
          <cell r="A1729" t="str">
            <v>857646-B21</v>
          </cell>
          <cell r="B1729" t="str">
            <v>10TB 7.2k LP 3.5 12G SAS 512e He DS HDD</v>
          </cell>
          <cell r="C1729" t="str">
            <v>RAID 実効容量約</v>
          </cell>
        </row>
        <row r="1730">
          <cell r="A1730" t="str">
            <v>857648-B21</v>
          </cell>
          <cell r="B1730" t="str">
            <v>10TB 7.2k SC 3.5 6G SATA 512e He DS HDD</v>
          </cell>
          <cell r="C1730" t="str">
            <v>RAID 実効容量約</v>
          </cell>
        </row>
        <row r="1731">
          <cell r="A1731" t="str">
            <v>857650-B21</v>
          </cell>
          <cell r="B1731" t="str">
            <v>10TB 7.2k LP 3.5 6G SATA 512e He DS HDD</v>
          </cell>
          <cell r="C1731" t="str">
            <v>RAID 実効容量約</v>
          </cell>
        </row>
        <row r="1732">
          <cell r="A1732" t="str">
            <v>858384-B21</v>
          </cell>
          <cell r="B1732" t="str">
            <v>8TB 7.2k Hotplug 3.5 12G SAS 512e HDD</v>
          </cell>
          <cell r="C1732" t="str">
            <v>RAID 実効容量約</v>
          </cell>
        </row>
        <row r="1733">
          <cell r="A1733" t="str">
            <v>861412-B21</v>
          </cell>
          <cell r="B1733" t="str">
            <v>CAT6A 1.2m ケーブル</v>
          </cell>
          <cell r="C1733" t="str">
            <v>フレーム リンク モジュールのリンク接続用ケーブル 1.2m</v>
          </cell>
        </row>
        <row r="1734">
          <cell r="A1734" t="str">
            <v>861413-B21</v>
          </cell>
          <cell r="B1734" t="str">
            <v>CAT6A 3m ケーブル</v>
          </cell>
          <cell r="C1734" t="str">
            <v>フレーム リンク モジュールのリンク接続用ケーブル 3m</v>
          </cell>
        </row>
        <row r="1735">
          <cell r="A1735" t="str">
            <v>861414-B21</v>
          </cell>
          <cell r="B1735" t="str">
            <v>CAT6A 6.4m ケーブル</v>
          </cell>
          <cell r="C1735" t="str">
            <v>フレーム リンク モジュールのリンク接続用ケーブル 6.4m</v>
          </cell>
        </row>
        <row r="1736">
          <cell r="A1736" t="str">
            <v>861590-B21</v>
          </cell>
          <cell r="B1736" t="str">
            <v>8TB 7.2k SC 3.5 12G SAS 512e He DS HDD</v>
          </cell>
          <cell r="C1736" t="str">
            <v>RAID 実効容量約</v>
          </cell>
        </row>
        <row r="1737">
          <cell r="A1737" t="str">
            <v>861594-B21</v>
          </cell>
          <cell r="B1737" t="str">
            <v>8TB 7.2k SC 3.5 6G SATA 512e He DS HDD</v>
          </cell>
          <cell r="C1737" t="str">
            <v>RAID 実効容量約</v>
          </cell>
        </row>
        <row r="1738">
          <cell r="A1738" t="str">
            <v>861596-B21</v>
          </cell>
          <cell r="B1738" t="str">
            <v>8TB 7.2k LP 3.5 6G SATA 512e He DS HDD</v>
          </cell>
          <cell r="C1738" t="str">
            <v>RAID 実効容量約</v>
          </cell>
        </row>
        <row r="1739">
          <cell r="A1739" t="str">
            <v>861678-B21</v>
          </cell>
          <cell r="B1739" t="str">
            <v>4TB 7.2k SC 3.5 6G SATA HDD</v>
          </cell>
          <cell r="C1739" t="str">
            <v>RAID 実効容量約</v>
          </cell>
        </row>
        <row r="1740">
          <cell r="A1740" t="str">
            <v>861681-B21</v>
          </cell>
          <cell r="B1740" t="str">
            <v xml:space="preserve">2TB 7.2k LP 3.5 6G SATA DS HDD  </v>
          </cell>
          <cell r="C1740" t="str">
            <v>RAID 実効容量約</v>
          </cell>
        </row>
        <row r="1741">
          <cell r="A1741" t="str">
            <v>861683-B21</v>
          </cell>
          <cell r="B1741" t="str">
            <v xml:space="preserve">4TB 7.2k LP 3.5 6G SATA DS HDD  </v>
          </cell>
          <cell r="C1741" t="str">
            <v>RAID 実効容量約</v>
          </cell>
        </row>
        <row r="1742">
          <cell r="A1742" t="str">
            <v>861686-B21</v>
          </cell>
          <cell r="B1742" t="str">
            <v xml:space="preserve">1TB 7.2k LP 3.5 6G SATA DS HDD  </v>
          </cell>
          <cell r="C1742" t="str">
            <v>RAID 実効容量約</v>
          </cell>
        </row>
        <row r="1743">
          <cell r="A1743" t="str">
            <v>861688-B21</v>
          </cell>
          <cell r="B1743" t="str">
            <v xml:space="preserve">3TB 7.2k LP 3.5 6G SATA DS HDD  </v>
          </cell>
          <cell r="C1743" t="str">
            <v>RAID 実効容量約</v>
          </cell>
        </row>
        <row r="1744">
          <cell r="A1744" t="str">
            <v>861691-B21</v>
          </cell>
          <cell r="B1744" t="str">
            <v xml:space="preserve">1TB 7.2k SC 3.5 6G SATA DS HDD  </v>
          </cell>
          <cell r="C1744" t="str">
            <v>RAID 実効容量約</v>
          </cell>
        </row>
        <row r="1745">
          <cell r="A1745" t="str">
            <v>861742-B21</v>
          </cell>
          <cell r="B1745" t="str">
            <v>6TB 7.2k LP 3.5 6G SATA 512e DS HDD</v>
          </cell>
          <cell r="C1745" t="str">
            <v>RAID 実効容量約</v>
          </cell>
        </row>
        <row r="1746">
          <cell r="A1746" t="str">
            <v>861744-B21</v>
          </cell>
          <cell r="B1746" t="str">
            <v>4TB 7.2k LP 3.5 6G SATA 512e DS HDD</v>
          </cell>
          <cell r="C1746" t="str">
            <v>RAID 実効容量約</v>
          </cell>
        </row>
        <row r="1747">
          <cell r="A1747" t="str">
            <v>861746-B21</v>
          </cell>
          <cell r="B1747" t="str">
            <v>6TB 7.2k LP 3.5 12G SAS 512e DS HDD</v>
          </cell>
          <cell r="C1747" t="str">
            <v>RAID 実効容量約</v>
          </cell>
        </row>
        <row r="1748">
          <cell r="A1748" t="str">
            <v>861748-B21</v>
          </cell>
          <cell r="B1748" t="str">
            <v>4TB 7.2k LP 3.5 12G SAS 512e DS HDD</v>
          </cell>
          <cell r="C1748" t="str">
            <v>RAID 実効容量約</v>
          </cell>
        </row>
        <row r="1749">
          <cell r="A1749" t="str">
            <v>861750-B21</v>
          </cell>
          <cell r="B1749" t="str">
            <v>6TB 7.2k SC 3.5 6G SATA 512e DS HDD</v>
          </cell>
          <cell r="C1749" t="str">
            <v>RAID 実効容量約</v>
          </cell>
        </row>
        <row r="1750">
          <cell r="A1750" t="str">
            <v>861754-B21</v>
          </cell>
          <cell r="B1750" t="str">
            <v>6TB 7.2k SC 3.5 12G SAS 512e DS HDD</v>
          </cell>
          <cell r="C1750" t="str">
            <v>RAID 実効容量約</v>
          </cell>
        </row>
        <row r="1751">
          <cell r="A1751" t="str">
            <v>861756-B21</v>
          </cell>
          <cell r="B1751" t="str">
            <v>4TB 7.2k SC 3.5 12G SAS 512e DS HDD</v>
          </cell>
          <cell r="C1751" t="str">
            <v>RAID 実効容量約</v>
          </cell>
        </row>
        <row r="1752">
          <cell r="A1752" t="str">
            <v>862974-B21</v>
          </cell>
          <cell r="B1752" t="str">
            <v>8GB 1Rx8 PC4-2400T-E Memory Kit</v>
          </cell>
          <cell r="C1752" t="str">
            <v>追加メモリ：計GB</v>
          </cell>
        </row>
        <row r="1753">
          <cell r="A1753" t="str">
            <v>862976-B21</v>
          </cell>
          <cell r="B1753" t="str">
            <v>16GB 2Rx8 PC4-2400T-E Memory Kit</v>
          </cell>
          <cell r="C1753" t="str">
            <v>追加メモリ：計GB</v>
          </cell>
        </row>
        <row r="1754">
          <cell r="A1754" t="str">
            <v>864279-B21</v>
          </cell>
          <cell r="B1754" t="str">
            <v>Trusted Platform Module (TPM) 2.0 option</v>
          </cell>
          <cell r="C1754" t="str">
            <v>業界標準規格 TPM 2.0 に準拠した小型セキュリティ チップ</v>
          </cell>
        </row>
        <row r="1755">
          <cell r="A1755" t="str">
            <v>865408-B21</v>
          </cell>
          <cell r="B1755" t="str">
            <v>500W FS Platinum LH パワーサプライ</v>
          </cell>
          <cell r="C1755" t="str">
            <v>電源冗長構成</v>
          </cell>
        </row>
        <row r="1756">
          <cell r="A1756" t="str">
            <v>865414-B21</v>
          </cell>
          <cell r="B1756" t="str">
            <v>800W FS Platinum LH パワーサプライ</v>
          </cell>
          <cell r="C1756" t="str">
            <v>電源冗長構成</v>
          </cell>
        </row>
        <row r="1757">
          <cell r="A1757" t="str">
            <v>865428-B21</v>
          </cell>
          <cell r="B1757" t="str">
            <v>800W FS LH パワーサプライ(高電圧)</v>
          </cell>
          <cell r="C1757" t="str">
            <v>電源冗長構成</v>
          </cell>
        </row>
        <row r="1758">
          <cell r="A1758" t="str">
            <v>865434-B21</v>
          </cell>
          <cell r="B1758" t="str">
            <v>800W FS DC-48V LH パワーサプライ</v>
          </cell>
          <cell r="C1758" t="str">
            <v>電源冗長構成</v>
          </cell>
        </row>
        <row r="1759">
          <cell r="A1759" t="str">
            <v>865438-B21</v>
          </cell>
          <cell r="B1759" t="str">
            <v>800W FS Titanium LH パワーサプライ</v>
          </cell>
          <cell r="C1759" t="str">
            <v>電源冗長構成</v>
          </cell>
        </row>
        <row r="1760">
          <cell r="A1760" t="str">
            <v>867707-B21</v>
          </cell>
          <cell r="B1760" t="str">
            <v>Ethernet 10Gb 2P 521T NIC</v>
          </cell>
          <cell r="C1760" t="str">
            <v>10Gbase-T x2ポート NICオプション</v>
          </cell>
        </row>
        <row r="1761">
          <cell r="A1761" t="str">
            <v>868814-B21</v>
          </cell>
          <cell r="B1761" t="str">
            <v>240GB RI SC 2.5 6G SATA DS SSD</v>
          </cell>
          <cell r="C1761" t="str">
            <v>RAID 実効容量約</v>
          </cell>
        </row>
        <row r="1762">
          <cell r="A1762" t="str">
            <v>868818-B21</v>
          </cell>
          <cell r="B1762" t="str">
            <v>480GB RI SC 2.5 6G SATA DS SSD</v>
          </cell>
          <cell r="C1762" t="str">
            <v>RAID 実効容量約</v>
          </cell>
        </row>
        <row r="1763">
          <cell r="A1763" t="str">
            <v>868822-B21</v>
          </cell>
          <cell r="B1763" t="str">
            <v>960GB RI SC 2.5 6G SATA DS SSD</v>
          </cell>
          <cell r="C1763" t="str">
            <v>RAID 実効容量約</v>
          </cell>
        </row>
        <row r="1764">
          <cell r="A1764" t="str">
            <v>868826-B21</v>
          </cell>
          <cell r="B1764" t="str">
            <v>1.92TB RI SC 2.5 6G SATA DS SSD</v>
          </cell>
          <cell r="C1764" t="str">
            <v>RAID 実効容量約</v>
          </cell>
        </row>
        <row r="1765">
          <cell r="A1765" t="str">
            <v>868830-B21</v>
          </cell>
          <cell r="B1765" t="str">
            <v>3.84TB RI SC 2.5 6G SATA DS SSD</v>
          </cell>
          <cell r="C1765" t="str">
            <v>RAID 実効容量約</v>
          </cell>
        </row>
        <row r="1766">
          <cell r="A1766" t="str">
            <v>869079-B21</v>
          </cell>
          <cell r="B1766" t="str">
            <v>Smartアレイ E208i-a SR LH Gen10</v>
          </cell>
          <cell r="C1766" t="str">
            <v>キャッシュ未搭載 HW RAIDコントローラー
※システム ボード上にドーターボード形式で搭載</v>
          </cell>
        </row>
        <row r="1767">
          <cell r="A1767" t="str">
            <v>869081-B21</v>
          </cell>
          <cell r="B1767" t="str">
            <v>Smartアレイ P408i-a SR LH Gen10</v>
          </cell>
          <cell r="C1767" t="str">
            <v>2GBキャッシュ付HW RAIDコントローラー
※システム ボード上にドーターボード形式で搭載</v>
          </cell>
        </row>
        <row r="1768">
          <cell r="A1768" t="str">
            <v>869083-B21</v>
          </cell>
          <cell r="B1768" t="str">
            <v>Smartアレイ P816i-a SR LH Gen10</v>
          </cell>
          <cell r="C1768" t="str">
            <v>4GBキャッシュ付HW RAIDコントローラー
※システム ボード上にドーターボード形式で搭載</v>
          </cell>
        </row>
        <row r="1769">
          <cell r="A1769" t="str">
            <v>869347-B21</v>
          </cell>
          <cell r="B1769" t="str">
            <v>10TB 7.2k Hotplug 3.5 12G SAS 512eHe HDD</v>
          </cell>
          <cell r="C1769" t="str">
            <v>RAID 実効容量約</v>
          </cell>
        </row>
        <row r="1770">
          <cell r="A1770" t="str">
            <v>870144-B21</v>
          </cell>
          <cell r="B1770" t="str">
            <v>7.68TB RI SC 2.5 12G SAS DS SSD</v>
          </cell>
          <cell r="C1770" t="str">
            <v>RAID 実効容量約</v>
          </cell>
        </row>
        <row r="1771">
          <cell r="A1771" t="str">
            <v>870148-B21</v>
          </cell>
          <cell r="B1771" t="str">
            <v>15.3TB RI SC 2.5 12G SAS DS SSD</v>
          </cell>
          <cell r="C1771" t="str">
            <v>RAID 実効容量約</v>
          </cell>
        </row>
        <row r="1772">
          <cell r="A1772" t="str">
            <v>870753-B21</v>
          </cell>
          <cell r="B1772" t="str">
            <v>300GB 15k SC 2.5 12G SAS DS HDD</v>
          </cell>
          <cell r="C1772" t="str">
            <v>RAID 実効容量約</v>
          </cell>
        </row>
        <row r="1773">
          <cell r="A1773" t="str">
            <v>870755-B21</v>
          </cell>
          <cell r="B1773" t="str">
            <v>300GB 15k LP 3.5 12G SAS DS HDD</v>
          </cell>
          <cell r="C1773" t="str">
            <v>RAID 実効容量約</v>
          </cell>
        </row>
        <row r="1774">
          <cell r="A1774" t="str">
            <v>870757-B21</v>
          </cell>
          <cell r="B1774" t="str">
            <v>600GB 15k SC 2.5 12G SAS DS HDD</v>
          </cell>
          <cell r="C1774" t="str">
            <v>RAID 実効容量約</v>
          </cell>
        </row>
        <row r="1775">
          <cell r="A1775" t="str">
            <v>870759-B21</v>
          </cell>
          <cell r="B1775" t="str">
            <v>900GB 15k SC 2.5 12G SAS DS HDD</v>
          </cell>
          <cell r="C1775" t="str">
            <v>RAID 実効容量約</v>
          </cell>
        </row>
        <row r="1776">
          <cell r="A1776" t="str">
            <v>870761-B21</v>
          </cell>
          <cell r="B1776" t="str">
            <v>900GB 15k LP 3.5 12G SAS DS HDD</v>
          </cell>
          <cell r="C1776" t="str">
            <v>RAID 実効容量約</v>
          </cell>
        </row>
        <row r="1777">
          <cell r="A1777" t="str">
            <v>870765-B21</v>
          </cell>
          <cell r="B1777" t="str">
            <v>900GB 15k SC 2.5 12G SAS 512e DS HDD</v>
          </cell>
          <cell r="C1777" t="str">
            <v>RAID 実効容量約</v>
          </cell>
        </row>
        <row r="1778">
          <cell r="A1778" t="str">
            <v>872344-B21</v>
          </cell>
          <cell r="B1778" t="str">
            <v>480GB MU SC 2.5 6G SATA DS SSD</v>
          </cell>
          <cell r="C1778" t="str">
            <v>RAID 実効容量約</v>
          </cell>
        </row>
        <row r="1779">
          <cell r="A1779" t="str">
            <v>872346-B21</v>
          </cell>
          <cell r="B1779" t="str">
            <v>480GB MU SC 3.5 6G SATA DS SSD</v>
          </cell>
          <cell r="C1779" t="str">
            <v>RAID 実効容量約</v>
          </cell>
        </row>
        <row r="1780">
          <cell r="A1780" t="str">
            <v>872348-B21</v>
          </cell>
          <cell r="B1780" t="str">
            <v>960GB MU SC 2.5 6G SATA DS SSD</v>
          </cell>
          <cell r="C1780" t="str">
            <v>RAID 実効容量約</v>
          </cell>
        </row>
        <row r="1781">
          <cell r="A1781" t="str">
            <v>872350-B21</v>
          </cell>
          <cell r="B1781" t="str">
            <v>960GB MU SC 3.5 6G SATA DS SSD</v>
          </cell>
          <cell r="C1781" t="str">
            <v>RAID 実効容量約</v>
          </cell>
        </row>
        <row r="1782">
          <cell r="A1782" t="str">
            <v>872352-B21</v>
          </cell>
          <cell r="B1782" t="str">
            <v>1.92TB MU SC 2.5 6G SATA DS SSD</v>
          </cell>
          <cell r="C1782" t="str">
            <v>RAID 実効容量約</v>
          </cell>
        </row>
        <row r="1783">
          <cell r="A1783" t="str">
            <v>872374-B21</v>
          </cell>
          <cell r="B1783" t="str">
            <v>400GB MU SC 2.5 12G SAS DS SSD</v>
          </cell>
          <cell r="C1783" t="str">
            <v>RAID 実効容量約</v>
          </cell>
        </row>
        <row r="1784">
          <cell r="A1784" t="str">
            <v>872376-B21</v>
          </cell>
          <cell r="B1784" t="str">
            <v>800GB MU SC 2.5 12G SAS DS SSD</v>
          </cell>
          <cell r="C1784" t="str">
            <v>RAID 実効容量約</v>
          </cell>
        </row>
        <row r="1785">
          <cell r="A1785" t="str">
            <v>872378-B21</v>
          </cell>
          <cell r="B1785" t="str">
            <v>800GB MU SC 3.5 12G SAS DS SSD</v>
          </cell>
          <cell r="C1785" t="str">
            <v>RAID 実効容量約</v>
          </cell>
        </row>
        <row r="1786">
          <cell r="A1786" t="str">
            <v>872380-B21</v>
          </cell>
          <cell r="B1786" t="str">
            <v>800GB MU LP 3.5 12G SAS DS SSD</v>
          </cell>
          <cell r="C1786" t="str">
            <v>RAID 実効容量約</v>
          </cell>
        </row>
        <row r="1787">
          <cell r="A1787" t="str">
            <v>872382-B21</v>
          </cell>
          <cell r="B1787" t="str">
            <v>1.6TB MU SC 2.5 12G SAS DS SSD</v>
          </cell>
          <cell r="C1787" t="str">
            <v>RAID 実効容量約</v>
          </cell>
        </row>
        <row r="1788">
          <cell r="A1788" t="str">
            <v>872384-B21</v>
          </cell>
          <cell r="B1788" t="str">
            <v>1.6TB MU LP 3.5 12G SAS DS SSD</v>
          </cell>
          <cell r="C1788" t="str">
            <v>RAID 実効容量約</v>
          </cell>
        </row>
        <row r="1789">
          <cell r="A1789" t="str">
            <v>872386-B21</v>
          </cell>
          <cell r="B1789" t="str">
            <v>3.2TB MU SC 2.5 12G SAS DS SSD</v>
          </cell>
          <cell r="C1789" t="str">
            <v>RAID 実効容量約</v>
          </cell>
        </row>
        <row r="1790">
          <cell r="A1790" t="str">
            <v>872390-B21</v>
          </cell>
          <cell r="B1790" t="str">
            <v>960GB RI SC 2.5 12G SAS DS SSD</v>
          </cell>
          <cell r="C1790" t="str">
            <v>RAID 実効容量約</v>
          </cell>
        </row>
        <row r="1791">
          <cell r="A1791" t="str">
            <v>872392-B21</v>
          </cell>
          <cell r="B1791" t="str">
            <v>1.92TB RI SC 2.5 12G SAS DS SSD</v>
          </cell>
          <cell r="C1791" t="str">
            <v>RAID 実効容量約</v>
          </cell>
        </row>
        <row r="1792">
          <cell r="A1792" t="str">
            <v>872394-B21</v>
          </cell>
          <cell r="B1792" t="str">
            <v>3.84TB RI SC 2.5 12G SAS DS SSD</v>
          </cell>
          <cell r="C1792" t="str">
            <v>RAID 実効容量約</v>
          </cell>
        </row>
        <row r="1793">
          <cell r="A1793" t="str">
            <v>872475-B21</v>
          </cell>
          <cell r="B1793" t="str">
            <v>300GB 10k SC 2.5 12G SAS DS HDD</v>
          </cell>
          <cell r="C1793" t="str">
            <v>RAID 実効容量約</v>
          </cell>
        </row>
        <row r="1794">
          <cell r="A1794" t="str">
            <v>872477-B21</v>
          </cell>
          <cell r="B1794" t="str">
            <v>600GB 10k SC 2.5 12G SAS DS HDD</v>
          </cell>
          <cell r="C1794" t="str">
            <v>RAID 実効容量約</v>
          </cell>
        </row>
        <row r="1795">
          <cell r="A1795" t="str">
            <v>872479-B21</v>
          </cell>
          <cell r="B1795" t="str">
            <v>1.2TB 10k SC 2.5 12G SAS DS HDD</v>
          </cell>
          <cell r="C1795" t="str">
            <v>RAID 実効容量約</v>
          </cell>
        </row>
        <row r="1796">
          <cell r="A1796" t="str">
            <v>872481-B21</v>
          </cell>
          <cell r="B1796" t="str">
            <v>1.8TB 10k SC 2.5 12G SAS 512e DS HDD</v>
          </cell>
          <cell r="C1796" t="str">
            <v>RAID 実効容量約</v>
          </cell>
        </row>
        <row r="1797">
          <cell r="A1797" t="str">
            <v>872485-B21</v>
          </cell>
          <cell r="B1797" t="str">
            <v xml:space="preserve">2TB 7.2k SC 3.5 12G SAS DS HDD  </v>
          </cell>
          <cell r="C1797" t="str">
            <v>RAID 実効容量約</v>
          </cell>
        </row>
        <row r="1798">
          <cell r="A1798" t="str">
            <v>872487-B21</v>
          </cell>
          <cell r="B1798" t="str">
            <v xml:space="preserve">4TB 7.2k SC 3.5 12G SAS DS HDD  </v>
          </cell>
          <cell r="C1798" t="str">
            <v>RAID 実効容量約</v>
          </cell>
        </row>
        <row r="1799">
          <cell r="A1799" t="str">
            <v>872489-B21</v>
          </cell>
          <cell r="B1799" t="str">
            <v xml:space="preserve">2TB 7.2k SC 3.5 6G SATA DS HDD  </v>
          </cell>
          <cell r="C1799" t="str">
            <v>RAID 実効容量約</v>
          </cell>
        </row>
        <row r="1800">
          <cell r="A1800" t="str">
            <v>872491-B21</v>
          </cell>
          <cell r="B1800" t="str">
            <v xml:space="preserve">4TB 7.2k SC 3.5 6G SATA DS HDD  </v>
          </cell>
          <cell r="C1800" t="str">
            <v>RAID 実効容量約</v>
          </cell>
        </row>
        <row r="1801">
          <cell r="A1801" t="str">
            <v>873351-B21</v>
          </cell>
          <cell r="B1801" t="str">
            <v>400GB WI SC 2.5 12G SAS DS SSD</v>
          </cell>
          <cell r="C1801" t="str">
            <v>RAID 実効容量約</v>
          </cell>
        </row>
        <row r="1802">
          <cell r="A1802" t="str">
            <v>873355-B21</v>
          </cell>
          <cell r="B1802" t="str">
            <v>800GB WI SC 2.5 12G SAS DS SSD</v>
          </cell>
          <cell r="C1802" t="str">
            <v>RAID 実効容量約</v>
          </cell>
        </row>
        <row r="1803">
          <cell r="A1803" t="str">
            <v>873357-B21</v>
          </cell>
          <cell r="B1803" t="str">
            <v xml:space="preserve">1.6TB WI SC 2.5 12G SAS DS SSD  </v>
          </cell>
          <cell r="C1803" t="str">
            <v>RAID 実効容量約</v>
          </cell>
        </row>
        <row r="1804">
          <cell r="A1804" t="str">
            <v>873359-B21</v>
          </cell>
          <cell r="B1804" t="str">
            <v>400GB MU SC 2.5 12G SAS DS SSD</v>
          </cell>
          <cell r="C1804" t="str">
            <v>RAID 実効容量約</v>
          </cell>
        </row>
        <row r="1805">
          <cell r="A1805" t="str">
            <v>873363-B21</v>
          </cell>
          <cell r="B1805" t="str">
            <v>800GB MU SC 2.5 12G SAS DS SSD</v>
          </cell>
          <cell r="C1805" t="str">
            <v>RAID 実効容量約</v>
          </cell>
        </row>
        <row r="1806">
          <cell r="A1806" t="str">
            <v>873365-B21</v>
          </cell>
          <cell r="B1806" t="str">
            <v>1.6TB MU SC 2.5 12G SAS DS SSD</v>
          </cell>
          <cell r="C1806" t="str">
            <v>RAID 実効容量約</v>
          </cell>
        </row>
        <row r="1807">
          <cell r="A1807" t="str">
            <v>873367-B21</v>
          </cell>
          <cell r="B1807" t="str">
            <v>3.2TB MU SC 2.5 12G SAS DS SSD</v>
          </cell>
          <cell r="C1807" t="str">
            <v>RAID 実効容量約</v>
          </cell>
        </row>
        <row r="1808">
          <cell r="A1808" t="str">
            <v>874009-B21</v>
          </cell>
          <cell r="B1808" t="str">
            <v xml:space="preserve">550W パワーサプライ </v>
          </cell>
          <cell r="C1808" t="str">
            <v>パワーサプライオプション (標準搭載のパワーサプライと交換)</v>
          </cell>
        </row>
        <row r="1809">
          <cell r="A1809" t="str">
            <v>874543-B21</v>
          </cell>
          <cell r="B1809" t="str">
            <v>1U Gen10 SFF Easy Installラックレール</v>
          </cell>
          <cell r="C1809" t="str">
            <v>ラックレールキット</v>
          </cell>
        </row>
        <row r="1810">
          <cell r="A1810" t="str">
            <v>875238-B21</v>
          </cell>
          <cell r="B1810" t="str">
            <v>BL用 Smartストレージバッテリー12W</v>
          </cell>
          <cell r="C1810" t="str">
            <v>Smart アレイ P シリーズ コントローラー使用時に必要</v>
          </cell>
        </row>
        <row r="1811">
          <cell r="A1811" t="str">
            <v>875241-B21</v>
          </cell>
          <cell r="B1811" t="str">
            <v>Smartストレージバッテリー 96W 145mm</v>
          </cell>
          <cell r="C1811" t="str">
            <v>Smart アレイ P シリーズ コントローラー使用時に必要</v>
          </cell>
        </row>
        <row r="1812">
          <cell r="A1812" t="str">
            <v>875311-B21</v>
          </cell>
          <cell r="B1812" t="str">
            <v>480GB RI SC 2.5 12G SAS DS SSD</v>
          </cell>
          <cell r="C1812" t="str">
            <v>RAID 実効容量約</v>
          </cell>
        </row>
        <row r="1813">
          <cell r="A1813" t="str">
            <v>875313-B21</v>
          </cell>
          <cell r="B1813" t="str">
            <v>960GB RI SC 2.5 12G SAS DS SSD</v>
          </cell>
          <cell r="C1813" t="str">
            <v>RAID 実効容量約</v>
          </cell>
        </row>
        <row r="1814">
          <cell r="A1814" t="str">
            <v>875317-B21</v>
          </cell>
          <cell r="B1814" t="str">
            <v>150GB RI DS ソリッドステートM.2 2280 kit</v>
          </cell>
          <cell r="C1814" t="str">
            <v>150GB RI DS ソリッドステート M.2 2280 キット</v>
          </cell>
        </row>
        <row r="1815">
          <cell r="A1815" t="str">
            <v>875319-B21</v>
          </cell>
          <cell r="B1815" t="str">
            <v>480GB RI DS ソリッドステートM.2 2280 kit</v>
          </cell>
          <cell r="C1815" t="str">
            <v>480GB RI DS ソリッドステート M.2 2280 キット</v>
          </cell>
        </row>
        <row r="1816">
          <cell r="A1816" t="str">
            <v>875326-B21</v>
          </cell>
          <cell r="B1816" t="str">
            <v xml:space="preserve">1.92TB RI SC 2.5 12G SAS DS SSD  </v>
          </cell>
          <cell r="C1816" t="str">
            <v>RAID 実効容量約</v>
          </cell>
        </row>
        <row r="1817">
          <cell r="A1817" t="str">
            <v>875330-B21</v>
          </cell>
          <cell r="B1817" t="str">
            <v>3.84TB RI SC 2.5 12G SAS DS SSD</v>
          </cell>
          <cell r="C1817" t="str">
            <v>RAID 実効容量約</v>
          </cell>
        </row>
        <row r="1818">
          <cell r="A1818" t="str">
            <v>875470-B21</v>
          </cell>
          <cell r="B1818" t="str">
            <v>480GB MU SC 2.5 6G SATA DS SSD</v>
          </cell>
          <cell r="C1818" t="str">
            <v>RAID 実効容量約</v>
          </cell>
        </row>
        <row r="1819">
          <cell r="A1819" t="str">
            <v>875474-B21</v>
          </cell>
          <cell r="B1819" t="str">
            <v>960GB MU SC 2.5 6G SATA DS SSD</v>
          </cell>
          <cell r="C1819" t="str">
            <v>RAID 実効容量約</v>
          </cell>
        </row>
        <row r="1820">
          <cell r="A1820" t="str">
            <v>875478-B21</v>
          </cell>
          <cell r="B1820" t="str">
            <v>1.92TB MU SC 2.5 6G SATA DS SSD</v>
          </cell>
          <cell r="C1820" t="str">
            <v>RAID 実効容量約</v>
          </cell>
        </row>
        <row r="1821">
          <cell r="A1821" t="str">
            <v>875480-B21</v>
          </cell>
          <cell r="B1821" t="str">
            <v>1.92TB MU SC 3.5 6G SATA DS SSD</v>
          </cell>
          <cell r="C1821" t="str">
            <v>RAID 実効容量約</v>
          </cell>
        </row>
        <row r="1822">
          <cell r="A1822" t="str">
            <v>875483-B21</v>
          </cell>
          <cell r="B1822" t="str">
            <v>240GB MU SC 2.5 6G SATA DS SSD</v>
          </cell>
          <cell r="C1822" t="str">
            <v>RAID 実効容量約</v>
          </cell>
        </row>
        <row r="1823">
          <cell r="A1823" t="str">
            <v>875488-B21</v>
          </cell>
          <cell r="B1823" t="str">
            <v>240GB MU DS ソリッドステートM.2 2280 kit</v>
          </cell>
          <cell r="C1823" t="str">
            <v>240GB MU DS ソリッドステート M.2 2280 キット</v>
          </cell>
        </row>
        <row r="1824">
          <cell r="A1824" t="str">
            <v>875490-B21</v>
          </cell>
          <cell r="B1824" t="str">
            <v>480GB MU DS ソリッドステートM.2 2280 kit</v>
          </cell>
          <cell r="C1824" t="str">
            <v>480GB MU DS ソリッドステート M.2 2280 キット</v>
          </cell>
        </row>
        <row r="1825">
          <cell r="A1825" t="str">
            <v>875492-B21</v>
          </cell>
          <cell r="B1825" t="str">
            <v>960GB MU DS ソリッドステートM.2 2280 kit</v>
          </cell>
          <cell r="C1825" t="str">
            <v xml:space="preserve">960GB MU DS ソリッドステート M.2 2280 キット </v>
          </cell>
        </row>
        <row r="1826">
          <cell r="A1826" t="str">
            <v>875498-B21</v>
          </cell>
          <cell r="B1826" t="str">
            <v>480GB RI DS ソリッドステートM.2 2280 kit</v>
          </cell>
          <cell r="C1826" t="str">
            <v>480GB RI DS ソリッドステート M.2 2280 キット</v>
          </cell>
        </row>
        <row r="1827">
          <cell r="A1827" t="str">
            <v>875500-B21</v>
          </cell>
          <cell r="B1827" t="str">
            <v>960GB RI DS ソリッドステートM.2 2280 kit</v>
          </cell>
          <cell r="C1827" t="str">
            <v>960GB RI DS ソリッドステート M.2 2280 キット</v>
          </cell>
        </row>
        <row r="1828">
          <cell r="A1828" t="str">
            <v>875503-B21</v>
          </cell>
          <cell r="B1828" t="str">
            <v>240GB RI SC 2.5 6G SATA DS SSD</v>
          </cell>
          <cell r="C1828" t="str">
            <v>RAID 実効容量約</v>
          </cell>
        </row>
        <row r="1829">
          <cell r="A1829" t="str">
            <v>875507-B21</v>
          </cell>
          <cell r="B1829" t="str">
            <v xml:space="preserve">240GB RI NHP 2.5 6G SATA DS SSD  </v>
          </cell>
          <cell r="C1829" t="str">
            <v>RAID 実効容量約</v>
          </cell>
        </row>
        <row r="1830">
          <cell r="A1830" t="str">
            <v>875509-B21</v>
          </cell>
          <cell r="B1830" t="str">
            <v>480GB RI SC 2.5 6G SATA DS SSD</v>
          </cell>
          <cell r="C1830" t="str">
            <v>RAID 実効容量約</v>
          </cell>
        </row>
        <row r="1831">
          <cell r="A1831" t="str">
            <v>875511-B21</v>
          </cell>
          <cell r="B1831" t="str">
            <v xml:space="preserve">960GB RI SC 2.5 6G SATA DS SSD </v>
          </cell>
          <cell r="C1831" t="str">
            <v>RAID 実効容量約</v>
          </cell>
        </row>
        <row r="1832">
          <cell r="A1832" t="str">
            <v>875513-B21</v>
          </cell>
          <cell r="B1832" t="str">
            <v xml:space="preserve">1.92TB RI SC 2.5 6G SATA DS SSD </v>
          </cell>
          <cell r="C1832" t="str">
            <v>RAID 実効容量約</v>
          </cell>
        </row>
        <row r="1833">
          <cell r="A1833" t="str">
            <v>875587-B21</v>
          </cell>
          <cell r="B1833" t="str">
            <v>480GB RI SC2 2.5型 NVMe DS ドライブ</v>
          </cell>
          <cell r="C1833" t="str">
            <v>OSディスクとしての利用は出来ません。また、OS上のソフトウェアRAIDのみサポートとなります。</v>
          </cell>
        </row>
        <row r="1834">
          <cell r="A1834" t="str">
            <v>875589-B21</v>
          </cell>
          <cell r="B1834" t="str">
            <v>960GB RI SC2 2.5型 NVMe DS ドライブ</v>
          </cell>
          <cell r="C1834" t="str">
            <v>OSディスクとしての利用は出来ません。また、OS上のソフトウェアRAIDのみサポートとなります。</v>
          </cell>
        </row>
        <row r="1835">
          <cell r="A1835" t="str">
            <v>875591-B21</v>
          </cell>
          <cell r="B1835" t="str">
            <v>1.92TB RI SC2 2.5型 NVMe DS ドライブ</v>
          </cell>
          <cell r="C1835" t="str">
            <v>OSディスクとしての利用は出来ません。また、OS上のソフトウェアRAIDのみサポートとなります。</v>
          </cell>
        </row>
        <row r="1836">
          <cell r="A1836" t="str">
            <v>875593-B21</v>
          </cell>
          <cell r="B1836" t="str">
            <v>400GB MU SC2 2.5型 NVMe DS ドライブ</v>
          </cell>
          <cell r="C1836" t="str">
            <v>OSディスクとしての利用は出来ません。また、OS上のソフトウェアRAIDのみサポートとなります。</v>
          </cell>
        </row>
        <row r="1837">
          <cell r="A1837" t="str">
            <v>875595-B21</v>
          </cell>
          <cell r="B1837" t="str">
            <v>800GB MU SC2 2.5型 NVMe DS ドライブ</v>
          </cell>
          <cell r="C1837" t="str">
            <v>OSディスクとしての利用は出来ません。また、OS上のソフトウェアRAIDのみサポートとなります。</v>
          </cell>
        </row>
        <row r="1838">
          <cell r="A1838" t="str">
            <v>875597-B21</v>
          </cell>
          <cell r="B1838" t="str">
            <v>1.6TB MU SC2 2.5型 NVMe DS ドライブ</v>
          </cell>
          <cell r="C1838" t="str">
            <v>OSディスクとしての利用は出来ません。また、OS上のソフトウェアRAIDのみサポートとなります。</v>
          </cell>
        </row>
        <row r="1839">
          <cell r="A1839" t="str">
            <v>876181-B21</v>
          </cell>
          <cell r="B1839" t="str">
            <v>8GB 2Rx8 PC4-2666V-R Smartメモリキット</v>
          </cell>
          <cell r="C1839" t="str">
            <v>追加メモリ：計GB</v>
          </cell>
        </row>
        <row r="1840">
          <cell r="A1840" t="str">
            <v>877740-B21</v>
          </cell>
          <cell r="B1840" t="str">
            <v>240GB RI SC 2.5 6G SATA DS SSD</v>
          </cell>
          <cell r="C1840" t="str">
            <v>RAID 実効容量約</v>
          </cell>
        </row>
        <row r="1841">
          <cell r="A1841" t="str">
            <v>877746-B21</v>
          </cell>
          <cell r="B1841" t="str">
            <v>480GB RI SC 2.5 6G SATA DS SSD</v>
          </cell>
          <cell r="C1841" t="str">
            <v>RAID 実効容量約</v>
          </cell>
        </row>
        <row r="1842">
          <cell r="A1842" t="str">
            <v>877748-B21</v>
          </cell>
          <cell r="B1842" t="str">
            <v>480GB RI SC 3.5 6G SATA DS SSD</v>
          </cell>
          <cell r="C1842" t="str">
            <v>RAID 実効容量約</v>
          </cell>
        </row>
        <row r="1843">
          <cell r="A1843" t="str">
            <v>877752-B21</v>
          </cell>
          <cell r="B1843" t="str">
            <v>960GB RI SC 2.5 6G SATA DS SSD</v>
          </cell>
          <cell r="C1843" t="str">
            <v>RAID 実効容量約</v>
          </cell>
        </row>
        <row r="1844">
          <cell r="A1844" t="str">
            <v>877754-B21</v>
          </cell>
          <cell r="B1844" t="str">
            <v>960GB RI SC 3.5 6G SATA DS SSD</v>
          </cell>
          <cell r="C1844" t="str">
            <v>RAID 実効容量約</v>
          </cell>
        </row>
        <row r="1845">
          <cell r="A1845" t="str">
            <v>877756-B21</v>
          </cell>
          <cell r="B1845" t="str">
            <v>960GB RI LP 3.5 6G SATA DS SSD</v>
          </cell>
          <cell r="C1845" t="str">
            <v>RAID 実効容量約</v>
          </cell>
        </row>
        <row r="1846">
          <cell r="A1846" t="str">
            <v>877758-B21</v>
          </cell>
          <cell r="B1846" t="str">
            <v>1.92TB RI SC 2.5 6G SATA DS SSD</v>
          </cell>
          <cell r="C1846" t="str">
            <v>RAID 実効容量約</v>
          </cell>
        </row>
        <row r="1847">
          <cell r="A1847" t="str">
            <v>877760-B21</v>
          </cell>
          <cell r="B1847" t="str">
            <v>1.92TB RI SC 3.5 6G SATA DS SSD</v>
          </cell>
          <cell r="C1847" t="str">
            <v>RAID 実効容量約</v>
          </cell>
        </row>
        <row r="1848">
          <cell r="A1848" t="str">
            <v>877762-B21</v>
          </cell>
          <cell r="B1848" t="str">
            <v>1.92TB RI LP 3.5 6G SATA DS SSD</v>
          </cell>
          <cell r="C1848" t="str">
            <v>RAID 実効容量約</v>
          </cell>
        </row>
        <row r="1849">
          <cell r="A1849" t="str">
            <v>877764-B21</v>
          </cell>
          <cell r="B1849" t="str">
            <v>3.84TB RI SC 2.5 6G SATA DS SSD</v>
          </cell>
          <cell r="C1849" t="str">
            <v>RAID 実効容量約</v>
          </cell>
        </row>
        <row r="1850">
          <cell r="A1850" t="str">
            <v>877776-B21</v>
          </cell>
          <cell r="B1850" t="str">
            <v>480GB MU SC 2.5 6G SATA DS SSD</v>
          </cell>
          <cell r="C1850" t="str">
            <v>RAID 実効容量約</v>
          </cell>
        </row>
        <row r="1851">
          <cell r="A1851" t="str">
            <v>877782-B21</v>
          </cell>
          <cell r="B1851" t="str">
            <v>960GB MU SC 2.5 6G SATA DS SSD</v>
          </cell>
          <cell r="C1851" t="str">
            <v>RAID 実効容量約</v>
          </cell>
        </row>
        <row r="1852">
          <cell r="A1852" t="str">
            <v>877784-B21</v>
          </cell>
          <cell r="B1852" t="str">
            <v>960GB MU SC 3.5 6G SATA DS SSD</v>
          </cell>
          <cell r="C1852" t="str">
            <v>RAID 実効容量約</v>
          </cell>
        </row>
        <row r="1853">
          <cell r="A1853" t="str">
            <v>877788-B21</v>
          </cell>
          <cell r="B1853" t="str">
            <v>1.92TB MU SC 2.5 6G SATA DS SSD</v>
          </cell>
          <cell r="C1853" t="str">
            <v>RAID 実効容量約</v>
          </cell>
        </row>
        <row r="1854">
          <cell r="A1854" t="str">
            <v>877790-B21</v>
          </cell>
          <cell r="B1854" t="str">
            <v>1.92TB MU SC 3.5 6G SATA DS SSD</v>
          </cell>
          <cell r="C1854" t="str">
            <v>RAID 実効容量約</v>
          </cell>
        </row>
        <row r="1855">
          <cell r="A1855" t="str">
            <v>877825-B21</v>
          </cell>
          <cell r="B1855" t="str">
            <v>1.6TB MU NVMe DS PCIe x8 カード</v>
          </cell>
          <cell r="C1855" t="str">
            <v>RAID 実効容量約</v>
          </cell>
        </row>
        <row r="1856">
          <cell r="A1856" t="str">
            <v>877827-B21</v>
          </cell>
          <cell r="B1856" t="str">
            <v>3.2TB MU NVMe DS PCIe x8 カード</v>
          </cell>
          <cell r="C1856" t="str">
            <v>RAID 実効容量約</v>
          </cell>
        </row>
        <row r="1857">
          <cell r="A1857" t="str">
            <v>877829-B21</v>
          </cell>
          <cell r="B1857" t="str">
            <v>6.4TB MU NVMe DS PCIe x8 カード</v>
          </cell>
          <cell r="C1857" t="str">
            <v>RAID 実効容量約</v>
          </cell>
        </row>
        <row r="1858">
          <cell r="A1858" t="str">
            <v>877831-B21</v>
          </cell>
          <cell r="B1858" t="str">
            <v>4TB RI NVMe DS PCIe x4 カード</v>
          </cell>
          <cell r="C1858" t="str">
            <v>RAID 実効容量約</v>
          </cell>
        </row>
        <row r="1859">
          <cell r="A1859" t="str">
            <v>877984-B21</v>
          </cell>
          <cell r="B1859" t="str">
            <v>1TB RI SC2 2.5 NVMe DS ドライブ</v>
          </cell>
          <cell r="C1859" t="str">
            <v>RAID 実効容量約</v>
          </cell>
        </row>
        <row r="1860">
          <cell r="A1860" t="str">
            <v>877986-B21</v>
          </cell>
          <cell r="B1860" t="str">
            <v>2TB RI SC2 2.5 NVMe DS ドライブ</v>
          </cell>
          <cell r="C1860" t="str">
            <v>RAID 実効容量約</v>
          </cell>
        </row>
        <row r="1861">
          <cell r="A1861" t="str">
            <v>877988-B21</v>
          </cell>
          <cell r="B1861" t="str">
            <v>4TB RI SC2 2.5 NVMe DS ドライブ</v>
          </cell>
          <cell r="C1861" t="str">
            <v>RAID 実効容量約</v>
          </cell>
        </row>
        <row r="1862">
          <cell r="A1862" t="str">
            <v>877994-B21</v>
          </cell>
          <cell r="B1862" t="str">
            <v>1.6TB MU SC2 2.5 NVMe DS ドライブ</v>
          </cell>
          <cell r="C1862" t="str">
            <v>RAID 実効容量約</v>
          </cell>
        </row>
        <row r="1863">
          <cell r="A1863" t="str">
            <v>877998-B21</v>
          </cell>
          <cell r="B1863" t="str">
            <v>3.2TB MU SC2 2.5 NVMe DS ドライブ</v>
          </cell>
          <cell r="C1863" t="str">
            <v>RAID 実効容量約</v>
          </cell>
        </row>
        <row r="1864">
          <cell r="A1864" t="str">
            <v>878783-B21</v>
          </cell>
          <cell r="B1864" t="str">
            <v>ユニバーサル ソリッドステートM.2キット</v>
          </cell>
          <cell r="C1864" t="str">
            <v>RAID 実効容量約</v>
          </cell>
        </row>
        <row r="1865">
          <cell r="A1865" t="str">
            <v>880295-B21</v>
          </cell>
          <cell r="B1865" t="str">
            <v>240GB MU SC 2.5 6G SATA DS SSD</v>
          </cell>
          <cell r="C1865" t="str">
            <v>RAID 実効容量約</v>
          </cell>
        </row>
        <row r="1866">
          <cell r="A1866" t="str">
            <v>880875-B21</v>
          </cell>
          <cell r="B1866" t="str">
            <v>2x150GB RI SCM 2.5 6G SATA DS M.2 SSD</v>
          </cell>
          <cell r="C1866" t="str">
            <v>150GB 6G SATA RI SCM SSD を 2 台搭載</v>
          </cell>
        </row>
        <row r="1867">
          <cell r="A1867" t="str">
            <v>880877-B21</v>
          </cell>
          <cell r="B1867" t="str">
            <v>2x480GB RI SCM 2.5 6G SATA DS M.2 SSD</v>
          </cell>
          <cell r="C1867" t="str">
            <v>480GB 6G SATA RI SCM SSD を 2 台搭載</v>
          </cell>
        </row>
        <row r="1868">
          <cell r="A1868" t="str">
            <v>881457-B21</v>
          </cell>
          <cell r="B1868" t="str">
            <v>2.4TB 10k SC 2.5 12G SAS 512e DS HDD</v>
          </cell>
          <cell r="C1868" t="str">
            <v>RAID 実効容量約</v>
          </cell>
        </row>
        <row r="1869">
          <cell r="A1869" t="str">
            <v>881779-B21</v>
          </cell>
          <cell r="B1869" t="str">
            <v>12TB 7.2k SC 3.5 12G SAS 512e He DS HDD</v>
          </cell>
          <cell r="C1869" t="str">
            <v>RAID 実効容量約</v>
          </cell>
        </row>
        <row r="1870">
          <cell r="A1870" t="str">
            <v>881781-B21</v>
          </cell>
          <cell r="B1870" t="str">
            <v>12TB 7.2k LP 3.5 12G SAS 512e He DS HDD</v>
          </cell>
          <cell r="C1870" t="str">
            <v>RAID 実効容量約</v>
          </cell>
        </row>
        <row r="1871">
          <cell r="A1871" t="str">
            <v>881783-B21</v>
          </cell>
          <cell r="B1871" t="str">
            <v>12TB 7.2k HP 3.5 12G SAS 512e He DS HDD</v>
          </cell>
          <cell r="C1871" t="str">
            <v>RAID 実効容量約</v>
          </cell>
        </row>
        <row r="1872">
          <cell r="A1872" t="str">
            <v>881785-B21</v>
          </cell>
          <cell r="B1872" t="str">
            <v>12TB 7.2k SC 3.5 6G SATA 512e He DS HDD</v>
          </cell>
          <cell r="C1872" t="str">
            <v>RAID 実効容量約</v>
          </cell>
        </row>
        <row r="1873">
          <cell r="A1873" t="str">
            <v>881787-B21</v>
          </cell>
          <cell r="B1873" t="str">
            <v>12TB 7.2k LP 3.5 6G SATA 512e He DS HDD</v>
          </cell>
          <cell r="C1873" t="str">
            <v>RAID 実効容量約</v>
          </cell>
        </row>
        <row r="1874">
          <cell r="A1874" t="str">
            <v>A0K02A</v>
          </cell>
          <cell r="B1874" t="str">
            <v>C13-14 電源ケーブル (2m、ブラック)</v>
          </cell>
          <cell r="C1874" t="str">
            <v>200V電源ケーブル</v>
          </cell>
        </row>
        <row r="1875">
          <cell r="A1875" t="str">
            <v>A0K03A</v>
          </cell>
          <cell r="B1875" t="str">
            <v>C13-14 電源ケーブル (0.7m、グレー)</v>
          </cell>
          <cell r="C1875" t="str">
            <v>200V電源ケーブル</v>
          </cell>
        </row>
        <row r="1876">
          <cell r="A1876" t="str">
            <v>A0K04A</v>
          </cell>
          <cell r="B1876" t="str">
            <v>C13-14 電源ケーブル (1.37m、グレー)</v>
          </cell>
          <cell r="C1876" t="str">
            <v>200V電源ケーブル</v>
          </cell>
        </row>
        <row r="1877">
          <cell r="A1877" t="str">
            <v>A0K06A</v>
          </cell>
          <cell r="B1877" t="str">
            <v>C13-14 電源ケーブル (3m、グレー)</v>
          </cell>
          <cell r="C1877" t="str">
            <v>200V電源ケーブル</v>
          </cell>
        </row>
        <row r="1878">
          <cell r="A1878" t="str">
            <v>A0N33A</v>
          </cell>
          <cell r="B1878" t="str">
            <v>200V電源コードオプション</v>
          </cell>
          <cell r="C1878" t="str">
            <v>200V電源ケーブル(3.6m NEMA 6-15P)</v>
          </cell>
        </row>
        <row r="1879">
          <cell r="A1879" t="str">
            <v>AF076A</v>
          </cell>
          <cell r="B1879" t="str">
            <v>ラック固定キット</v>
          </cell>
          <cell r="C1879" t="str">
            <v>転倒防止および耐震固定用キット
※ラックの前面と背面に取り付け、床面とボルト止めするための固定金具キット</v>
          </cell>
        </row>
        <row r="1880">
          <cell r="A1880" t="str">
            <v>AF099A</v>
          </cell>
          <cell r="B1880" t="str">
            <v>ケーブルマネジメント ブラケットキット</v>
          </cell>
          <cell r="C1880" t="str">
            <v>ラック前面への配線用のパネル 1U および 2U のケーブル マネージメントブラケットとラック内のケーブル整理金具・ストラップのセット
・D リング ブラケット 10 個
・クロスオーバー ブラケット 2 個
・ケーブル固定用ストラップ 30cm 10 本
・ケーブル固定用クリップ付きストラップ 20.3cm 10 本</v>
          </cell>
        </row>
        <row r="1881">
          <cell r="A1881" t="str">
            <v>AF400A</v>
          </cell>
          <cell r="B1881" t="str">
            <v>PDU マネジメントモジュール</v>
          </cell>
          <cell r="C1881" t="str">
            <v>Smart PDU の電流の状態を、シリアル接続、またはネットワークのリモート接続(ブラウザアクセス)により監視、通知(SNMP トラップ)できるオプション</v>
          </cell>
        </row>
        <row r="1882">
          <cell r="A1882" t="str">
            <v>AF401A</v>
          </cell>
          <cell r="B1882" t="str">
            <v>UPSマネジメントモジュール</v>
          </cell>
          <cell r="C1882" t="str">
            <v>-</v>
          </cell>
        </row>
        <row r="1883">
          <cell r="A1883" t="str">
            <v>AF402A</v>
          </cell>
          <cell r="B1883" t="str">
            <v>UPSマネジメントモジュール用アダプタ</v>
          </cell>
          <cell r="C1883" t="str">
            <v>-</v>
          </cell>
        </row>
        <row r="1884">
          <cell r="A1884" t="str">
            <v>AF460A</v>
          </cell>
          <cell r="B1884" t="str">
            <v>HP UPS R5000</v>
          </cell>
          <cell r="C1884" t="str">
            <v>5000VA/4500W (定格入力電圧 AC200V、入力プラグ NEMA L6-30P)
※出力コンセント：IEC320 C13×4、IEC320 C19×4、NEMA L6-30R×1</v>
          </cell>
        </row>
        <row r="1885">
          <cell r="A1885" t="str">
            <v>AF462A</v>
          </cell>
          <cell r="B1885" t="str">
            <v>HP UPS R7000</v>
          </cell>
          <cell r="C1885" t="str">
            <v>7200VA/7200W (定格入力電圧 AC200V、定格入力電流 40A入力プラグ Non NEMA CS8265C 50A プラグ)
※出力コンセント：IEC320 C19×6、NEMA L6-30R×2</v>
          </cell>
        </row>
        <row r="1886">
          <cell r="A1886" t="str">
            <v>AF464A</v>
          </cell>
          <cell r="B1886" t="str">
            <v>拡張ランタイムモジュール</v>
          </cell>
          <cell r="C1886" t="str">
            <v>追加バッテリ モジュール</v>
          </cell>
        </row>
        <row r="1887">
          <cell r="A1887" t="str">
            <v>AF465A</v>
          </cell>
          <cell r="B1887" t="str">
            <v>HP UPSネットワークモジュール</v>
          </cell>
          <cell r="C1887" t="str">
            <v>UPS 管理ソフトウェアが組み込まれたオプション カード
※LAN 経由で UPS の設定、監視、管理が可能</v>
          </cell>
        </row>
        <row r="1888">
          <cell r="A1888" t="str">
            <v>AF520A</v>
          </cell>
          <cell r="B1888" t="str">
            <v>HPインテリジェントPDU(24A)</v>
          </cell>
          <cell r="C1888" t="str">
            <v>※入力 単相 200V(定格入力電流 24A)×1 (入力プラグ NEMA L6-30P)
※6 つの出力セグメント毎に、1 個の C19 出力コンセント(定格 16A)を提供
※10000 ラック/インテリジェント ラック/ 11000 G2 ラック/ Advanced G2 ラックシリーズ用 0U/1U でのマウンティング ブラケット標準添付</v>
          </cell>
        </row>
        <row r="1889">
          <cell r="A1889" t="str">
            <v>AF521A</v>
          </cell>
          <cell r="B1889" t="str">
            <v>HPインテリジェントPDU(40A)</v>
          </cell>
          <cell r="C1889" t="str">
            <v>※入力 単相 200V(定格入力電流 40A)×1 (入力プラグ Non-NEMA CS8265C 50A プラグ)
※6 つの出力セグメント毎に、1 個の C19 出力コンセント(定格 16A)を提供
※10000 ラック/インテリジェント ラック/ 11000 G2 ラック/ Advanced G2 ラックシリーズ用 0U/1U でのマウンティング ブラケット標準添付</v>
          </cell>
        </row>
        <row r="1890">
          <cell r="A1890" t="str">
            <v>AF522A</v>
          </cell>
          <cell r="B1890" t="str">
            <v>HPインテリジェントPDU(三相24A)</v>
          </cell>
          <cell r="C1890" t="str">
            <v>※入力 三相 200V(デルタ結線、定格入力電流 24A)×1 (入力プラグ NEMA L15-30P)
※6 つの出力セグメント毎に、1 個の C19 出力コンセント(定格 16A)を提供
※10000 ラック/インテリジェント ラック/ 11000 G2 ラック/ Advanced G2 ラックシリーズ用 0U/1U でのマウンティング ブラケット標準添付</v>
          </cell>
        </row>
        <row r="1891">
          <cell r="A1891" t="str">
            <v>AF523A</v>
          </cell>
          <cell r="B1891" t="str">
            <v>HPインテリジェントPDU(三相48A)</v>
          </cell>
          <cell r="C1891" t="str">
            <v>※入力 三相 200V(デルタ結線、定格入力電流 48A)×1 (入力プラグ IEC 309 3 ピン＋接地、4 線 60A プラグ)
※6 つの出力セグメント毎に、1 個の C19 出力コンセント(定格 16A)を提供
※10000 ラック/インテリジェント ラック/ 11000 G2 ラック/ Advanced G2 ラックシリーズ用 0U/1U でのマウンティング ブラケット標準添付</v>
          </cell>
        </row>
        <row r="1892">
          <cell r="A1892" t="str">
            <v>AF528A</v>
          </cell>
          <cell r="B1892" t="str">
            <v>PDU エクステンションバー</v>
          </cell>
          <cell r="C1892" t="str">
            <v>インテリジェント PDU の C19 口に接続し、C13 口×5 個を提供する拡張バー2 本組
※マウンティング ブラケットは 10000 ラック/インテリジェント ラック/ 11000 G2 ラック/Advanced G2 ラック シリーズ用</v>
          </cell>
        </row>
        <row r="1893">
          <cell r="A1893" t="str">
            <v>AF533A</v>
          </cell>
          <cell r="B1893" t="str">
            <v>HPインテリジェントPDU(三相40A)</v>
          </cell>
          <cell r="C1893" t="str">
            <v>※入力 三相 200V(デルタ結線、定格入力電流 40A)×1
　 (入力プラグ Non-NEMA CS8365C 50A プラグ)
※6 つの出力セグメント毎に、1 個の C19 出力コンセント(定格 16A)を提供
※10000 ラック/インテリジェント ラック/ 11000 G2 ラック/ Advanced G2 ラックシリーズ用 0U/1U でのマウンティング ブラケット標準添付</v>
          </cell>
        </row>
        <row r="1894">
          <cell r="A1894" t="str">
            <v>AF547A</v>
          </cell>
          <cell r="B1894" t="str">
            <v>HP Intelligent PDUエクステンションバーG2</v>
          </cell>
          <cell r="C1894" t="str">
            <v>インテリジェント PDU の C19 口に接続し、C13 口×5 個を提供する拡張バー2 本組
※マウンティング ブラケットは 10000 ラック/インテリジェント ラック/ 11000 G2 ラック/Advanced G2 ラック シリーズ用</v>
          </cell>
        </row>
        <row r="1895">
          <cell r="A1895" t="str">
            <v>AF572A</v>
          </cell>
          <cell r="B1895" t="str">
            <v>100V電源コードオプション</v>
          </cell>
          <cell r="C1895" t="str">
            <v>100V電源ケーブル(2m NEMA 5-15P)</v>
          </cell>
        </row>
        <row r="1896">
          <cell r="A1896" t="str">
            <v>AF573A</v>
          </cell>
          <cell r="B1896" t="str">
            <v>C13-14 電源ケーブル (2m、グレー)</v>
          </cell>
          <cell r="C1896" t="str">
            <v>200V電源ケーブル</v>
          </cell>
        </row>
        <row r="1897">
          <cell r="A1897" t="str">
            <v>AF574A</v>
          </cell>
          <cell r="B1897" t="str">
            <v>C19-20 電源ケーブル (2m、グレー)</v>
          </cell>
          <cell r="C1897" t="str">
            <v>200V電源ケーブル</v>
          </cell>
        </row>
        <row r="1898">
          <cell r="A1898" t="str">
            <v>AF575A</v>
          </cell>
          <cell r="B1898" t="str">
            <v>C19-20 電源ケーブル (1.2m、グレー)</v>
          </cell>
          <cell r="C1898" t="str">
            <v>200V電源ケーブル</v>
          </cell>
        </row>
        <row r="1899">
          <cell r="A1899" t="str">
            <v>AF590A</v>
          </cell>
          <cell r="B1899" t="str">
            <v>C13-20 電源ケーブル (2m)</v>
          </cell>
          <cell r="C1899" t="str">
            <v>200V電源ケーブル</v>
          </cell>
        </row>
        <row r="1900">
          <cell r="A1900" t="str">
            <v>AF593A</v>
          </cell>
          <cell r="B1900" t="str">
            <v>200V電源コードオプション</v>
          </cell>
          <cell r="C1900" t="str">
            <v>200V電源ケーブル(3.6m NEMA L6-20P)</v>
          </cell>
        </row>
        <row r="1901">
          <cell r="A1901" t="str">
            <v>AF611A</v>
          </cell>
          <cell r="B1901" t="str">
            <v>KVM サーバ コンソール スイッチ (1x4)</v>
          </cell>
          <cell r="C1901" t="str">
            <v>4 ポート コンソール切替機</v>
          </cell>
        </row>
        <row r="1902">
          <cell r="A1902" t="str">
            <v>AF612A</v>
          </cell>
          <cell r="B1902" t="str">
            <v>KVM スイッチ(1x4)用　PS2ケーブル　2本</v>
          </cell>
          <cell r="C1902" t="str">
            <v>KVM スイッチ(1x4)用　PS2ケーブル x2本パック</v>
          </cell>
        </row>
        <row r="1903">
          <cell r="A1903" t="str">
            <v>AF613A</v>
          </cell>
          <cell r="B1903" t="str">
            <v>KVM スイッチ(1x4)用　USBケーブル　2本</v>
          </cell>
          <cell r="C1903" t="str">
            <v>KVM スイッチ(1x4)用　USBケーブル x2本パック</v>
          </cell>
        </row>
        <row r="1904">
          <cell r="A1904" t="str">
            <v>AF618A</v>
          </cell>
          <cell r="B1904" t="str">
            <v>KVMサーバーコンソールスイッチ G2 (2x16)</v>
          </cell>
          <cell r="C1904" t="str">
            <v>2 ローカル ユーザー、16 ポート コンソール切替機
※仮想メディア機能付
※冗長電源標準対応</v>
          </cell>
        </row>
        <row r="1905">
          <cell r="A1905" t="str">
            <v>AF619A</v>
          </cell>
          <cell r="B1905" t="str">
            <v>KVMサーバーコンソールスイッチ G2 (2x32)</v>
          </cell>
          <cell r="C1905" t="str">
            <v>2 ローカル ユーザー、32 ポート コンソール切替機
※仮想メディア機能付
※冗長電源標準対応</v>
          </cell>
        </row>
        <row r="1906">
          <cell r="A1906" t="str">
            <v>AF620A</v>
          </cell>
          <cell r="B1906" t="str">
            <v>IPコンソールスイッチ G2 (1x1Ex8)</v>
          </cell>
          <cell r="C1906" t="str">
            <v>1 リモートユーザー、1 ローカル ユーザー、8 ポート コンソール切替機
※仮想メディア機能付
※冗長電源標準対応</v>
          </cell>
        </row>
        <row r="1907">
          <cell r="A1907" t="str">
            <v>AF621A</v>
          </cell>
          <cell r="B1907" t="str">
            <v>IPコンソールスイッチ G2 (2x1Ex16)</v>
          </cell>
          <cell r="C1907" t="str">
            <v>2 リモートユーザー、1 ローカル ユーザー、16 ポート コンソール切替機
※仮想メディア機能付
※冗長電源標準対応</v>
          </cell>
        </row>
        <row r="1908">
          <cell r="A1908" t="str">
            <v>AF622A</v>
          </cell>
          <cell r="B1908" t="str">
            <v>IPコンソールスイッチ G2 (4x1Ex32)</v>
          </cell>
          <cell r="C1908" t="str">
            <v>4 リモートユーザー、1 ローカル ユーザー、32 ポート コンソール切替機
※仮想メディア機能付
※冗長電源標準対応</v>
          </cell>
        </row>
        <row r="1909">
          <cell r="A1909" t="str">
            <v>AF625A</v>
          </cell>
          <cell r="B1909" t="str">
            <v>シリアルインターフェイスアダプター</v>
          </cell>
          <cell r="C1909" t="str">
            <v>シリアル端末ポート(RS232C DB9、VT100 互換)を、コンソールスイッチ G2 に接続可能にするアダプター</v>
          </cell>
        </row>
        <row r="1910">
          <cell r="A1910" t="str">
            <v>AF628A</v>
          </cell>
          <cell r="B1910" t="str">
            <v>USBインターフェイスアダプター</v>
          </cell>
          <cell r="C1910" t="str">
            <v>サーバ側のインターフェースがUSB接続で、コンソールスイッチ G2 に接続可能にするアダプター</v>
          </cell>
        </row>
        <row r="1911">
          <cell r="A1911" t="str">
            <v>AF629A</v>
          </cell>
          <cell r="B1911" t="str">
            <v>VM対応USBインターフェイスアダプター</v>
          </cell>
          <cell r="C1911" t="str">
            <v>サーバ側のインターフェースがUSB接続で、コンソールスイッチ G2 に接続可能にするアダプター
※仮想メディア/CAC 機能サポート</v>
          </cell>
        </row>
        <row r="1912">
          <cell r="A1912" t="str">
            <v>AF642A</v>
          </cell>
          <cell r="B1912" t="str">
            <v>HP LCD 8500 コンソール</v>
          </cell>
          <cell r="C1912" t="str">
            <v>18.5 インチ WXGA+ TFT モニター
※日本語キーボード
※VGA ケーブル(約 1.8m) 1 本標準添付</v>
          </cell>
        </row>
        <row r="1913">
          <cell r="A1913" t="str">
            <v>AF644A</v>
          </cell>
          <cell r="B1913" t="str">
            <v>HP LCD 8500 コンソール(英語版)</v>
          </cell>
          <cell r="C1913" t="str">
            <v>18.5 インチ WXGA+ TFT モニター
※英語キーボード
※VGA ケーブル(約 1.8m) 1 本標準添付</v>
          </cell>
        </row>
        <row r="1914">
          <cell r="A1914" t="str">
            <v>AF650A</v>
          </cell>
          <cell r="B1914" t="str">
            <v>KVM用USBリモートアクセスキー</v>
          </cell>
          <cell r="C1914" t="str">
            <v>1 リモート ユーザーの IP コンソール スイッチとして使用可能にするためのオプション</v>
          </cell>
        </row>
        <row r="1915">
          <cell r="A1915" t="str">
            <v>AF651A</v>
          </cell>
          <cell r="B1915" t="str">
            <v>KVMサーバーコンソールスイッチ G3 (1x8)</v>
          </cell>
          <cell r="C1915" t="str">
            <v>1 ローカル ユーザー、8 ポート コンソール切替機</v>
          </cell>
        </row>
        <row r="1916">
          <cell r="A1916" t="str">
            <v>AF652A</v>
          </cell>
          <cell r="B1916" t="str">
            <v>KVMサーバーコンソールスイッチ G3 (2x16)</v>
          </cell>
          <cell r="C1916" t="str">
            <v>2 ローカル ユーザー、16 ポート コンソール切替機</v>
          </cell>
        </row>
        <row r="1917">
          <cell r="A1917" t="str">
            <v>AF654A</v>
          </cell>
          <cell r="B1917" t="str">
            <v>VM対応USB/DisplayPort Interface Adapter</v>
          </cell>
          <cell r="C1917" t="str">
            <v>サーバ側のインターフェースがUSB接続で、コンソールスイッチ G2 に接続可能にするアダプター
※仮想メディア/CAC 機能サポート
※DisplayPortインターフェース付</v>
          </cell>
        </row>
        <row r="1918">
          <cell r="A1918" t="str">
            <v>AF655A</v>
          </cell>
          <cell r="B1918" t="str">
            <v>USBインターフェイスアダプター 8本パック</v>
          </cell>
          <cell r="C1918" t="str">
            <v>サーバ側のインターフェースがUSB接続で、コンソールスイッチ G2 に接続可能にするアダプター x8本パック</v>
          </cell>
        </row>
        <row r="1919">
          <cell r="A1919" t="str">
            <v>BW917A</v>
          </cell>
          <cell r="B1919" t="str">
            <v>HP 842 1075mm Intelligent Rack</v>
          </cell>
          <cell r="C1919" t="str">
            <v>842 1075mm インテリジェント ラック(42U)
※フロント ドア/リア ドア付属
※サイド パネル キット、ラック固定脚はオプション</v>
          </cell>
        </row>
        <row r="1920">
          <cell r="A1920" t="str">
            <v>BW927A</v>
          </cell>
          <cell r="B1920" t="str">
            <v>HP Intelligent Rack 固定キット(800W用)</v>
          </cell>
          <cell r="C1920" t="str">
            <v>転倒防止および耐震固定用キット
※ラックの前面と背面に取り付け、床面とボルト止めするための固定金具キット
※＊インテリジェント ラック / Advanced G2 ラック用(800mm 幅)</v>
          </cell>
        </row>
        <row r="1921">
          <cell r="A1921" t="str">
            <v>BW928A</v>
          </cell>
          <cell r="B1921" t="str">
            <v>HP ブランクパネルキット 10パック(1U)</v>
          </cell>
          <cell r="C1921" t="str">
            <v>1U パネル 10 枚組(計 10U)のセット</v>
          </cell>
        </row>
        <row r="1922">
          <cell r="A1922" t="str">
            <v>BW930A</v>
          </cell>
          <cell r="B1922" t="str">
            <v>エアフロー オプティマイゼーションキット</v>
          </cell>
          <cell r="C1922" t="str">
            <v>冷却効率の低下を防止するキット</v>
          </cell>
        </row>
        <row r="1923">
          <cell r="A1923" t="str">
            <v>BW932A</v>
          </cell>
          <cell r="B1923" t="str">
            <v>HP Intelligent Rack 固定脚セット(600W用)</v>
          </cell>
          <cell r="C1923" t="str">
            <v>転倒防止用の前面、側面の固定脚セット
※インテリジェント ラック / 11000 G2 ラック / Advanced G2ラック用 (600mm 幅)</v>
          </cell>
        </row>
        <row r="1924">
          <cell r="A1924" t="str">
            <v>BW933A</v>
          </cell>
          <cell r="B1924" t="str">
            <v>HP Intelligent Rack 固定脚セット(800W用)</v>
          </cell>
          <cell r="C1924" t="str">
            <v>転倒防止用の前面、側面の固定脚セット
※インテリジェント ラック / Advanced G2 ラック用(800mm 幅)</v>
          </cell>
        </row>
        <row r="1925">
          <cell r="A1925" t="str">
            <v>BW941A</v>
          </cell>
          <cell r="B1925" t="str">
            <v>HP 1075-1200mm オフセット接続キット</v>
          </cell>
          <cell r="C1925" t="str">
            <v>ラックを連結する際に必要な連結金具等のセット</v>
          </cell>
        </row>
        <row r="1926">
          <cell r="A1926" t="str">
            <v>BW952A</v>
          </cell>
          <cell r="B1926" t="str">
            <v>HP 1000-1075mm オフセット接続キット</v>
          </cell>
          <cell r="C1926" t="str">
            <v>ラックを連結する際に必要な連結金具等のセット</v>
          </cell>
        </row>
        <row r="1927">
          <cell r="A1927" t="str">
            <v>BW961A</v>
          </cell>
          <cell r="B1927" t="str">
            <v>HP 固定脚セット(600W 高重量用ver.2)</v>
          </cell>
          <cell r="C1927" t="str">
            <v>転倒防止用の前面のみの、より強度の強い固定脚セット
※90kg 以上の機器をラックに搭載する際に選択</v>
          </cell>
        </row>
        <row r="1928">
          <cell r="A1928" t="str">
            <v>BW963A</v>
          </cell>
          <cell r="B1928" t="str">
            <v>ケーブルマネージメント タイキット(10本)</v>
          </cell>
          <cell r="C1928" t="str">
            <v>＊ラック内のケーブル整理用ベルクロテープ 10 本組</v>
          </cell>
        </row>
        <row r="1929">
          <cell r="A1929" t="str">
            <v>G7T29A</v>
          </cell>
          <cell r="B1929" t="str">
            <v>LCD8500 DisplayPortケーブル(1.83m)</v>
          </cell>
          <cell r="C1929" t="str">
            <v>Display Port を持つグラフィック アダプターを搭載したサーバーと、LCD 8500 を直接接続するためのケーブル</v>
          </cell>
        </row>
        <row r="1930">
          <cell r="A1930" t="str">
            <v>H6J85A</v>
          </cell>
          <cell r="B1930" t="str">
            <v>HP ラックハードウェアキット</v>
          </cell>
          <cell r="C1930" t="str">
            <v>サーバー機器やラックレールをネジ、ケージナット類でラックに固定するためのハードウェア キット(以下パッケージ内容)
・M6 ネジ×24 本
・M6 ケージナット×24 本
・5mm クリップナット×10
・6mm クリップナット×10
・ケージナット工具
・ケーブル マネジメント タイキット×5 本</v>
          </cell>
        </row>
        <row r="1931">
          <cell r="A1931" t="str">
            <v>H6L32A</v>
          </cell>
          <cell r="B1931" t="str">
            <v>垂直型PDU 10K G2マウンティングキット</v>
          </cell>
          <cell r="C1931" t="str">
            <v>垂直マウント型のベーシック PDUを、ラック 10000 G2 シリーズに取り付けるためのオプション</v>
          </cell>
        </row>
        <row r="1932">
          <cell r="A1932" t="str">
            <v>J2P85A</v>
          </cell>
          <cell r="B1932" t="str">
            <v>HP UPS T750 G4</v>
          </cell>
          <cell r="C1932" t="str">
            <v>750VA/500W (定格入力電圧 AC100V 入力)
※出力コンセント：NEMA 5-15R×6</v>
          </cell>
        </row>
        <row r="1933">
          <cell r="A1933" t="str">
            <v>J2P86A</v>
          </cell>
          <cell r="B1933" t="str">
            <v>HP UPS T1000 G4</v>
          </cell>
          <cell r="C1933" t="str">
            <v>1000VA/680W (定格入力電圧 AC100V)
※出力コンセント：NEMA 5-15R×8</v>
          </cell>
        </row>
        <row r="1934">
          <cell r="A1934" t="str">
            <v>J2P87A</v>
          </cell>
          <cell r="B1934" t="str">
            <v>HP UPS T1500 G4</v>
          </cell>
          <cell r="C1934" t="str">
            <v>1200VA/980W (定格入力電圧 AC100V)
※出力コンセント：NEMA 5-15R×8</v>
          </cell>
        </row>
        <row r="1935">
          <cell r="A1935" t="str">
            <v>J2R00A</v>
          </cell>
          <cell r="B1935" t="str">
            <v>HP UPS R/T2200 G4</v>
          </cell>
          <cell r="C1935" t="str">
            <v>1500VA/1400W (定格入力電圧 AC100V、入力プラグ NEMA 5-20P)
※出力コンセント：NEMA 5-15/20R×8
※タワー型に変換可能</v>
          </cell>
        </row>
        <row r="1936">
          <cell r="A1936" t="str">
            <v>J2R01A</v>
          </cell>
          <cell r="B1936" t="str">
            <v>HP UPS R/T3000 G4 (100V)</v>
          </cell>
          <cell r="C1936" t="str">
            <v>2490VA/2250W (定格入力電圧 AC100V、入力プラグ NEMA L5-30P)
※出力コンセント：NEMA 5-15/20R×6、NEMA L5-30R×1
※タワー型に変換可能</v>
          </cell>
        </row>
        <row r="1937">
          <cell r="A1937" t="str">
            <v>J2R02A</v>
          </cell>
          <cell r="B1937" t="str">
            <v>HP UPS R/T3000 G4 (200V)</v>
          </cell>
          <cell r="C1937" t="str">
            <v>2490VA/2241W (定格入力電圧 AC200V、入力プラグ NEMA L6-20P)
※出力コンセント：IEC320 C13×8、IEC320 C19×1
※タワー型に変換可能</v>
          </cell>
        </row>
        <row r="1938">
          <cell r="A1938" t="str">
            <v>J2R05A</v>
          </cell>
          <cell r="B1938" t="str">
            <v>HP UPS R1500 G4</v>
          </cell>
          <cell r="C1938" t="str">
            <v>1200VA / 900W (定格入力電圧 AC100V)
※出力コンセント：NEMA 5-15R×5</v>
          </cell>
        </row>
        <row r="1939">
          <cell r="A1939" t="str">
            <v>J2R09A</v>
          </cell>
          <cell r="B1939" t="str">
            <v>HP RT2200 G4拡張ランタイムモジュール</v>
          </cell>
          <cell r="C1939" t="str">
            <v>追加バッテリ モジュール</v>
          </cell>
        </row>
        <row r="1940">
          <cell r="A1940" t="str">
            <v>J2R10A</v>
          </cell>
          <cell r="B1940" t="str">
            <v>HP RT3000 G4拡張ランタイムモジュール</v>
          </cell>
          <cell r="C1940" t="str">
            <v>追加バッテリ モジュール</v>
          </cell>
        </row>
        <row r="1941">
          <cell r="A1941" t="str">
            <v>J6X42A</v>
          </cell>
          <cell r="B1941" t="str">
            <v>HP 8AWG 48V DCパワーケーブルキット(3m)</v>
          </cell>
          <cell r="C1941" t="str">
            <v>DC電源ケーブル</v>
          </cell>
        </row>
        <row r="1942">
          <cell r="A1942" t="str">
            <v>J6X43A</v>
          </cell>
          <cell r="B1942" t="str">
            <v>HP 12AWG 48V DCパワーケーブルキット(3m)</v>
          </cell>
          <cell r="C1942" t="str">
            <v>DC電源ケーブル</v>
          </cell>
        </row>
        <row r="1943">
          <cell r="A1943" t="str">
            <v>L4Q11A</v>
          </cell>
          <cell r="B1943" t="str">
            <v>HP 2U R/T UPS輸送キット</v>
          </cell>
          <cell r="C1943" t="str">
            <v>UPS R/T2200 G4、R/T3000 G4 とそれらの拡張ランタイム モジュールを HPE 製ラックに搭載して輸送する際の固定キット</v>
          </cell>
        </row>
        <row r="1944">
          <cell r="A1944" t="str">
            <v>N8N74A#ABJ</v>
          </cell>
          <cell r="B1944" t="str">
            <v>HP ProDisplay 17インチTFT P17A</v>
          </cell>
          <cell r="C1944" t="str">
            <v>解像度：1,280×1,024 (60Hz)
※国際エネルギースター適合
※VGA ケーブル(1.8m) 1 本標準添付</v>
          </cell>
        </row>
        <row r="1945">
          <cell r="A1945" t="str">
            <v>N8N75A#ABJ</v>
          </cell>
          <cell r="B1945" t="str">
            <v>HP EliteDisplay 18.9インチIPS E190i</v>
          </cell>
          <cell r="C1945" t="str">
            <v>解像度：1,280×1,024 (60, 75Hz)
※国際エネルギースター適合
※VGA ケーブル(1.8m)、DVI-D ケーブル(1.8m)、Display Port ケーブル(1.8m)、USB ケーブル(1.8m)各 1 本標準添付</v>
          </cell>
        </row>
        <row r="1946">
          <cell r="A1946" t="str">
            <v>P01363-B21</v>
          </cell>
          <cell r="B1946" t="str">
            <v>Smartストレージバッテリー 12W</v>
          </cell>
          <cell r="C1946" t="str">
            <v>※BL460c Gen10 で Smart アレイ P シリーズ コントローラー使用時に必要</v>
          </cell>
        </row>
        <row r="1947">
          <cell r="A1947" t="str">
            <v>P01366-B21</v>
          </cell>
          <cell r="B1947" t="str">
            <v>Smartストレージバッテリー 96W 145mm</v>
          </cell>
          <cell r="C1947" t="str">
            <v>Smart ストレージバッテリーオプション
※Smart アレイ P シリーズ コントローラー、もしくはCPU メザニントレイ用</v>
          </cell>
        </row>
        <row r="1948">
          <cell r="A1948" t="str">
            <v>P01367-B21</v>
          </cell>
          <cell r="B1948" t="str">
            <v>Smartストレージバッテリー 96W 260mm</v>
          </cell>
          <cell r="C1948" t="str">
            <v>※Smart アレイ P シリーズ コントローラー使用時に必要
※Smart アレイの数に関わらず、サーバー1 台につき 1 個必要</v>
          </cell>
        </row>
        <row r="1949">
          <cell r="A1949" t="str">
            <v>P9K03A</v>
          </cell>
          <cell r="B1949" t="str">
            <v>22U 600x1075mm Adv G2 Rack</v>
          </cell>
          <cell r="C1949" t="str">
            <v>600x1075mm Advanced G2 ラック(22U)
※フロント ドア/リア ドア/サイド パネル キットおよびラック接続キット付
※ラック固定脚はオプション</v>
          </cell>
        </row>
        <row r="1950">
          <cell r="A1950" t="str">
            <v>P9K04A</v>
          </cell>
          <cell r="B1950" t="str">
            <v>22U 600x1075mm Adv G2 Shck Rack</v>
          </cell>
          <cell r="C1950" t="str">
            <v>600x1075mm Advanced G2 ラック(22U)
※フロント ドア/リア ドア/サイド パネル キットおよびラック接続キット付
※ラック固定脚はオプション
※ショックパレット付き</v>
          </cell>
        </row>
        <row r="1951">
          <cell r="A1951" t="str">
            <v>P9K05A</v>
          </cell>
          <cell r="B1951" t="str">
            <v>36U 600x1075mm Adv G2 Rack</v>
          </cell>
          <cell r="C1951" t="str">
            <v xml:space="preserve"> 600x1075mm Advanced G2 ラック(36U)
※フロント ドア/リア ドア/サイド パネル キットおよびラック接続キット付
※ラック固定脚はオプション</v>
          </cell>
        </row>
        <row r="1952">
          <cell r="A1952" t="str">
            <v>P9K06A</v>
          </cell>
          <cell r="B1952" t="str">
            <v>36U 600x1075mm Adv G2 Shck Rack</v>
          </cell>
          <cell r="C1952" t="str">
            <v xml:space="preserve"> 600x1075mm Advanced G2 ラック(36U)
※フロント ドア/リア ドア/サイド パネル キットおよびラック接続キット付
※ラック固定脚はオプション
※ショックパレット付き</v>
          </cell>
        </row>
        <row r="1953">
          <cell r="A1953" t="str">
            <v>P9K07A</v>
          </cell>
          <cell r="B1953" t="str">
            <v>42U 600x1075mm Adv G2 Rack</v>
          </cell>
          <cell r="C1953" t="str">
            <v>600x1075mm Advanced G2 ラック(42U)
※フロント ドア/リア ドア/サイド パネル キットおよびラック接続キット付
※ラック固定脚はオプション</v>
          </cell>
        </row>
        <row r="1954">
          <cell r="A1954" t="str">
            <v>P9K08A</v>
          </cell>
          <cell r="B1954" t="str">
            <v>42U 600x1075mm Adv G2 Shck Rack</v>
          </cell>
          <cell r="C1954" t="str">
            <v>600x1075mm Advanced G2 ラック(42U)
※フロント ドア/リア ドア/サイド パネル キットおよびラック接続キット付
※ラック固定脚はオプション
※ショックパレット付き</v>
          </cell>
        </row>
        <row r="1955">
          <cell r="A1955" t="str">
            <v>P9K10A</v>
          </cell>
          <cell r="B1955" t="str">
            <v>42U 600x1200mm Adv G2 Shck Rack</v>
          </cell>
          <cell r="C1955" t="str">
            <v>600x1200mm Advanced G2 ラック(42U)
※フロント ドア/リア ドア/サイド パネル キットおよびラック接続キット付
※ラック固定脚はオプション
※ショックパレット付き</v>
          </cell>
        </row>
        <row r="1956">
          <cell r="A1956" t="str">
            <v>P9K11A</v>
          </cell>
          <cell r="B1956" t="str">
            <v>42U 800x1075mm Adv G2 Rack</v>
          </cell>
          <cell r="C1956" t="str">
            <v>800x1075mm Advanced G2 ラック(42U)
※フロント ドア/リア ドア/サイド パネル キットおよびラック接続キット付
※ラック固定脚はオプション</v>
          </cell>
        </row>
        <row r="1957">
          <cell r="A1957" t="str">
            <v>P9K12A</v>
          </cell>
          <cell r="B1957" t="str">
            <v>42U 800x1075mm Adv G2 Shck Rack</v>
          </cell>
          <cell r="C1957" t="str">
            <v>800x1075mm Advanced G2 ラック(42U)
※フロント ドア/リア ドア/サイド パネル キットおよびラック接続キット付
※ラック固定脚はオプション
※ショックパレット付き</v>
          </cell>
        </row>
        <row r="1958">
          <cell r="A1958" t="str">
            <v>P9L11A</v>
          </cell>
          <cell r="B1958" t="str">
            <v>ラック接地(アース)キット</v>
          </cell>
          <cell r="C1958" t="str">
            <v>ラックの前後ドア・天板・サイドパネルを繋ぎ、電磁放射レベルを低減させるための接地(アース)ケーブルのキット</v>
          </cell>
        </row>
        <row r="1959">
          <cell r="A1959" t="str">
            <v>P9L19A</v>
          </cell>
          <cell r="B1959" t="str">
            <v>1075-1200mm オフセット接続キット</v>
          </cell>
          <cell r="C1959" t="str">
            <v>奥行 1075mm の 42U Advanced G2 ラックと、奥行 1200mm の
42U Advanced G2 ラックを連結する際に必要な連結金具等のセット</v>
          </cell>
        </row>
        <row r="1960">
          <cell r="A1960" t="str">
            <v>P9Q33A</v>
          </cell>
          <cell r="B1960" t="str">
            <v>Basic PDU G2 2.8kVA 6out (100V-24A)</v>
          </cell>
          <cell r="C1960" t="str">
            <v>※入力電圧 100V-120VAC、定格入力電流 24A (入力プラグ NEMA L5-30P)
※2 つの出力セグメントで、6 口のコンセントを提供(IEC320 C19)
　 (1 セグメントあたり、3 口のコンセント、最大 20A)
※オプションの PDU G2 エクステンションバーを PDU のコンセントに接続することにより、コンセントを拡張することが可能
※0U / 1U マウント型 PDU
※10000 /インテリジェント ラック/ 11000 G2 ラック/ Advanced G2ラック シリーズ用 0U/1U でのマウンティング ブラケット標準添付</v>
          </cell>
        </row>
        <row r="1961">
          <cell r="A1961" t="str">
            <v>P9Q34A</v>
          </cell>
          <cell r="B1961" t="str">
            <v>Basic PDU G2 2.8kVA 22out (100V-24A)</v>
          </cell>
          <cell r="C1961" t="str">
            <v>※入力電圧 100V-120VAC、定格入力電流 24A (入力プラグ NEMA L5-30P)
※2 つの出力セグメントで、22 口のコンセントを提供(NEMA 5-15 / 20R)
　 (1 セグメントあたり、11 口のコンセント、最大 20A)
※インテリジェント ラック/ 22U 以上の 11000 G2 / Advanced G2ラック シリーズ用
※オプションの垂直型 PDU マウンティングキット (H6L32A)により、22U 以上の 10000 G2 ラック シリーズに取り付け可能</v>
          </cell>
        </row>
        <row r="1962">
          <cell r="A1962" t="str">
            <v>P9Q35A</v>
          </cell>
          <cell r="B1962" t="str">
            <v>Basic PDU G2 2.8kVA 16out (100V-24A)</v>
          </cell>
          <cell r="C1962" t="str">
            <v>※入力電圧 100V-120VAC、定格入力電流 24A (入力プラグ NEMA L5-30P)
※2 つの出力セグメントで、16 口のコンセントを提供(NEMA 5-15 / 20R)
　 (1 セグメントあたり、8 口のコンセント、最大 20A)
※2U マウント型 PDU
※10000 /インテリジェント ラック/ 11000 G2 ラック/ Advanced G2ラック シリーズ用 2U でのマウンティング ブラケット標準添付</v>
          </cell>
        </row>
        <row r="1963">
          <cell r="A1963" t="str">
            <v>P9Q36A</v>
          </cell>
          <cell r="B1963" t="str">
            <v>Basic PDU G2 3.6kVA 2out (100V-240V-16A)</v>
          </cell>
          <cell r="C1963" t="str">
            <v>※入力電圧 100V-240VAC、定格入力電流 16A (入力 IEC320 C20)
※別途、入力用電源ケーブルが必要（200V）
※2 口のコンセントを提供(IEC320 C19)
※オプションの PDU G2 エクステンションバーを PDU のコンセントに接続することにより、コンセントを拡張することが可能
※0U / 1U マウント型 PDU
※10000 /インテリジェント ラック/ 11000 G2 ラック/ Advanced G2ラック シリーズ用 0U/1U でのマウンティング ブラケット標準添付
※14U の 11000 G2 ラックの背面へ垂直に取り付けるには、垂直型 PDU マウンティングキット(H6L32A)が必要</v>
          </cell>
        </row>
        <row r="1964">
          <cell r="A1964" t="str">
            <v>P9Q37A</v>
          </cell>
          <cell r="B1964" t="str">
            <v>BasicPDU G2 3.6kVA 12out (100V-240V 16A)</v>
          </cell>
          <cell r="C1964" t="str">
            <v>※入力電圧 100V-240VAC、定格入力電流 16A (入力 IEC320 C20)
※別途、入力用電源ケーブルが必要（200V）
※12 口のコンセントを提供(IEC320 C13)
※0U / 1U マウント型 PDU
※10000 /インテリジェント ラック/ 11000 G2 ラック/ Advanced G2ラック シリーズ用 0U/1U でのマウンティング ブラケット標準添付
※14U の 11000 G2 ラックの背面へ垂直に取り付けるには、垂直型 PDU マウンティングキット(H6L32A)が必要</v>
          </cell>
        </row>
        <row r="1965">
          <cell r="A1965" t="str">
            <v>P9Q38A</v>
          </cell>
          <cell r="B1965" t="str">
            <v>BasicPDU G2 3.6kVA 22out (100V-240V 16A)</v>
          </cell>
          <cell r="C1965" t="str">
            <v>※入力電圧 100V-240VAC、定格入力電流 16A (入力 IEC320 C20)
※別途入力用電源ケーブルが必要（200V）
※22 口のコンセントを提供(IEC320 C13×20 口/ C19×2 口)
※ラック内の背面左右に縦にマウント可能な、ボタンマウント式対応の垂直マウント型ハーフハイト PDU
※インテリジェント ラック/ 22U 以上の 11000 G2 / Advanced G2ラック シリーズ用
※オプションの垂直型 PDU マウンティングキット (H6L32A)により22U 以上の 10000 G2 ラック シリーズに取り付け可能</v>
          </cell>
        </row>
        <row r="1966">
          <cell r="A1966" t="str">
            <v>P9Q39A</v>
          </cell>
          <cell r="B1966" t="str">
            <v>Basic PDU G2 4.9kVA 6out (200V-24A)</v>
          </cell>
          <cell r="C1966" t="str">
            <v>※入力電圧 200V-208VAC、定格入力電流 24A (入力プラグ NEMA L6-30P)
※2 つの出力セグメントで、6 口のコンセントを提供(IEC320 C19)
　 (1 セグメントあたり、3 口のコンセント、最大 20A)
※オプションの PDU G2 エクステンションバーを PDU のコンセントに接続することにより、コンセントを拡張することが可能
※0U / 1U マウント型 PDU
※10000 /インテリジェント ラック/ 11000 G2 ラック/ Advanced G2ラック シリーズ用 0U/1U でのマウンティング ブラケット標準添付</v>
          </cell>
        </row>
        <row r="1967">
          <cell r="A1967" t="str">
            <v>P9Q40A</v>
          </cell>
          <cell r="B1967" t="str">
            <v>Basic PDU G2 4.9kVA 12out (200V-24A)</v>
          </cell>
          <cell r="C1967" t="str">
            <v>※入力電圧 200V-208VAC、定格入力電流 24A (入力プラグ NEMA L6-30P)
※2 つの出力セグメントで、12 口のコンセントを提供(IEC320 C13)
　 (1 セグメントあたり、6 口のコンセント、最大 20A)
※0U / 1U マウント型 PDU
※10000 /インテリジェント ラック/ 11000 G2 ラック/ Advanced G2ラック シリーズ用 0U/1U でのマウンティング ブラケット標準添付</v>
          </cell>
        </row>
        <row r="1968">
          <cell r="A1968" t="str">
            <v>P9Q41A</v>
          </cell>
          <cell r="B1968" t="str">
            <v>Basic PDU G2 4.9kVA 20out (200V-24A)</v>
          </cell>
          <cell r="C1968" t="str">
            <v>※入力電圧 200V-208VAC、定格入力電流 24A (入力プラグ NEMA L6-30P)
※2 つの出力セグメントで、20 口のコンセントを提供(IEC320 C13)
　 (1 セグメントあたり、10 口のコンセント、最大 20A)
※ラック内の背面左右に縦にマウント可能な、ボタンマウント式対応の垂直マウント型ハーフハイト PDU
※インテリジェント ラック/ 22U 以上の 11000 G2 / Advanced G2ラック シリーズ用
※オプションの垂直型 PDU マウンティングキット (H6L32A)により22U 以上の 10000 G2 ラック シリーズに取り付け可能</v>
          </cell>
        </row>
        <row r="1969">
          <cell r="A1969" t="str">
            <v>P9Q42A</v>
          </cell>
          <cell r="B1969" t="str">
            <v>Basic PDU G2 4.9kVA 42out (200V-24A)</v>
          </cell>
          <cell r="C1969" t="str">
            <v>※入力電圧 200V-208VAC、定格入力電流 24A (入力プラグ NEMA L6-30P)
※2 つの出力セグメントで、42 口のコンセントを提供 (IEC320 C13×36 口/ C19×6 口)
　 (1 セグメントあたり、21 口のコンセント(IEC320 C13×18 口/ C19×3 口)、最大 20A)
※ラック内の背面左右に縦にマウント可能な、ボタンマウント式対応の垂直マウント型ミッドハイト PDU
※36U 以上のインテリジェント ラック/ 11000 G2 / Advanced G2ラック シリーズ用
※オプションの垂直型 PDU マウンティングキット (H6L32A)により36U 以上の 10000 G2 ラック シリーズに取り付け可能</v>
          </cell>
        </row>
        <row r="1970">
          <cell r="A1970" t="str">
            <v>P9Q52A</v>
          </cell>
          <cell r="B1970" t="str">
            <v>Basic PDU G2 8.6kVA 6out (3ph 200V-24A)</v>
          </cell>
          <cell r="C1970" t="str">
            <v>※入力 三相 200V (デルタ結線、定格入力電流 24A)×1　(入力プラグ NEMA L15-30P)
※3 つの出力セグメントで、6 口のコンセントを提供(IEC320 C19)
　 (1 セグメントあたり、2 口のコンセント、最大 20A)
※オプションの PDU G2 エクステンションバーを PDU のコンセントに接続することにより、コンセントを拡張することが可能
※0U / 1U マウント型 PDU
※10000 /インテリジェント ラック/ 11000 G2 ラック/ Advanced G2ラック シリーズ用 0U/1U でのマウンティング ブラケット標準添付</v>
          </cell>
        </row>
        <row r="1971">
          <cell r="A1971" t="str">
            <v>P9Q53A</v>
          </cell>
          <cell r="B1971" t="str">
            <v>Basic PDU G2 8.6kVA 36out (3ph 200V-24A)</v>
          </cell>
          <cell r="C1971" t="str">
            <v>※入力 三相 200V (デルタ結線、定格入力電流 24A)×1　(入力プラグ NEMA L15-30P)
※3 つの出力セグメントで、36 口のコンセントを提供 (IEC320 C13×30 口/ C19×6 口)
　(1 セグメントあたり、12 口のコンセント(IEC320 C13×10 口/ C19×2 口)、最大 20A)
※ラック内の背面左右に縦にマウント可能な、ボタンマウント式対応の垂直マウント型ミッドハイト PDU
※36U 以上のインテリジェント ラック/ 11000 G2 / Advanced G2ラック シリーズ用
※オプションの垂直型 PDU マウンティングキット (H6L32A)により36U 以上の 10000 G2 ラック シリーズに取り付け可能</v>
          </cell>
        </row>
        <row r="1972">
          <cell r="A1972" t="str">
            <v>P9Q54A</v>
          </cell>
          <cell r="B1972" t="str">
            <v>Basic PDU G2 8.6kVA 18out (3ph 200V-24A)</v>
          </cell>
          <cell r="C1972" t="str">
            <v>※入力 三相 200V (デルタ結線、定格入力電流 24A)×1　(入力プラグ NEMA L15-30P)
※3 つの出力セグメントで、18 口のコンセントを提供(IEC320 C13)
　 (1 セグメントあたり、6 口のコンセント、最大 20A)
※ラック内の背面左右に縦にマウント可能な、ボタンマウント式対応の垂直マウント型ハーフハイト PDU
※インテリジェント ラック/ 22U 以上の 11000 G2 / Advanced G2ラック シリーズ用
※オプションの垂直型 PDU マウンティングキット (H6L32A)により22U 以上の 10000 G2 ラック シリーズに取り付け可能</v>
          </cell>
        </row>
        <row r="1973">
          <cell r="A1973" t="str">
            <v>P9Q60A</v>
          </cell>
          <cell r="B1973" t="str">
            <v>Basic PDU G2 17.3kVA 6out (3ph 200V-48A)</v>
          </cell>
          <cell r="C1973" t="str">
            <v>※入力 三相 200V (デルタ結線、定格入力電流 48A)×1(入力プラグ IEC 60309 60A)
※6 つの出力セグメントで、6 口のコンセントを提供(IEC320 C19)
　 (1 セグメントあたり、1 口のコンセント、最大 20A)
※オプションの PDU G2 エクステンションバーを PDU のコンセントに接続することにより、コンセントを拡張することが可能
※0U / 1U マウント型 PDU
※10000 /インテリジェント ラック/ 11000 G2 ラック/ Advanced G2ラック シリーズ用 0U/1U でのマウンティング ブラケット標準添付</v>
          </cell>
        </row>
        <row r="1974">
          <cell r="A1974" t="str">
            <v>P9Q61A</v>
          </cell>
          <cell r="B1974" t="str">
            <v>BasicPDU G2 17.3kVA 24out (3ph 200V-48A)</v>
          </cell>
          <cell r="C1974" t="str">
            <v>※入力 三相 200V (デルタ結線、定格入力電流 48A)×1　(入力プラグ IEC 60309 60A)
※6 つの出力セグメントで、24 口のコンセントを提供 (IEC320 C13×18 口/ C19×6 口)
　 (1 セグメントあたり、4 口のコンセント(IEC320 C13×3 口/ C19×1 口)、最大 20A)
※コンセントがラックの背面を向いた状態で横向きにマウント可能な、ボタンマウント式対応の垂直マウント型ハーフハイト PDU
※インテリジェント ラック/ 22U 以上の 11000 G2 / Advanced G2ラック シリーズ用
※オプションの垂直型 PDU マウンティングキット (H6L32A)により22U 以上の 10000 G2 ラック シリーズに取り付け可能</v>
          </cell>
        </row>
        <row r="1975">
          <cell r="A1975" t="str">
            <v>P9Q62A</v>
          </cell>
          <cell r="B1975" t="str">
            <v>BasicPDU G2 17.3kVA 48out (3ph 200V-48A)</v>
          </cell>
          <cell r="C1975" t="str">
            <v>※6 つの出力セグメントで、48 口のコンセントを提供　(IEC320 C13×36 口/ C19×12 口)
　 (1 セグメントあたり、8 口のコンセント(IEC320 C13×6 口/ C19×2 口)、最大 20A)
※コンセントがラックの背面を向いた状態で横向きにマウント可能な、ボタンマウント式対応の垂直マウント型フルハイト PDU
※インテリジェント ラック/ 42U 以上の 11000 G2 / Advanced G2ラック シリーズ用
※オプションの垂直型 PDU マウンティングキット (H6L32A)により42U 以上の 10000 G2 ラック シリーズに取り付け可能</v>
          </cell>
        </row>
        <row r="1976">
          <cell r="A1976" t="str">
            <v>P9Q66A</v>
          </cell>
          <cell r="B1976" t="str">
            <v>PDU G2 エクステンションバー(C13)</v>
          </cell>
          <cell r="C1976" t="str">
            <v>※bPDU G2 の C19 口に接続し、C13 口×8 個を提供する拡張バー2 本組
※10000 /インテリジェント ラック/ 11000 G2 ラック/ Advanced G2ラック シリーズ用 0U/1U でのマウンティング ブラケット標準添付</v>
          </cell>
        </row>
        <row r="1977">
          <cell r="A1977" t="str">
            <v>P9Q67A</v>
          </cell>
          <cell r="B1977" t="str">
            <v>PDU G2 エクステンションバー(C13 C19)</v>
          </cell>
          <cell r="C1977" t="str">
            <v>※bPDU G2 の C19 口に接続し、C13 口×4 個/ C19 口×2 個を提供する拡張バー2 本組
※10000 /インテリジェント ラック/ 11000 G2 ラック/ Advanced G2ラック シリーズ用 0U/1U でのマウンティング ブラケット標準添付</v>
          </cell>
        </row>
        <row r="1978">
          <cell r="A1978" t="str">
            <v>P9Q68A</v>
          </cell>
          <cell r="B1978" t="str">
            <v>PDU G2 エクステンションバー(5-20R)</v>
          </cell>
          <cell r="C1978" t="str">
            <v>※bPDU G2 の C19 口に接続し、NEMA 5-15 / 20R 口×7 個を提供する拡張バー2 本組
※10000 /インテリジェント ラック/ 11000 G2 ラック/ Advanced G2ラック シリーズ用 0U/1U でのマウンティング ブラケット標準添付</v>
          </cell>
        </row>
        <row r="1979">
          <cell r="A1979" t="str">
            <v>P9R48A</v>
          </cell>
          <cell r="B1979" t="str">
            <v>Metered PDU G2 2.8kVA 24out (100V-24A)</v>
          </cell>
          <cell r="C1979" t="str">
            <v>※入力電圧 100V-120VAC、定格入力電流 24A (入力プラグ NEMA L5-30P)
※2 つの出力セグメントで、24 口のコンセントを提供(NEMA 5-15 / 20R)
　(1 セグメントあたり、12 口のコンセント、最大 20A)
※垂直マウント型ミッドハイト PDU、36U 以上の HPE 製ラックに対応
※インテリジェント ラック/ 11000 G2 ラック/ Advanced G2 ラック シリーズ用のマウントボタン標準添付</v>
          </cell>
        </row>
        <row r="1980">
          <cell r="A1980" t="str">
            <v>P9R49A</v>
          </cell>
          <cell r="B1980" t="str">
            <v>Metered PDU G2 2.8kVA 16out (100V-24A)</v>
          </cell>
          <cell r="C1980" t="str">
            <v>※入力電圧 100V-120VAC、定格入力電流 24A (入力プラグ NEMA L5-30P)
※2 つの出力セグメントで、16 口のコンセントを提供(NEMA 5-15 / 20R)
　(1 セグメントあたり、8 口のコンセント、最大 20A)
※10000 /インテリジェント ラック/ 11000 G2 ラック/ Advanced G2 ラックシリーズ用 2U でのマウンティング ブラケット標準添付</v>
          </cell>
        </row>
        <row r="1981">
          <cell r="A1981" t="str">
            <v>P9R50A</v>
          </cell>
          <cell r="B1981" t="str">
            <v>MeteredPDUG2 3.6kVA12out (100V-240V 16A)</v>
          </cell>
          <cell r="C1981" t="str">
            <v>※入力電圧 100V-230VAC、定格入力電流 16A (入力 IEC320 C20)
※入力用電源コードとして、200V 用 C19-NEMA L6-20P 電源コード(3.6m、ブラック)が 1 本標準添付
※12 口のコンセントを提供(IEC320 C13)
※10000 /インテリジェント ラック/ 11000 G2 ラック/ Advanced G2ラック シリーズ用 0U/1U でのマウンティング ブラケット標準添付</v>
          </cell>
        </row>
        <row r="1982">
          <cell r="A1982" t="str">
            <v>P9R51A</v>
          </cell>
          <cell r="B1982" t="str">
            <v>Metered PDU G2 4.9kVA 6out (200V-24A)</v>
          </cell>
          <cell r="C1982" t="str">
            <v>※入力電圧 200V-208VAC、定格入力電流 24A (入力プラグ NEMA L6-30P)
※2 つの出力セグメントで、6 口のコンセントを提供(IEC320 C19)
　(1 セグメントあたり、3 口のコンセント、最大 20A)
※オプションの PDU G2 エクステンションバーを PDU のコンセントに接続することにより、コンセントを拡張することが可能
※各機器から PDU への電源接続用に、C19-C20 ロック機能付き電源ケーブル(0.7m)が 1 本標準添付
※10000 /インテリジェント ラック/ 11000 G2 ラック/ Advanced G2ラック シリーズ用 0U/1U でのマウンティング ブラケット標準添付</v>
          </cell>
        </row>
        <row r="1983">
          <cell r="A1983" t="str">
            <v>P9R52A</v>
          </cell>
          <cell r="B1983" t="str">
            <v>Metered PDU G2 4.9kVA 16out (200V-24A)</v>
          </cell>
          <cell r="C1983" t="str">
            <v>※入力電圧 200V-208VAC、定格入力電流 24A (入力プラグ NEMA L6-30P)
※2 つの出力セグメントで、16 口のコンセントを提供
　(IEC320 C13×12 口/ C19×4 口)(1 セグメントあたり、8 口のコンセント　(IEC320 C13×6 口/ C19×2 口)、最大 20A)
※10000 /インテリジェント ラック/ 11000 G2 ラック/ Advanced G2ラック シリーズ用 2U でのマウンティング ブラケット標準添付</v>
          </cell>
        </row>
        <row r="1984">
          <cell r="A1984" t="str">
            <v>P9R53A</v>
          </cell>
          <cell r="B1984" t="str">
            <v>Metered PDU G2 4.9kVA 38out (200V-24A)</v>
          </cell>
          <cell r="C1984" t="str">
            <v>※入力電圧 200V-208VAC、定格入力電流 24A (入力プラグ NEMA L6-30P)
※2 つの出力セグメントで、38 口のコンセントを提供 (IEC320 C13×32 口/ C19×6 口)
　(1 セグメントあたり、19 口のコンセント(IEC320 C13×16 口/ C19×3 口)、最大 20A)
※各機器から PDU への電源接続用に、C13-C14 ロック機能付き電源ケーブル(0.7m)が1 本標準添付
※垂直マウント型フルハイト PDU、42U 以上の HPE 製ラックに対応
※インテリジェント ラック/ 11000 G2 ラック/ Advanced G2 ラック シリーズ用のマウントボタン標準添付</v>
          </cell>
        </row>
        <row r="1985">
          <cell r="A1985" t="str">
            <v>P9R57A</v>
          </cell>
          <cell r="B1985" t="str">
            <v>Metered PDU G2 8.3kVA 36out (200V-40A)</v>
          </cell>
          <cell r="C1985" t="str">
            <v>※入力電圧 200V-208VAC、定格入力電流 40A (入力プラグ Non-NEMA CS8265C 50A プラグ)
※3 つの出力セグメントで、36 口のコンセントを提供
　(IEC320 C13×30 口/ C19×6 口)(1 セグメントあたり、12 口のコンセント (IEC320 C13×10 口/ C19×2 口)、最大 20A)
※各機器から PDU への電源接続用に、C13-C14 ロック機能付き電源ケーブル(0.7m)が 1 本標準添付
※垂直マウント型フルハイト PDU、42U 以上の HPE 製ラックに対応
※インテリジェント ラック/ 11000 G2 ラック/ Advanced G2 ラックシリーズ用のマウントボタン標準添付</v>
          </cell>
        </row>
        <row r="1986">
          <cell r="A1986" t="str">
            <v>P9R58A</v>
          </cell>
          <cell r="B1986" t="str">
            <v>Metered PDU G2 8.6kVA 24out (3ph200V)</v>
          </cell>
          <cell r="C1986" t="str">
            <v>※入力 三相 200V-208V (デルタ結線、定格入力電流 24A)×1 (入力プラグ NEMA L15-30P)
※3 つの出力セグメントで、24 口のコンセントを提供(IEC320 C13×18 口/ C19×6 口)
　(1 セグメントあたり、8 口のコンセント(IEC320 C13×6 口/ C19×2 口)、最大 20A)
※各機器から PDU への電源接続用に、C13-C14 ロック機能付き電源ケーブル(0.7m)が1 本標準添付
※垂直マウント型ミッドハイト PDU、36U 以上の HPE 製ラックに対応
※インテリジェント ラック/ 11000 G2 ラック/ Advanced G2 ラック シリーズ用のマウントボタン標準添付</v>
          </cell>
        </row>
        <row r="1987">
          <cell r="A1987" t="str">
            <v>P9R60A</v>
          </cell>
          <cell r="B1987" t="str">
            <v>Metered PDU G2 10kVA 36out (3ph200V)</v>
          </cell>
          <cell r="C1987" t="str">
            <v>※入力 三相 200V-208V (デルタ結線、定格入力電流 27.7A)×1 (入力プラグ Non-NEMA CS8365C 50A プラグ)
※3 つの出力セグメントで、36 口のコンセントを提供(IEC320 C13×30 口/ C19×6 口)
　(1 セグメントあたり、12 口のコンセント(IEC320 C13×10 口/ C19×2 口)、最大 20A)
※各機器から PDU への電源接続用に、C13-C14 ロック機能付き電源ケーブル(0.7m)が1 本標準添付
※垂直マウント型フルハイト PDU、42U 以上の HPE 製ラックに対応のマウントボタン標準添付
　(インテリジェント ラック/ 11000 G2 ラック/ Advanced G2 ラック シリーズ用)</v>
          </cell>
        </row>
        <row r="1988">
          <cell r="A1988" t="str">
            <v>P9R77A</v>
          </cell>
          <cell r="B1988" t="str">
            <v>Metered PDU G2 8.3kVA 6out (200V-40A)</v>
          </cell>
          <cell r="C1988" t="str">
            <v>※入力電圧 200V-208VAC、定格入力電流 40A (入力プラグ Non-NEMA CS8265C 50A プラグ)
※3 つの出力セグメントで、6 口のコンセントを提供(IEC320 C19)
　(1 セグメントあたり、2 口のコンセント、最大 20A)
※オプションの PDU G2 エクステンションバーを PDU のコンセントに接続することにより、コンセントを拡張することが可能
※各機器から PDU への電源接続用に、C19-C20 ロック機能付き電源ケーブル(0.7m)が 1 本標準添付
※10000 /インテリジェント ラック/ 11000 G2 ラック/ Advanced G2 ラック シリーズ用 0U/1U でのマウンティング ブラケット標準添付</v>
          </cell>
        </row>
        <row r="1989">
          <cell r="A1989" t="str">
            <v>P9R78A</v>
          </cell>
          <cell r="B1989" t="str">
            <v>Metered PDU G2 8.6kVA 6out (3ph200V)</v>
          </cell>
          <cell r="C1989" t="str">
            <v>※入力 三相 200V-208V (デルタ結線、定格入力電流 24A)×1 (入力プラグ NEMA L15-30P)
※3 つの出力セグメントで、6 口のコンセントを提供(IEC320 C19)
　(1 セグメントあたり、2 口のコンセント、最大 20A)
※オプションの PDU G2 エクステンションバーを PDU のコンセントに接続することにより、コンセントを拡張することが可能
※各機器から PDU への電源接続用に、C19-C20 ロック機能付き電源ケーブル(0.7m)が 1 本標準添付
※10000 /インテリジェント ラック/ 11000 G2 ラック/ Advanced G2 ラック シリーズ用 0U/1U でのマウンティング ブラケット標準添付</v>
          </cell>
        </row>
        <row r="1990">
          <cell r="A1990" t="str">
            <v>P9R80A</v>
          </cell>
          <cell r="B1990" t="str">
            <v>Metered PDU G2 17.3kVA 6out (3ph200V)</v>
          </cell>
          <cell r="C1990" t="str">
            <v>※入力 三相 200V-208V (デルタ結線、定格入力電流 48A)×1 (入力プラグ IEC 60309 60A)
※6 つの出力セグメントで、6 口のコンセントを提供(IEC320 C19)
　(1 セグメントあたり、1 口のコンセント(IEC320 C19)、最大 20A)
※オプションの PDU G2 エクステンションバーを PDU のコンセントに接続することにより、コンセントを拡張することが可能
※各機器から PDU への電源接続用に、C13-C14 ロック機能付き電源ケーブル(0.7m)が1 本標準添付
※10000 /インテリジェント ラック/ 11000 G2 ラック/ Advanced G2 ラック シリーズ用 0U/1U でのマウンティング ブラケット標準添付</v>
          </cell>
        </row>
        <row r="1991">
          <cell r="A1991" t="str">
            <v>P9R82A</v>
          </cell>
          <cell r="B1991" t="str">
            <v>Metered PDU G2 17.3kVA 24out (3ph200V)</v>
          </cell>
          <cell r="C1991" t="str">
            <v>※入力 三相 200V-208V (デルタ結線、定格入力電流 48A)×1 (入力プラグ IEC 60309 60A)
※6 つの出力セグメントで、24 口のコンセントを提供(IEC320 C13×18 口/ C19×6 口)
　(1 セグメントあたり、4 口のコンセント(IEC320 C13×3 口/ C19×1 口)、最大 20A)
※各機器から PDU への電源接続用に、C13-C14 ロック機能付き電源ケーブル(0.7m)が1 本標準添付
※垂直マウント型ハーフハイト 高密度 PDU、22U 以上の HPE 製ラックに対応コンセントがラックの背面を向いた状態で、PDU の側面でのみ取り付け可能
※インテリジェント ラック/ 11000 G2 ラック/ Advanced G2 ラック シリーズ用のマウントボタン標準添付</v>
          </cell>
        </row>
        <row r="1992">
          <cell r="A1992" t="str">
            <v>P9R83A</v>
          </cell>
          <cell r="B1992" t="str">
            <v>Metered PDU G2 17.3kVA 48out (3ph200V)</v>
          </cell>
          <cell r="C1992" t="str">
            <v>※入力 三相 200V-208V (デルタ結線、定格入力電流 48A)×1 (入力プラグ IEC 60309 60A)
※6 つの出力セグメントで、48 口のコンセントを提供(IEC320 C13×36 口/ C19×12 口)
　(1 セグメントあたり、8 口のコンセント(IEC320 C13×6 口/ C19×2 口)、最大 20A)
※各機器から PDU への電源接続用に、C13-C14 ロック機能付き電源ケーブル(0.7m)が1 本標準添付
※垂直マウント型フルハイト 高密度 PDU、42U 以上の HPE 製ラックに対応
※コンセントがラックの背面を向いた状態で、PDU の側面でのみ取り付け可能
※インテリジェント ラック/ 11000 G2 ラック/ Advanced G2 ラック シリーズ用のマウントボタン標準添付</v>
          </cell>
        </row>
        <row r="1993">
          <cell r="A1993" t="str">
            <v>P9R86A</v>
          </cell>
          <cell r="B1993" t="str">
            <v>Metered PDU G2 17.3kVA 24out (3ph200V)</v>
          </cell>
          <cell r="C1993" t="str">
            <v>※入力 三相 200V-208V (デルタ結線、定格入力電流 48A)×1 (入力プラグ IEC 60309 60A)
※6 つの出力セグメントで、24 口のコンセントを提供(IEC320 C13×12 口/ C19×12 口)
　(1 セグメントあたり、4 口のコンセント(IEC320 C13×2 口/ C19×2 口)、最大 20A)
※各機器から PDU への電源接続用に、C13-C14 ロック機能付き電源ケーブル(0.7m)が1 本標準添付
※垂直マウント型フルハイト PDU、42U 以上の HPE 製ラックに対応
※インテリジェント ラック/ 11000 G2 ラック/ Advanced G2 ラック シリーズ用のマウントボタン標準添付</v>
          </cell>
        </row>
        <row r="1994">
          <cell r="A1994" t="str">
            <v>P9S09A</v>
          </cell>
          <cell r="B1994" t="str">
            <v>Switched PDU G2 2.8kVA 18out (100V-24A)</v>
          </cell>
          <cell r="C1994" t="str">
            <v>※入力電圧 100V-120VAC、定格入力電流 24A (入力プラグ NEMA L5-30P)
※2 つの出力セグメントで、18 口のコンセントを提供(NEMA 5-15 / 20R)
　(1 セグメントあたり、9 口のコンセント、最大 20A)
※＊垂直マウント型ミッドハイト PDU、36U 以上の HPE 製ラックに対応
※インテリジェント ラック/ 11000 G2 ラック/ Advanced G2 ラック シリーズ用のマウントボタン標準添付</v>
          </cell>
        </row>
        <row r="1995">
          <cell r="A1995" t="str">
            <v>P9S10A</v>
          </cell>
          <cell r="B1995" t="str">
            <v>Switched PDU G2 2.8kVA 16out (100V-24A)</v>
          </cell>
          <cell r="C1995" t="str">
            <v>※入力電圧 100V-120VAC、定格入力電流 24A (入力プラグ NEMA L5-30P)
※2 つの出力セグメントで、16 口のコンセントを提供(NEMA 5-15 / 20R)
　(1 セグメントあたり、8 口のコンセント、最大 20A)
※10000 /インテリジェント ラック/ 11000 G2 ラック/ Advanced G2 ラックシリーズ用 2U でのマウンティング ブラケット標準添付</v>
          </cell>
        </row>
        <row r="1996">
          <cell r="A1996" t="str">
            <v>P9S11A</v>
          </cell>
          <cell r="B1996" t="str">
            <v>Switched PDUG2 3.6kVA8out(100V-240V 16A)</v>
          </cell>
          <cell r="C1996" t="str">
            <v>※入力電圧 100V-230VAC、定格入力電流 16A (入力 IEC320 C20)
※入力用電源コードとして、200V 用 C19-NEMA L6-20P 電源コード(3.6m、ブラック)が 1 本標準添付
※12 口のコンセントを提供(IEC320 C13)
※10000 /インテリジェント ラック/ 11000 G2 ラック/ Advanced G2 ラック シリーズ用 0U/1U でのマウンティング ブラケット標準添付</v>
          </cell>
        </row>
        <row r="1997">
          <cell r="A1997" t="str">
            <v>P9S12A</v>
          </cell>
          <cell r="B1997" t="str">
            <v>Switched PDUG2 3.6kVA16out(100V-240V16A)</v>
          </cell>
          <cell r="C1997" t="str">
            <v>※入力電圧 100V-230VAC、定格入力電流 16A (入力 IEC320 C20)
※入力用電源コードとして、200V 用 C19-NEMA L6-20P 電源コード(3.6m、ブラック)が 1 本標準添付
※16 口のコンセントを提供(IEC320 C13×12 口/ C19×4 口)
※垂直マウント型ハーフハイト PDU、22U 以上の HPE 製ラックに対応
※インテリジェント ラック/ 11000 G2 ラック/ Advanced G2 ラック シリーズ用のマウントボタン標準添付</v>
          </cell>
        </row>
        <row r="1998">
          <cell r="A1998" t="str">
            <v>P9S13A</v>
          </cell>
          <cell r="B1998" t="str">
            <v>Switched PDU G2 4.9kVA 16out (200V-24A)</v>
          </cell>
          <cell r="C1998" t="str">
            <v>※入力電圧 200V-208VAC、定格入力電流 24A (入力プラグ NEMA L6-30P)
※2 つの出力セグメントで、16 口のコンセントを提供
　(IEC320 C13×12 口/ C19×4 口)(1 セグメントあたり、8 口のコンセント(IEC320 C13×6 口/ C19×2 口)、最大 20A)
※10000 /インテリジェント ラック/ 11000 G2 ラック/ Advanced G2 ラック シリーズ用 2U でのマウンティング ブラケット標準添付</v>
          </cell>
        </row>
        <row r="1999">
          <cell r="A1999" t="str">
            <v>P9S14A</v>
          </cell>
          <cell r="B1999" t="str">
            <v>Switched PDU G2 4.9kVA 24out (200V-24A)</v>
          </cell>
          <cell r="C1999" t="str">
            <v>※入力電圧 200V-208VAC、定格入力電流 24A (入力プラグ NEMA L6-30P)
※2 つの出力セグメントで、24 口のコンセントを提供 (IEC320 C13×20 口/ C19×4 口)
　(1 セグメントあたり、12 口のコンセント(IEC320 C13×10 口/ C19×2 口)、最大 20A)
※各機器から PDU への電源接続用に、C13-C14 ロック機能付き電源ケーブル(0.7m)が1 本標準添付
※垂直マウント型フルハイト PDU、42U 以上の HPE 製ラックに対応
※インテリジェント ラック/ 11000 G2 ラック/ Advanced G2 ラック シリーズ用のマウントボタン標準添付</v>
          </cell>
        </row>
        <row r="2000">
          <cell r="A2000" t="str">
            <v>P9S15A</v>
          </cell>
          <cell r="B2000" t="str">
            <v>Mtrd&amp;Swtd PDU G2 4.9kVA 24out (200V-24A)</v>
          </cell>
          <cell r="C2000" t="str">
            <v>※入力電圧 200V-208VAC、定格入力電流 24A (入力プラグ NEMA L6-30P)
※2 つの出力セグメントで、24 口のコンセントを提供(IEC320 C13×20 口/ C19×4 口)
　(1 セグメントあたり、12 口のコンセント(IEC320 C13×10 口/ C19×2 口)、最大 20A)
※各機器から PDU への電源接続用に、C13-C14 ロック機能付き電源ケーブル(0.7m)が1 本標準添付
※垂直マウント型フルハイト PDU、42U 以上の HPE 製ラックに対応
※インテリジェント ラック/ 11000 G2 ラック/ Advanced G2 ラック シリーズ用のマウントボタン標準添付</v>
          </cell>
        </row>
        <row r="2001">
          <cell r="A2001" t="str">
            <v>P9S19A</v>
          </cell>
          <cell r="B2001" t="str">
            <v>Mtrd&amp;Swtd PDU G2 8.6kVA 24out (3ph200V)</v>
          </cell>
          <cell r="C2001" t="str">
            <v>※入力 三相 200V-208V (デルタ結線、定格入力電流 24A)×1 (入力プラグ NEMA L15-30P)
※3 つの出力セグメントで、24 口のコンセントを提供(IEC320 C13×18 口/ C19×6 口)
　(1 セグメントあたり、8 口のコンセント(IEC320 C13×6 口/ C19×2 口)、最大 20A)
※各機器から PDU への電源接続用に、C13-C14 ロック機能付き電源ケーブル(0.7m)が1 本標準添付
※垂直マウント型フルハイト PDU、42U 以上の HPE 製ラックに対応
※インテリジェント ラック/ 11000 G2 ラック/ Advanced G2 ラック シリーズ用のマウントボタン標準添付</v>
          </cell>
        </row>
        <row r="2002">
          <cell r="A2002" t="str">
            <v>P9S21A</v>
          </cell>
          <cell r="B2002" t="str">
            <v>Mtrd&amp;Swtd PDU G2 14.4kVA 24out (3ph200V)</v>
          </cell>
          <cell r="C2002" t="str">
            <v>※入力 三相 200V-208V (デルタ結線、定格入力電流 40A)×1 (入力プラグ Non-NEMA CS8365C 50A プラグ)
※6 つの出力セグメントで、24 口のコンセントを提供(IEC320 C13×12 口/ C19×12 口)
　(1 セグメントあたり、4 口のコンセント(IEC320 C13×2 口/ C19×2 口)、最大 20A)
※各機器から PDU への電源接続用に、C13-C14 ロック機能付き電源ケーブル(0.7m)が1 本標準添付
※垂直マウント型フルハイト PDU、42U 以上の HPE 製ラックに対応
※インテリジェント ラック/ 11000 G2 ラック/ Advanced G2 ラック シリーズ用のマウントボタン標準添付</v>
          </cell>
        </row>
        <row r="2003">
          <cell r="A2003" t="str">
            <v>P9S22A</v>
          </cell>
          <cell r="B2003" t="str">
            <v>Mtrd&amp;Swtd PDU G2 17.3kVA 24out (3ph200V)</v>
          </cell>
          <cell r="C2003" t="str">
            <v>※入力 三相 200V-208V (デルタ結線、定格入力電流 48A)×1 (入力プラグ IEC 60309 60A)
※6 つの出力セグメントで、24 口のコンセントを提供(IEC320 C13×12 口/ C19×12 口)
　(1 セグメントあたり、4 口のコンセント(IEC320 C13×2 口/ C19×2 口)、最大 20A)
※各機器から PDU への電源接続用に、C13-C14 ロック機能付き電源ケーブル(0.7m)が1 本標準添付
※垂直マウント型フルハイト PDU、42U 以上の HPE 製ラックに対応
※インテリジェント ラック/ 11000 G2 ラック/ Advanced G2 ラック シリーズ用のマウントボタン標準添付</v>
          </cell>
        </row>
        <row r="2004">
          <cell r="A2004" t="str">
            <v>P9S23A</v>
          </cell>
          <cell r="B2004" t="str">
            <v>Mtrd&amp;Swtd PDU G2 17.3kVA 48out (3ph200V)</v>
          </cell>
          <cell r="C2004" t="str">
            <v>※入力 三相 200V-208V (デルタ結線、定格入力電流 48A)×1 (入力プラグ IEC 60309 60A)
※6 つの出力セグメントで、48 口のコンセントを提供(IEC320 C13×36 口/ C19×12 口)
　(1 セグメントあたり、8 口のコンセント(IEC320 C13×6 口/ C19×2 口)、最大 20A)
※各機器から PDU への電源接続用に、C13-C14 ロック機能付き電源ケーブル(0.7m)が1 本標準添付
※垂直マウント型フルハイト 高密度 PDU、42U 以上の HPE 製ラックに対応
※コンセントがラックの背面を向いた状態で、PDU の側面でのみ取り付け可能
※インテリジェント ラック/ 11000 G2 ラック/ Advanced G2 ラック シリーズ用のマウントボタン標準添付</v>
          </cell>
        </row>
        <row r="2005">
          <cell r="A2005" t="str">
            <v>P9T00A</v>
          </cell>
          <cell r="B2005" t="str">
            <v>PDU G2用温度センサー</v>
          </cell>
          <cell r="C2005" t="str">
            <v>ラック内の温度を監視するためのオプション</v>
          </cell>
        </row>
        <row r="2006">
          <cell r="A2006" t="str">
            <v>P9T01A</v>
          </cell>
          <cell r="B2006" t="str">
            <v>PDU G2用温度、湿度センサー</v>
          </cell>
          <cell r="C2006" t="str">
            <v>ラック内の温度と相対湿度を監視するためのオプション</v>
          </cell>
        </row>
        <row r="2007">
          <cell r="A2007" t="str">
            <v>P9T02A</v>
          </cell>
          <cell r="B2007" t="str">
            <v>PDU G2用温度(3個)、湿度(1個)センサー</v>
          </cell>
          <cell r="C2007" t="str">
            <v>ラックの温度(3 個)および湿度を検知するオプション</v>
          </cell>
        </row>
        <row r="2008">
          <cell r="A2008" t="str">
            <v>P9T03A</v>
          </cell>
          <cell r="B2008" t="str">
            <v>PDU G2用ラックドア開閉センサー</v>
          </cell>
          <cell r="C2008" t="str">
            <v>ラックのフロント/リアドアの開閉を監視するオプション</v>
          </cell>
        </row>
        <row r="2009">
          <cell r="A2009" t="str">
            <v>P9T04A</v>
          </cell>
          <cell r="B2009" t="str">
            <v>PDU G2用水漏れセンサー</v>
          </cell>
          <cell r="C2009" t="str">
            <v>ラックの水漏れを検知するオプション
※水漏れセンサーのロープ(6m)が 1 本付属</v>
          </cell>
        </row>
        <row r="2010">
          <cell r="A2010" t="str">
            <v>P9T07A</v>
          </cell>
          <cell r="B2010" t="str">
            <v>PDU G2用センサーポート拡張ハブ</v>
          </cell>
          <cell r="C2010" t="str">
            <v>PDU と最大 3 つの環境センサーを接続可能
※RJ-45 ポートを 4 ポート装備</v>
          </cell>
        </row>
        <row r="2011">
          <cell r="A2011" t="str">
            <v>P9T08A</v>
          </cell>
          <cell r="B2011" t="str">
            <v>PDU G2用水漏れセンサー延長キット</v>
          </cell>
          <cell r="C2011" t="str">
            <v>最大 4 本追加可能することにより、ロープの長さを 30m まで拡張可能
※水漏れセンサーのロープ(6m)が 1 本付属</v>
          </cell>
        </row>
        <row r="2012">
          <cell r="A2012" t="str">
            <v>Q0H80A</v>
          </cell>
          <cell r="B2012" t="str">
            <v>48V DCパワーケーブルキット(2.85m)</v>
          </cell>
          <cell r="C2012" t="str">
            <v>48V DC電源ケーブル</v>
          </cell>
        </row>
        <row r="2013">
          <cell r="A2013" t="str">
            <v>Q0P67A</v>
          </cell>
          <cell r="B2013" t="str">
            <v>C13-C14 lock電源ケーブル (0.7m)</v>
          </cell>
          <cell r="C2013" t="str">
            <v>200V電源ケーブル</v>
          </cell>
        </row>
        <row r="2014">
          <cell r="A2014" t="str">
            <v>Q0P68A</v>
          </cell>
          <cell r="B2014" t="str">
            <v>C13-C14 lock電源ケーブル (1.4m)</v>
          </cell>
          <cell r="C2014" t="str">
            <v>200V電源ケーブル</v>
          </cell>
        </row>
        <row r="2015">
          <cell r="A2015" t="str">
            <v>Q0P69A</v>
          </cell>
          <cell r="B2015" t="str">
            <v>C13-C14 lock電源ケーブル (2m)</v>
          </cell>
          <cell r="C2015" t="str">
            <v>200V電源ケーブル</v>
          </cell>
        </row>
        <row r="2016">
          <cell r="A2016" t="str">
            <v>Q0P70A</v>
          </cell>
          <cell r="B2016" t="str">
            <v>C13-C14 lock電源ケーブル (3m)</v>
          </cell>
          <cell r="C2016" t="str">
            <v>200V電源ケーブル</v>
          </cell>
        </row>
        <row r="2017">
          <cell r="A2017" t="str">
            <v>Q0P71A</v>
          </cell>
          <cell r="B2017" t="str">
            <v>C19-C20 lock電源ケーブル (1.2m)</v>
          </cell>
          <cell r="C2017" t="str">
            <v>200V電源ケーブル</v>
          </cell>
        </row>
        <row r="2018">
          <cell r="A2018" t="str">
            <v>Q0P72A</v>
          </cell>
          <cell r="B2018" t="str">
            <v>C19-C20 lock電源ケーブル (2m)</v>
          </cell>
          <cell r="C2018" t="str">
            <v>200V電源ケーブル</v>
          </cell>
        </row>
        <row r="2019">
          <cell r="A2019" t="str">
            <v>Q0P73A</v>
          </cell>
          <cell r="B2019" t="str">
            <v>C19-C20 lock電源ケーブル (2.5m)</v>
          </cell>
          <cell r="C2019" t="str">
            <v>200V電源ケーブル</v>
          </cell>
        </row>
        <row r="2020">
          <cell r="A2020" t="str">
            <v>Q0Q02A</v>
          </cell>
          <cell r="B2020" t="str">
            <v>C13-C14 lock電源ケーブル 6本パック(0.7m)</v>
          </cell>
          <cell r="C2020" t="str">
            <v>200V電源ケーブル</v>
          </cell>
        </row>
        <row r="2021">
          <cell r="A2021" t="str">
            <v>Q0Q03A</v>
          </cell>
          <cell r="B2021" t="str">
            <v>C13-C14 lock電源ケーブル 6本パック(1.4m)</v>
          </cell>
          <cell r="C2021" t="str">
            <v>200V電源ケーブル</v>
          </cell>
        </row>
        <row r="2022">
          <cell r="A2022" t="str">
            <v>Q0Q04A</v>
          </cell>
          <cell r="B2022" t="str">
            <v>C13-C14 lock電源ケーブル 6本パック(2m)</v>
          </cell>
          <cell r="C2022" t="str">
            <v>200V電源ケーブル</v>
          </cell>
        </row>
        <row r="2023">
          <cell r="A2023" t="str">
            <v>Q0Q05A</v>
          </cell>
          <cell r="B2023" t="str">
            <v>C13-C14 lock電源ケーブル 6本パック(3m)</v>
          </cell>
          <cell r="C2023" t="str">
            <v>200V電源ケーブル</v>
          </cell>
        </row>
        <row r="2024">
          <cell r="A2024" t="str">
            <v>Q0R15A</v>
          </cell>
          <cell r="B2024" t="str">
            <v>C19-C20 lock電源ケーブル 6本パック(0.7m)</v>
          </cell>
          <cell r="C2024" t="str">
            <v>200V電源ケーブル</v>
          </cell>
        </row>
        <row r="2025">
          <cell r="A2025" t="str">
            <v>Q0R16A</v>
          </cell>
          <cell r="B2025" t="str">
            <v>C19-C20 lock電源ケーブル 6本パック(1.2m)</v>
          </cell>
          <cell r="C2025" t="str">
            <v>200V電源ケーブル</v>
          </cell>
        </row>
        <row r="2026">
          <cell r="A2026" t="str">
            <v>Q0R17A</v>
          </cell>
          <cell r="B2026" t="str">
            <v>C19-C20 lock電源ケーブル 6本パック(2m)</v>
          </cell>
          <cell r="C2026" t="str">
            <v>200V電源ケーブル</v>
          </cell>
        </row>
        <row r="2027">
          <cell r="A2027" t="str">
            <v>Q0R18A</v>
          </cell>
          <cell r="B2027" t="str">
            <v>C19-C20 lock電源ケーブル 6本パック(2.5m)</v>
          </cell>
          <cell r="C2027" t="str">
            <v>200V電源ケーブル</v>
          </cell>
        </row>
        <row r="2028">
          <cell r="A2028" t="str">
            <v>Q0R19A</v>
          </cell>
          <cell r="B2028" t="str">
            <v>C19-C20 lock電源ケーブル (0.7m)</v>
          </cell>
          <cell r="C2028" t="str">
            <v>200V電源ケーブル</v>
          </cell>
        </row>
        <row r="2029">
          <cell r="A2029" t="str">
            <v>Q7G16A</v>
          </cell>
          <cell r="B2029" t="str">
            <v>47U-48Uラック接続キット</v>
          </cell>
          <cell r="C2029" t="str">
            <v>高さ 47U のインテリジェント ラックと高さ 48U の 11000 G2 ラック/ Advanced G2 ラックを
連結する際に必要な連結金具等のセット</v>
          </cell>
        </row>
        <row r="2030">
          <cell r="A2030" t="str">
            <v>Q7Y55A</v>
          </cell>
          <cell r="B2030" t="str">
            <v>iLO専用 USB LANアダプター</v>
          </cell>
          <cell r="C2030" t="str">
            <v>メンテナンス時にフロントのサービス ポート(USB)を 使って Ethernet アクセスするための USB-LAN アダプター</v>
          </cell>
        </row>
        <row r="2031">
          <cell r="A2031" t="str">
            <v>SG506A</v>
          </cell>
          <cell r="B2031" t="str">
            <v>C13-C14 PLC電源ケーブル (0.8m)</v>
          </cell>
          <cell r="C2031" t="str">
            <v>200V電源ケーブル</v>
          </cell>
        </row>
        <row r="2032">
          <cell r="A2032" t="str">
            <v>SG507A</v>
          </cell>
          <cell r="B2032" t="str">
            <v>C13-C14 PLC電源ケーブル5本パック (0.8m)</v>
          </cell>
          <cell r="C2032" t="str">
            <v>200V電源ケーブル</v>
          </cell>
        </row>
        <row r="2033">
          <cell r="A2033" t="str">
            <v>SG508A</v>
          </cell>
          <cell r="B2033" t="str">
            <v>C13-C14 PLC電源ケーブル (1.4m)</v>
          </cell>
          <cell r="C2033" t="str">
            <v>200V電源ケーブル</v>
          </cell>
        </row>
        <row r="2034">
          <cell r="A2034" t="str">
            <v>SG509A</v>
          </cell>
          <cell r="B2034" t="str">
            <v>C13-C14 PLC電源ケーブル5本パック (1.4m)</v>
          </cell>
          <cell r="C2034" t="str">
            <v>200V電源ケーブル</v>
          </cell>
        </row>
        <row r="2035">
          <cell r="A2035" t="str">
            <v>SG510A</v>
          </cell>
          <cell r="B2035" t="str">
            <v>C13-C14 PLC電源ケーブル (1.8m)</v>
          </cell>
          <cell r="C2035" t="str">
            <v>200V電源ケーブル</v>
          </cell>
        </row>
        <row r="2036">
          <cell r="A2036" t="str">
            <v>SG511A</v>
          </cell>
          <cell r="B2036" t="str">
            <v>C13-C14 PLC電源ケーブル5本パック (1.8m)</v>
          </cell>
          <cell r="C2036" t="str">
            <v>200V電源ケーブル</v>
          </cell>
        </row>
        <row r="2037">
          <cell r="A2037" t="str">
            <v>SG512A</v>
          </cell>
          <cell r="B2037" t="str">
            <v>C13-C14 PLC電源ケーブル (3m)</v>
          </cell>
          <cell r="C2037" t="str">
            <v>200V電源ケーブル</v>
          </cell>
        </row>
        <row r="2038">
          <cell r="A2038" t="str">
            <v>TK738A</v>
          </cell>
          <cell r="B2038" t="str">
            <v>C19-C20 PLC電源ケーブル (2m)</v>
          </cell>
          <cell r="C2038" t="str">
            <v>200V電源ケーブル</v>
          </cell>
        </row>
        <row r="2039">
          <cell r="A2039" t="str">
            <v>TK740A</v>
          </cell>
          <cell r="B2039" t="str">
            <v>C19-C20 PLC電源ケーブル (2.5m)</v>
          </cell>
          <cell r="C2039" t="str">
            <v>200V電源ケーブル</v>
          </cell>
        </row>
        <row r="2040">
          <cell r="A2040" t="str">
            <v>TK742A</v>
          </cell>
          <cell r="B2040" t="str">
            <v>C19-C20 PLC電源ケーブル (3m)</v>
          </cell>
          <cell r="C2040" t="str">
            <v>200V電源ケーブル</v>
          </cell>
        </row>
        <row r="2041">
          <cell r="A2041" t="str">
            <v>TK744A</v>
          </cell>
          <cell r="B2041" t="str">
            <v>C19-C20 PLC電源ケーブル (1.37m)</v>
          </cell>
          <cell r="C2041" t="str">
            <v>200V電源ケーブル</v>
          </cell>
        </row>
        <row r="2042">
          <cell r="A2042" t="str">
            <v>755984-B21</v>
          </cell>
          <cell r="B2042" t="str">
            <v>Synergy D3940 ストレージモジュール</v>
          </cell>
          <cell r="C2042" t="str">
            <v>内部に 40 台の 2.5 インチ(SFF) SC SAS / SATA ドライブをサポート</v>
          </cell>
        </row>
        <row r="2043">
          <cell r="A2043" t="str">
            <v>755985-B21</v>
          </cell>
          <cell r="B2043" t="str">
            <v>Synergy 12Gb SAS コネクションモジュール</v>
          </cell>
          <cell r="C2043" t="str">
            <v>Synergy D3940 ストレージ モジュール接続専用 12Gb SAS スイッチインターコネクト モジュール</v>
          </cell>
        </row>
        <row r="2044">
          <cell r="A2044" t="str">
            <v>757323-B21</v>
          </cell>
          <cell r="B2044" t="str">
            <v>Synergy D3940 IO アダプター</v>
          </cell>
          <cell r="C2044" t="str">
            <v>SAS経路冗長用オプション</v>
          </cell>
        </row>
        <row r="2045">
          <cell r="A2045" t="str">
            <v>758801-B21</v>
          </cell>
          <cell r="B2045" t="str">
            <v>Smartアレイ P240nr/1G FBWC</v>
          </cell>
          <cell r="C2045" t="str">
            <v>1GBキャッシュ付HW RAIDコントローラー
※システム ボード上にドーターボード形式で搭載</v>
          </cell>
        </row>
        <row r="2046">
          <cell r="A2046" t="str">
            <v>759553-B21</v>
          </cell>
          <cell r="B2046" t="str">
            <v>H240nr Smart ホスト バス アダプター</v>
          </cell>
          <cell r="C2046" t="str">
            <v>キャッシュ無しHW RAIDコントローラー
※システム ボード上にドーターボード形式で搭載</v>
          </cell>
        </row>
        <row r="2047">
          <cell r="A2047" t="str">
            <v>759557-B21</v>
          </cell>
          <cell r="B2047" t="str">
            <v>Smartアレイ P542D/2G FBWC</v>
          </cell>
          <cell r="C2047" t="str">
            <v>Synergy D3940 ストレージ モジュール接続用 2GBキャッシュ付 HW RAIDコントローラー</v>
          </cell>
        </row>
        <row r="2048">
          <cell r="A2048" t="str">
            <v>777430-B21</v>
          </cell>
          <cell r="B2048" t="str">
            <v>Synergy 3820C 10/20Gb CNA</v>
          </cell>
          <cell r="C2048" t="str">
            <v>10/20GbE x2ポート CNA
※Flex-20 (4 分割 FlexNICs/FlexHBAs) 対応</v>
          </cell>
        </row>
        <row r="2049">
          <cell r="A2049" t="str">
            <v>777452-B21</v>
          </cell>
          <cell r="B2049" t="str">
            <v>Synergy 3830C 16G FC HBA</v>
          </cell>
          <cell r="C2049" t="str">
            <v>8/16 Gb x2ポート FC HBA (QLogic 製)</v>
          </cell>
        </row>
        <row r="2050">
          <cell r="A2050" t="str">
            <v>777454-B21</v>
          </cell>
          <cell r="B2050" t="str">
            <v>Synergy 3530C 16G FC HBA</v>
          </cell>
          <cell r="C2050" t="str">
            <v>8/16 Gb x2ポート FC HBA (Emulex 製)</v>
          </cell>
        </row>
        <row r="2051">
          <cell r="A2051" t="str">
            <v>779215-B21</v>
          </cell>
          <cell r="B2051" t="str">
            <v>Synergy 10Gb Interconnect Link Module</v>
          </cell>
          <cell r="C2051" t="str">
            <v>複数のフレームにおいて、Master / Satellite ファブリック構成をする際の Satellite モジュール</v>
          </cell>
        </row>
        <row r="2052">
          <cell r="A2052" t="str">
            <v>779218-B21</v>
          </cell>
          <cell r="B2052" t="str">
            <v>Synergy 20Gb Inter Connect Link Module</v>
          </cell>
          <cell r="C2052" t="str">
            <v>3 基までの複数フレーム構成において、Master / Satellite ファブリック構成をする際の Satellite モジュール</v>
          </cell>
        </row>
        <row r="2053">
          <cell r="A2053" t="str">
            <v>779224-B23</v>
          </cell>
          <cell r="B2053" t="str">
            <v>Synergy 40Gb F8 スイッチモジュール</v>
          </cell>
          <cell r="C2053" t="str">
            <v>CNA (NIC) 用スイッチ モジュール</v>
          </cell>
        </row>
        <row r="2054">
          <cell r="A2054" t="str">
            <v>779227-B21</v>
          </cell>
          <cell r="B2054" t="str">
            <v>Synergy VC 16Gb FC モジュール</v>
          </cell>
          <cell r="C2054" t="str">
            <v>バーチャルコネクト FC モジュール</v>
          </cell>
        </row>
        <row r="2055">
          <cell r="A2055" t="str">
            <v>782958-B21</v>
          </cell>
          <cell r="B2055" t="str">
            <v>Smartストレージバッテリー 96W 260mm</v>
          </cell>
          <cell r="C2055" t="str">
            <v>Synergy 480 Gen9 コンピュート モジュールで Smart アレイ コントローラー使用時に必要</v>
          </cell>
        </row>
        <row r="2056">
          <cell r="A2056" t="str">
            <v>794502-B23</v>
          </cell>
          <cell r="B2056" t="str">
            <v>Synergy VC 40Gb F8 モジュール</v>
          </cell>
          <cell r="C2056" t="str">
            <v>FlexFabric 対応バーチャルコネクト モジュール</v>
          </cell>
        </row>
        <row r="2057">
          <cell r="A2057" t="str">
            <v>794538-B21</v>
          </cell>
          <cell r="B2057" t="str">
            <v>Synergy 2820C 10Gb CNA</v>
          </cell>
          <cell r="C2057" t="str">
            <v>10 GbE x2ポート CNA
※Flex-10 (4 分割 FlexNICs/FlexHBAs) 対応</v>
          </cell>
        </row>
        <row r="2058">
          <cell r="A2058" t="str">
            <v>797738-B21</v>
          </cell>
          <cell r="B2058" t="str">
            <v>Synergy 12000 (1FLM, 2PS, 10FAN)</v>
          </cell>
          <cell r="C2058" t="str">
            <v>単相 AC 200V 仕様 (AC 100V 未対応)、電源入力：IEC 320 C19-C20 電源コード(2m)×2 本標準添付
80PLUS Titanium 認定 2650W パワーサプライ 2 個、ファン 10 個、フレーム リンク モジュール 1 個を標準搭載
※リフト ハンドル、ラックレールキットが標準添付
※フロント パネルにコンソール接続用 DisplayPort と USB ポートを装備</v>
          </cell>
        </row>
        <row r="2059">
          <cell r="A2059" t="str">
            <v>797739-B21</v>
          </cell>
          <cell r="B2059" t="str">
            <v>Synergy 12000 (2FLM, 6PS, 10FAN)</v>
          </cell>
          <cell r="C2059" t="str">
            <v>単相 AC 200V 仕様 (AC 100V 未対応)、電源入力：IEC 320 C19-C20 電源コード(2m)×6 本標準添付
80PLUS Titanium 認定 2650W パワーサプライ 6 個、ファン 10 個、フレーム リンク モジュール 2 個を標準搭載
※リフト ハンドル、ラックレールキットが標準添付
※フロント パネルにコンソール接続用 DisplayPort と USB ポートを装備</v>
          </cell>
        </row>
        <row r="2060">
          <cell r="A2060" t="str">
            <v>798095-B21</v>
          </cell>
          <cell r="B2060" t="str">
            <v>2650W Titanium パワーサプライ</v>
          </cell>
          <cell r="C2060" t="str">
            <v>電源冗長構成</v>
          </cell>
        </row>
        <row r="2061">
          <cell r="A2061" t="str">
            <v>799330-B21</v>
          </cell>
          <cell r="B2061" t="str">
            <v>Synergy 10Gb パススルーモジュール</v>
          </cell>
          <cell r="C2061" t="str">
            <v>CNA (NIC) 用 Ethernet パススルー インターコネクト モジュール</v>
          </cell>
        </row>
        <row r="2062">
          <cell r="A2062" t="str">
            <v>804095-B21</v>
          </cell>
          <cell r="B2062" t="str">
            <v>Synergy インターコネクトリンク 1.1m DAC</v>
          </cell>
          <cell r="C2062" t="str">
            <v>Synergy インターコネクト リンク用 1.1m DACケーブル</v>
          </cell>
        </row>
        <row r="2063">
          <cell r="A2063" t="str">
            <v>804101-B21</v>
          </cell>
          <cell r="B2063" t="str">
            <v>Synergy インターコネクトリンク 3m AOC</v>
          </cell>
          <cell r="C2063" t="str">
            <v>Synergy インターコネクト リンク用 3m AOCケーブル</v>
          </cell>
        </row>
        <row r="2064">
          <cell r="A2064" t="str">
            <v>804104-B21</v>
          </cell>
          <cell r="B2064" t="str">
            <v>Synergy インターコネクトリンク 5m AOC</v>
          </cell>
          <cell r="C2064" t="str">
            <v>Synergy インターコネクト リンク用 5m AOCケーブル</v>
          </cell>
        </row>
        <row r="2065">
          <cell r="A2065" t="str">
            <v>804107-B21</v>
          </cell>
          <cell r="B2065" t="str">
            <v>Synergy インターコネクトリンク 10m AOC</v>
          </cell>
          <cell r="C2065" t="str">
            <v>Synergy インターコネクト リンク用 10m AOCケーブル</v>
          </cell>
        </row>
        <row r="2066">
          <cell r="A2066" t="str">
            <v>804110-B21</v>
          </cell>
          <cell r="B2066" t="str">
            <v>Synergy インターコネクトリンク 15m AOC</v>
          </cell>
          <cell r="C2066" t="str">
            <v>Synergy インターコネクト リンク用 15m AOCケーブル</v>
          </cell>
        </row>
        <row r="2067">
          <cell r="A2067" t="str">
            <v>804155-B21</v>
          </cell>
          <cell r="B2067" t="str">
            <v>Synergy インターコネクトリンク 2.1m DAC</v>
          </cell>
          <cell r="C2067" t="str">
            <v>Synergy インターコネクト リンク用 2.1m DACケーブル</v>
          </cell>
        </row>
        <row r="2068">
          <cell r="A2068" t="str">
            <v>804353-B21</v>
          </cell>
          <cell r="B2068" t="str">
            <v>Synergy コンポーザー</v>
          </cell>
          <cell r="C2068" t="str">
            <v>Synergy システム内の各ハードウェアを設定/管理/監視を行うアプライアンス モジュール</v>
          </cell>
        </row>
        <row r="2069">
          <cell r="A2069" t="str">
            <v>804923-B21</v>
          </cell>
          <cell r="B2069" t="str">
            <v>Synergy 12000 ハーフパーティションボード</v>
          </cell>
          <cell r="C2069" t="str">
            <v>ハーフ パーティション ボード
※2 スロットのハーフ ハイト (HH) ベイと 1 スロットのフルハイト (FH) ベイに変換可能</v>
          </cell>
        </row>
        <row r="2070">
          <cell r="A2070" t="str">
            <v>804937-B21</v>
          </cell>
          <cell r="B2070" t="str">
            <v>Synergy イメージストリーマー</v>
          </cell>
          <cell r="C2070" t="str">
            <v>ソフトウェア管理用アプライアンス モジュール</v>
          </cell>
        </row>
        <row r="2071">
          <cell r="A2071" t="str">
            <v>804938-B21</v>
          </cell>
          <cell r="B2071" t="str">
            <v>Synergy 12000 ラックレールオプション</v>
          </cell>
          <cell r="C2071" t="str">
            <v>ラックレールキット</v>
          </cell>
        </row>
        <row r="2072">
          <cell r="A2072" t="str">
            <v>804942-B21</v>
          </cell>
          <cell r="B2072" t="str">
            <v>Synergy フレームリンクモジュール</v>
          </cell>
          <cell r="C2072" t="str">
            <v>フレームリンクモジュール(冗長化用)</v>
          </cell>
        </row>
        <row r="2073">
          <cell r="A2073" t="str">
            <v>804943-B21</v>
          </cell>
          <cell r="B2073" t="str">
            <v>Synergy 12000 フレーム リフトハンドル4個</v>
          </cell>
          <cell r="C2073" t="str">
            <v>-</v>
          </cell>
        </row>
        <row r="2074">
          <cell r="A2074" t="str">
            <v>815173-B21</v>
          </cell>
          <cell r="B2074" t="str">
            <v>Smartアレイ P542D SAS ケーブル</v>
          </cell>
          <cell r="C2074" t="str">
            <v>Smart アレイ P542D コントローラーと内蔵 SAS / SATA ドライブ ケージとの接続用ケーブル</v>
          </cell>
        </row>
        <row r="2075">
          <cell r="A2075" t="str">
            <v>817040-B21</v>
          </cell>
          <cell r="B2075" t="str">
            <v>Synergy 40/4x10GbE/4x8GbFC QSFP+ TXCVR</v>
          </cell>
          <cell r="C2075" t="str">
            <v>QSFP+ to 4x10G Eth / 4x8Gb FC SFP+対応 トランシーバー</v>
          </cell>
        </row>
        <row r="2076">
          <cell r="A2076" t="str">
            <v>826043-B21</v>
          </cell>
          <cell r="B2076" t="str">
            <v>SY480 Multi GPU PCIeカード NVIDIA M6</v>
          </cell>
          <cell r="C2076" t="str">
            <v>-</v>
          </cell>
        </row>
        <row r="2077">
          <cell r="A2077" t="str">
            <v>826950-B21</v>
          </cell>
          <cell r="B2077" t="str">
            <v>SY480 Gen9 E5-2680v4 2P28C 128G P240nr</v>
          </cell>
          <cell r="C2077" t="str">
            <v>Xeon E5-2680v4 2.40GHz 2P/28C MEM：128GB(32GB x4) P240nr/1GB FBWC</v>
          </cell>
        </row>
        <row r="2078">
          <cell r="A2078" t="str">
            <v>826951-B21</v>
          </cell>
          <cell r="B2078" t="str">
            <v>SY480 Gen9 E5-2660v4 2P28C 64G P240nr</v>
          </cell>
          <cell r="C2078" t="str">
            <v>Xeon E5-2660v4 2.0GHz 2P/28C MEM：64GB(16GB x4) P240nr/1GB FBWC</v>
          </cell>
        </row>
        <row r="2079">
          <cell r="A2079" t="str">
            <v>826952-B21</v>
          </cell>
          <cell r="B2079" t="str">
            <v>SY480 Gen9 E5-2650v4 1P12C 64G P240nr</v>
          </cell>
          <cell r="C2079" t="str">
            <v>Xeon E5-2650v4 2.20GHz 1P/12C MEM：64GB(16GB x4) P240nr/1GB FBWC</v>
          </cell>
        </row>
        <row r="2080">
          <cell r="A2080" t="str">
            <v>826953-B21</v>
          </cell>
          <cell r="B2080" t="str">
            <v>SY480 Gen9 E5-2630v4 1P10C 32G P240nr</v>
          </cell>
          <cell r="C2080" t="str">
            <v>Xeon E5-2650v4 2.20GHz 1P/10C MEM：32GB(16GB x2) P240nr/1GB FBWC</v>
          </cell>
        </row>
        <row r="2081">
          <cell r="A2081" t="str">
            <v>826954-B21</v>
          </cell>
          <cell r="B2081" t="str">
            <v>SY480 Gen9 E5-2609v4 1P8C 16G H240nr</v>
          </cell>
          <cell r="C2081" t="str">
            <v>Xeon E5-2609v4 1.70GHz 1P/8C MEM：16GB H240nr HBA</v>
          </cell>
        </row>
        <row r="2082">
          <cell r="A2082" t="str">
            <v>826956-B21</v>
          </cell>
          <cell r="B2082" t="str">
            <v>SY660Gen9 E5-4650v4 4P56C P240nr 1G/FBWC</v>
          </cell>
          <cell r="C2082" t="str">
            <v>Xeon E5-4650v4 2.20GHz 4P/56C MEM：256GB(16GB x16) P240nr/1GB FBWC</v>
          </cell>
        </row>
        <row r="2083">
          <cell r="A2083" t="str">
            <v>826957-B21</v>
          </cell>
          <cell r="B2083" t="str">
            <v>SY660Gen9 E5-4620v4 4P40C P240nr 1G/FBWC</v>
          </cell>
          <cell r="C2083" t="str">
            <v>Xeon E5-4650v4 2.10GHz 4P/40C MEM：128GB(16GB x8) P240nr/1GB FBWC</v>
          </cell>
        </row>
        <row r="2084">
          <cell r="A2084" t="str">
            <v>826958-B21</v>
          </cell>
          <cell r="B2084" t="str">
            <v>SY660 Gen9 E5-4610v4 2P20C H240nr</v>
          </cell>
          <cell r="C2084" t="str">
            <v>Xeon E5-4610v4 1.80GHz 2P/20C MEM：64GB(16GB x4) H240nr HBA</v>
          </cell>
        </row>
        <row r="2085">
          <cell r="A2085" t="str">
            <v>826980-B21</v>
          </cell>
          <cell r="B2085" t="str">
            <v>E5-2609v4 1.70GHz 1P/8C CPU SY480 Gen9</v>
          </cell>
          <cell r="C2085" t="str">
            <v>追加CPU：Xeon E5-2609v4 1.70GHz 2P/16C</v>
          </cell>
        </row>
        <row r="2086">
          <cell r="A2086" t="str">
            <v>826982-B21</v>
          </cell>
          <cell r="B2086" t="str">
            <v>E5-2630v4 2.20GHz 1P/10C CPU SY480 Gen9</v>
          </cell>
          <cell r="C2086" t="str">
            <v>追加CPU：Xeon E5-2630v4 2.20GHz 2P/20C</v>
          </cell>
        </row>
        <row r="2087">
          <cell r="A2087" t="str">
            <v>826983-B21</v>
          </cell>
          <cell r="B2087" t="str">
            <v>E5-2650v4 2.20GHz 1P/12C CPU SY480 Gen9</v>
          </cell>
          <cell r="C2087" t="str">
            <v>追加CPU：Xeon E5-2650v4 2.20GHz 2P/24C</v>
          </cell>
        </row>
        <row r="2088">
          <cell r="A2088" t="str">
            <v>827212-B21</v>
          </cell>
          <cell r="B2088" t="str">
            <v>E5-4610v4 1.80GHz 1P/10C CPU SY660 Gen9</v>
          </cell>
          <cell r="C2088" t="str">
            <v>追加CPU：Xeon E5-4610v4 1.80GHz 4P/40C</v>
          </cell>
        </row>
        <row r="2089">
          <cell r="A2089" t="str">
            <v>834480-B21</v>
          </cell>
          <cell r="B2089" t="str">
            <v>SY680 Gen9 E7-8893v4 4P16C P542D/2G FBWC</v>
          </cell>
          <cell r="C2089" t="str">
            <v>Xeon E7-8893v4 3.20GHz 4P/16C MEM：256GB(32GB x8) P542D/2GB FBWC</v>
          </cell>
        </row>
        <row r="2090">
          <cell r="A2090" t="str">
            <v>834481-B21</v>
          </cell>
          <cell r="B2090" t="str">
            <v>SY680 Gen9 E7-8860v4 4P72C P542D/2G FBWC</v>
          </cell>
          <cell r="C2090" t="str">
            <v>Xeon E7-8860v4 2.20GHz 4P/72C MEM：256GB(32GB x8) P542D/2GB FBWC</v>
          </cell>
        </row>
        <row r="2091">
          <cell r="A2091" t="str">
            <v>834483-B21</v>
          </cell>
          <cell r="B2091" t="str">
            <v>SY620 Gen9 E7-4850v4 2P32C P542D/2G FBWC</v>
          </cell>
          <cell r="C2091" t="str">
            <v>Xeon E7-4850v4 2.10GHz 2P/32C MEM：128GB(32GB x4) P542D/2GB FBWC</v>
          </cell>
        </row>
        <row r="2092">
          <cell r="A2092" t="str">
            <v>834484-B21</v>
          </cell>
          <cell r="B2092" t="str">
            <v>SY620 Gen9 E7-4809v4 1P8C P542D/2G FBWC</v>
          </cell>
          <cell r="C2092" t="str">
            <v>Xeon E7-4850v4 2.10GHz 1P/8C MEM：64GB(32GB x2) P542D/2GB FBWC</v>
          </cell>
        </row>
        <row r="2093">
          <cell r="A2093" t="str">
            <v>834492-B21</v>
          </cell>
          <cell r="B2093" t="str">
            <v>E7-4809v4 2.10GHz 1P/8C CPU SY620/680</v>
          </cell>
          <cell r="C2093" t="str">
            <v>追加CPU：Xeon E7-4809v4 2.10GHz 2P/16C</v>
          </cell>
        </row>
        <row r="2094">
          <cell r="A2094" t="str">
            <v>838327-B21</v>
          </cell>
          <cell r="B2094" t="str">
            <v>Synergy Dual 10G-T QSFP 30m RJ45 XCVR</v>
          </cell>
          <cell r="C2094" t="str">
            <v>デュアル 10GBASE-T QSFP 30m RJ45 トランシーバー
※イメージ ストリーマーとの接続(FLM の MGMT ポート接続)用</v>
          </cell>
        </row>
        <row r="2095">
          <cell r="A2095" t="str">
            <v>850745-B21</v>
          </cell>
          <cell r="B2095" t="str">
            <v>SY620用 SY680 アップグレードキット</v>
          </cell>
          <cell r="C2095" t="str">
            <v>-</v>
          </cell>
        </row>
        <row r="2096">
          <cell r="A2096" t="str">
            <v>861546-B21</v>
          </cell>
          <cell r="B2096" t="str">
            <v>SY620/680 Gen9 HDD バックプレーンキット</v>
          </cell>
          <cell r="C2096" t="str">
            <v>Smart アレイ P240nr コントローラーまたは H240nr HBAに内蔵 SAS / SATA ドライブを接続する場合に必要</v>
          </cell>
        </row>
        <row r="2097">
          <cell r="A2097" t="str">
            <v>861547-B21</v>
          </cell>
          <cell r="B2097" t="str">
            <v>SY620/680 Gen9 NVMe バックプレーンキット</v>
          </cell>
          <cell r="C2097" t="str">
            <v>NVMe ドライブを搭載する場合、左右のコンピュート モジュールに必要 (最大 2 個)</v>
          </cell>
        </row>
        <row r="2098">
          <cell r="A2098" t="str">
            <v>866573-B21</v>
          </cell>
          <cell r="B2098" t="str">
            <v>Mellanox SH2200 Switch Module</v>
          </cell>
          <cell r="C2098" t="str">
            <v>コンピュート モジュール内 CNA (NIC) 用スイッチ モジュール
※コンピュート モジュール側ダウンリンク：25GbE/50GbE×12 ポート、外部用アップリンク：100 GbE QSFP28 / 40 GbE QSFP+ポート×8
※ダウンリンク側は Synergy 6810C 25/50Gb ネットワーク アダプターとの接続が必要</v>
          </cell>
        </row>
        <row r="2099">
          <cell r="A2099" t="str">
            <v>867322-B21</v>
          </cell>
          <cell r="B2099" t="str">
            <v>Synergy 6810C 25/50Gb Ethernet Adapter</v>
          </cell>
          <cell r="C2099" t="str">
            <v>25/50GbE x2ポート ネットワークアダプター</v>
          </cell>
        </row>
        <row r="2100">
          <cell r="A2100" t="str">
            <v>868417-B21</v>
          </cell>
          <cell r="B2100" t="str">
            <v>SY480 Multi GPU PCIe カード AMD S7100X</v>
          </cell>
          <cell r="C2100" t="str">
            <v>グラフィックスコントローラー</v>
          </cell>
        </row>
        <row r="2101">
          <cell r="A2101" t="str">
            <v>868663-B21</v>
          </cell>
          <cell r="B2101" t="str">
            <v>SY480 Multi GPU PCIeカードNVIDIA M3000SE</v>
          </cell>
          <cell r="C2101" t="str">
            <v>グラフィックスコントローラー</v>
          </cell>
        </row>
        <row r="2102">
          <cell r="A2102" t="str">
            <v>869224-B21</v>
          </cell>
          <cell r="B2102" t="str">
            <v>SY480 NVIDIA Tesla M6 Mezz Card</v>
          </cell>
          <cell r="C2102" t="str">
            <v>グラフィックスコントローラー
※Type D メザニン(スロット 1 への搭載必要)</v>
          </cell>
        </row>
        <row r="2103">
          <cell r="A2103" t="str">
            <v>869226-B21</v>
          </cell>
          <cell r="B2103" t="str">
            <v>SY480 AMD FirePro S7100X Mezz Card</v>
          </cell>
          <cell r="C2103" t="str">
            <v>グラフィックスコントローラー
※Type D メザニン(スロット 1 への搭載必要)</v>
          </cell>
        </row>
        <row r="2104">
          <cell r="A2104" t="str">
            <v>869228-B21</v>
          </cell>
          <cell r="B2104" t="str">
            <v>SY480 NVIDIA Quadro M3000SE Mezz Card</v>
          </cell>
          <cell r="C2104" t="str">
            <v>グラフィックスコントローラー
※Type D メザニン(スロット 1 への搭載必要)</v>
          </cell>
        </row>
        <row r="2105">
          <cell r="A2105" t="str">
            <v>871573-B21</v>
          </cell>
          <cell r="B2105" t="str">
            <v>P416ie-m SR Gen10 SAS ケーブル</v>
          </cell>
          <cell r="C2105" t="str">
            <v>-</v>
          </cell>
        </row>
        <row r="2106">
          <cell r="A2106" t="str">
            <v>871932-B21</v>
          </cell>
          <cell r="B2106" t="str">
            <v>SY660Gen10 P8160 2.1GHz 4P96C 256GB</v>
          </cell>
          <cell r="C2106" t="str">
            <v>Xeon P8160 2.1GHz 4P/96C MEM：256GB(32GB x48) P408i-c SR</v>
          </cell>
        </row>
        <row r="2107">
          <cell r="A2107" t="str">
            <v>871933-B21</v>
          </cell>
          <cell r="B2107" t="str">
            <v>SY660Gen10 G6140 2P36C 128GB4SFF/E208i-c</v>
          </cell>
          <cell r="C2107" t="str">
            <v>Xeon G6140 2.30GHz 2P/36C MEM：128GB(32GB x4) E208i-c SR</v>
          </cell>
        </row>
        <row r="2108">
          <cell r="A2108" t="str">
            <v>871934-B21</v>
          </cell>
          <cell r="B2108" t="str">
            <v xml:space="preserve">SY660Gen10 G5118 2P24C 64GB 4SFF/S100i </v>
          </cell>
          <cell r="C2108" t="str">
            <v>Xeon G5118 2.30GHz 2P/24C MEM：64GB(16GB x4)  S100i</v>
          </cell>
        </row>
        <row r="2109">
          <cell r="A2109" t="str">
            <v>871943-B21</v>
          </cell>
          <cell r="B2109" t="str">
            <v>SY480Gen10 G6130 2.1GHz 2P32C 64GB</v>
          </cell>
          <cell r="C2109" t="str">
            <v>Xeon G6130 2.10GHz 2P/32C MEM：64GB(16GB x4) P204i-c SR</v>
          </cell>
        </row>
        <row r="2110">
          <cell r="A2110" t="str">
            <v>871945-B21</v>
          </cell>
          <cell r="B2110" t="str">
            <v>SY480Gen10 G5118 1P12C 32GB 2SFF/E208i-c</v>
          </cell>
          <cell r="C2110" t="str">
            <v>Xeon G5118 2.30GHz 1P/12C MEM：32GB(16GB x2) E208i-c SR</v>
          </cell>
        </row>
        <row r="2111">
          <cell r="A2111" t="str">
            <v>871946-B21</v>
          </cell>
          <cell r="B2111" t="str">
            <v>SY480Gen10 B3104 1P6C 16GB 2SFF/S100i</v>
          </cell>
          <cell r="C2111" t="str">
            <v>Xeon B3104 1.70GHz 1P/6C MEM：16GB(8GB x2)  S100i SR</v>
          </cell>
        </row>
        <row r="2112">
          <cell r="A2112" t="str">
            <v>872118-B21</v>
          </cell>
          <cell r="B2112" t="str">
            <v>XeonB 3104 1.7GHz 1P6C CPU SY480/660G10</v>
          </cell>
          <cell r="C2112" t="str">
            <v>追加CPU：Xeon B3104 1.7GHz 2P/12C</v>
          </cell>
        </row>
        <row r="2113">
          <cell r="A2113" t="str">
            <v>872139-B21</v>
          </cell>
          <cell r="B2113" t="str">
            <v>XeonG 6140 2.3GHz 1P18C CPU SY480/660G10</v>
          </cell>
          <cell r="C2113" t="str">
            <v>追加CPU：Xeon G6140 2.3GHz 2P/36C</v>
          </cell>
        </row>
        <row r="2114">
          <cell r="A2114" t="str">
            <v>873387-B21</v>
          </cell>
          <cell r="B2114" t="str">
            <v>XeonG 5118 2.3GHz 1P12C CPU SY480/660G10</v>
          </cell>
          <cell r="C2114" t="str">
            <v>追加CPU：Xeon G5118 2.3GHz 2P/24C</v>
          </cell>
        </row>
        <row r="2115">
          <cell r="A2115" t="str">
            <v>880708-B21</v>
          </cell>
          <cell r="B2115" t="str">
            <v>SY480 NVIDIA Tesla P6 Mezz Card</v>
          </cell>
          <cell r="C2115" t="str">
            <v>グラフィックスメザニンカード</v>
          </cell>
        </row>
        <row r="2116">
          <cell r="A2116" t="str">
            <v>880709-B21</v>
          </cell>
          <cell r="B2116" t="str">
            <v>SY480 Multi GPU PCIeCard NVIDIA Tesla P6</v>
          </cell>
          <cell r="C2116" t="str">
            <v>Multi GPU PCIe カード拡張モジュール専用グラフィックス</v>
          </cell>
        </row>
        <row r="2117">
          <cell r="A2117" t="str">
            <v>N3R43A</v>
          </cell>
          <cell r="B2117" t="str">
            <v>Synergy 8Gb FC ライセンスアップグレード</v>
          </cell>
          <cell r="C2117" t="str">
            <v>QSFP+ ポートを FC 接続に使用する際に必要なライセンス</v>
          </cell>
        </row>
        <row r="2118">
          <cell r="A2118" t="str">
            <v>498385-B24</v>
          </cell>
          <cell r="B2118" t="str">
            <v>InfiniBand 4X DDR/QDR QSFP 銅ケーブル 5m</v>
          </cell>
          <cell r="C2118" t="str">
            <v>InfiniBand 4X DDR/QDR用 QSFP対応 DACケーブル 5m</v>
          </cell>
        </row>
        <row r="2119">
          <cell r="A2119" t="str">
            <v>608477-B21</v>
          </cell>
          <cell r="B2119" t="str">
            <v>HP s6500 シャーシハンドルキット</v>
          </cell>
          <cell r="C2119" t="str">
            <v>-</v>
          </cell>
        </row>
        <row r="2120">
          <cell r="A2120" t="str">
            <v>620002-B21</v>
          </cell>
          <cell r="B2120" t="str">
            <v>HP SL APM Distr Module キット</v>
          </cell>
          <cell r="C2120" t="str">
            <v>-</v>
          </cell>
        </row>
        <row r="2121">
          <cell r="A2121" t="str">
            <v>655874-B21</v>
          </cell>
          <cell r="B2121" t="str">
            <v>HP QSFP/SFP+ Adaptor Kit</v>
          </cell>
          <cell r="C2121" t="str">
            <v>2nd ポートの QSFP+ ポートを 10GbE SFP+として使用するためのオプション</v>
          </cell>
        </row>
        <row r="2122">
          <cell r="A2122" t="str">
            <v>670759-B21</v>
          </cell>
          <cell r="B2122" t="str">
            <v>InfiniBand FDR QSFP 銅ケーブル 0.5m</v>
          </cell>
          <cell r="C2122" t="str">
            <v>InfiniBand FDR用 QSFP対応 DACケーブル 0.5m</v>
          </cell>
        </row>
        <row r="2123">
          <cell r="A2123" t="str">
            <v>670759-B22</v>
          </cell>
          <cell r="B2123" t="str">
            <v>InfiniBand FDR QSFP 銅ケーブル 1m</v>
          </cell>
          <cell r="C2123" t="str">
            <v>InfiniBand FDR用 QSFP対応 DACケーブル 1m</v>
          </cell>
        </row>
        <row r="2124">
          <cell r="A2124" t="str">
            <v>670759-B23</v>
          </cell>
          <cell r="B2124" t="str">
            <v>InfiniBand FDR QSFP 銅ケーブル 1.5m</v>
          </cell>
          <cell r="C2124" t="str">
            <v>InfiniBand FDR用 QSFP対応 DACケーブル 1.5m</v>
          </cell>
        </row>
        <row r="2125">
          <cell r="A2125" t="str">
            <v>670759-B24</v>
          </cell>
          <cell r="B2125" t="str">
            <v>InfiniBand FDR QSFP 銅ケーブル 2m</v>
          </cell>
          <cell r="C2125" t="str">
            <v>InfiniBand FDR用 QSFP対応 DACケーブル 2m</v>
          </cell>
        </row>
        <row r="2126">
          <cell r="A2126" t="str">
            <v>670759-B25</v>
          </cell>
          <cell r="B2126" t="str">
            <v>InfiniBand FDR QSFP 銅ケーブル 3m</v>
          </cell>
          <cell r="C2126" t="str">
            <v>InfiniBand FDR用 QSFP対応 DACケーブル 3m</v>
          </cell>
        </row>
        <row r="2127">
          <cell r="A2127" t="str">
            <v>670769-B21</v>
          </cell>
          <cell r="B2127" t="str">
            <v>Mellanox IB FDR 36P Managed Switch</v>
          </cell>
          <cell r="C2127" t="str">
            <v>InfiniBand 4X FDR×36 ポート(QSFP+) Managed スイッチ
※FDR/FDR10 対応
※冗長電源、冗長ファン標準搭載
※100V 用 NEMA 5-15P 電源コード (6ft)×2 本 標準添付。200V 用はオプション</v>
          </cell>
        </row>
        <row r="2128">
          <cell r="A2128" t="str">
            <v>676277-B21</v>
          </cell>
          <cell r="B2128" t="str">
            <v>HP 36pin SUV ケーブルキット</v>
          </cell>
          <cell r="C2128" t="str">
            <v>SL230s Gen8 正面の SUV ポートに接続し、USB-FD ドライブ、
USB-CD/DVD ドライブ、USB キーボード、USB マウス、
USB フラッシュメディア、ビデオを接続可能にするケーブル</v>
          </cell>
        </row>
        <row r="2129">
          <cell r="A2129" t="str">
            <v>764284-B21</v>
          </cell>
          <cell r="B2129" t="str">
            <v>IB FDR/EN 40Gb 2P 544+QSFP Adptr</v>
          </cell>
          <cell r="C2129" t="str">
            <v>InfiniBand FDR 40GbE QSFP x2ポートアダプタ</v>
          </cell>
        </row>
        <row r="2130">
          <cell r="A2130" t="str">
            <v>764285-B21</v>
          </cell>
          <cell r="B2130" t="str">
            <v>IB FDR/EN 40Gb 2P 544+FLR-QSFP Adptr</v>
          </cell>
          <cell r="C2130" t="str">
            <v>InfiniBand FDR / FlexibleLOMスロット対応 40GbE QSFP x2ポートアダプタ</v>
          </cell>
        </row>
        <row r="2131">
          <cell r="A2131" t="str">
            <v>764286-B21</v>
          </cell>
          <cell r="B2131" t="str">
            <v>IB QDR/EN 10Gb 2P 544+FLR-QSFP Adptr</v>
          </cell>
          <cell r="C2131" t="str">
            <v>InfiniBand QDR / FlexibleLOMスロット対応 10GbE QSFP x2ポートアダプタ</v>
          </cell>
        </row>
        <row r="2132">
          <cell r="A2132" t="str">
            <v>808722-B21</v>
          </cell>
          <cell r="B2132" t="str">
            <v>InfiniBand FDR QSFP 光ケーブル 3m</v>
          </cell>
          <cell r="C2132" t="str">
            <v>InfiniBand FDR用 QSFPコネクタ付 ファイバーケーブル 3m</v>
          </cell>
        </row>
        <row r="2133">
          <cell r="A2133" t="str">
            <v>808722-B22</v>
          </cell>
          <cell r="B2133" t="str">
            <v>InfiniBand FDR QSFP 光ケーブル 5m</v>
          </cell>
          <cell r="C2133" t="str">
            <v>InfiniBand FDR用 QSFPコネクタ付 ファイバーケーブル 5m</v>
          </cell>
        </row>
        <row r="2134">
          <cell r="A2134" t="str">
            <v>808722-B23</v>
          </cell>
          <cell r="B2134" t="str">
            <v>InfiniBand FDR QSFP 光ケーブル 7m</v>
          </cell>
          <cell r="C2134" t="str">
            <v>InfiniBand FDR用 QSFPコネクタ付 ファイバーケーブル 7m</v>
          </cell>
        </row>
        <row r="2135">
          <cell r="A2135" t="str">
            <v>808722-B24</v>
          </cell>
          <cell r="B2135" t="str">
            <v>InfiniBand FDR QSFP 光ケーブル 10m</v>
          </cell>
          <cell r="C2135" t="str">
            <v>InfiniBand FDR用 QSFPコネクタ付 ファイバーケーブル 10m</v>
          </cell>
        </row>
        <row r="2136">
          <cell r="A2136" t="str">
            <v>808722-B25</v>
          </cell>
          <cell r="B2136" t="str">
            <v>InfiniBand FDR QSFP 光ケーブル 12m</v>
          </cell>
          <cell r="C2136" t="str">
            <v>InfiniBand FDR用 QSFPコネクタ付 ファイバーケーブル 12m</v>
          </cell>
        </row>
        <row r="2137">
          <cell r="A2137" t="str">
            <v>808722-B26</v>
          </cell>
          <cell r="B2137" t="str">
            <v>InfiniBand FDR QSFP 光ケーブル 15m</v>
          </cell>
          <cell r="C2137" t="str">
            <v>InfiniBand FDR用 QSFPコネクタ付 ファイバーケーブル 15m</v>
          </cell>
        </row>
        <row r="2138">
          <cell r="A2138" t="str">
            <v>808722-B27</v>
          </cell>
          <cell r="B2138" t="str">
            <v>InfiniBand FDR QSFP 光ケーブル 20m</v>
          </cell>
          <cell r="C2138" t="str">
            <v>InfiniBand FDR用 QSFPコネクタ付 ファイバーケーブル 20m</v>
          </cell>
        </row>
        <row r="2139">
          <cell r="A2139" t="str">
            <v>808722-B28</v>
          </cell>
          <cell r="B2139" t="str">
            <v>InfiniBand FDR QSFP 光ケーブル 30m</v>
          </cell>
          <cell r="C2139" t="str">
            <v>InfiniBand FDR用 QSFPコネクタ付 ファイバーケーブル 30m</v>
          </cell>
        </row>
        <row r="2140">
          <cell r="A2140" t="str">
            <v>825110-B21</v>
          </cell>
          <cell r="B2140" t="str">
            <v>IB EDR/EN 100Gb 1P 840QSFP28 Adptr</v>
          </cell>
          <cell r="C2140" t="str">
            <v>InfiniBand EDR 100GbE QSFP28 x1ポートアダプタ</v>
          </cell>
        </row>
        <row r="2141">
          <cell r="A2141" t="str">
            <v>825111-B21</v>
          </cell>
          <cell r="B2141" t="str">
            <v>IB EDR/EN 100Gb 2P 840QSFP28 Adptr</v>
          </cell>
          <cell r="C2141" t="str">
            <v>InfiniBand EDR 100GbE QSFP28 x2ポートアダプタ</v>
          </cell>
        </row>
        <row r="2142">
          <cell r="A2142" t="str">
            <v>834972-B21</v>
          </cell>
          <cell r="B2142" t="str">
            <v>InfiniBand EDR QSFP 光ケーブル 3m</v>
          </cell>
          <cell r="C2142" t="str">
            <v>InfiniBand EDR用 QSFPコネクタ付 ファイバーケーブル 3m</v>
          </cell>
        </row>
        <row r="2143">
          <cell r="A2143" t="str">
            <v>834972-B22</v>
          </cell>
          <cell r="B2143" t="str">
            <v>InfiniBand EDR QSFP 光ケーブル 5m</v>
          </cell>
          <cell r="C2143" t="str">
            <v>InfiniBand EDR用 QSFPコネクタ付 ファイバーケーブル 5m</v>
          </cell>
        </row>
        <row r="2144">
          <cell r="A2144" t="str">
            <v>834972-B23</v>
          </cell>
          <cell r="B2144" t="str">
            <v>InfiniBand EDR QSFP 光ケーブル 7m</v>
          </cell>
          <cell r="C2144" t="str">
            <v>InfiniBand EDR用 QSFPコネクタ付 ファイバーケーブル 7m</v>
          </cell>
        </row>
        <row r="2145">
          <cell r="A2145" t="str">
            <v>834972-B24</v>
          </cell>
          <cell r="B2145" t="str">
            <v>InfiniBand EDR QSFP 光ケーブル 10m</v>
          </cell>
          <cell r="C2145" t="str">
            <v>InfiniBand EDR用 QSFPコネクタ付 ファイバーケーブル 10m</v>
          </cell>
        </row>
        <row r="2146">
          <cell r="A2146" t="str">
            <v>834972-B25</v>
          </cell>
          <cell r="B2146" t="str">
            <v>InfiniBand EDR QSFP 光ケーブル 12m</v>
          </cell>
          <cell r="C2146" t="str">
            <v>InfiniBand EDR用 QSFPコネクタ付 ファイバーケーブル 12m</v>
          </cell>
        </row>
        <row r="2147">
          <cell r="A2147" t="str">
            <v>834972-B26</v>
          </cell>
          <cell r="B2147" t="str">
            <v>InfiniBand EDR QSFP 光ケーブル 15m</v>
          </cell>
          <cell r="C2147" t="str">
            <v>InfiniBand EDR用 QSFPコネクタ付 ファイバーケーブル 15m</v>
          </cell>
        </row>
        <row r="2148">
          <cell r="A2148" t="str">
            <v>834972-B27</v>
          </cell>
          <cell r="B2148" t="str">
            <v>InfiniBand EDR QSFP 光ケーブル 20m</v>
          </cell>
          <cell r="C2148" t="str">
            <v>InfiniBand EDR用 QSFPコネクタ付 ファイバーケーブル 20m</v>
          </cell>
        </row>
        <row r="2149">
          <cell r="A2149" t="str">
            <v>834972-B28</v>
          </cell>
          <cell r="B2149" t="str">
            <v>InfiniBand EDR QSFP 光ケーブル 30m</v>
          </cell>
          <cell r="C2149" t="str">
            <v>InfiniBand EDR用 QSFPコネクタ付 ファイバーケーブル 30m</v>
          </cell>
        </row>
        <row r="2150">
          <cell r="A2150" t="str">
            <v>834973-B21</v>
          </cell>
          <cell r="B2150" t="str">
            <v>InfiniBand EDR QSFP 銅ケーブル 0.5m</v>
          </cell>
          <cell r="C2150" t="str">
            <v>InfiniBand EDR用 QSFP対応 DACケーブル 0.5m</v>
          </cell>
        </row>
        <row r="2151">
          <cell r="A2151" t="str">
            <v>834973-B22</v>
          </cell>
          <cell r="B2151" t="str">
            <v>InfiniBand EDR QSFP 銅ケーブル 1m</v>
          </cell>
          <cell r="C2151" t="str">
            <v>InfiniBand EDR用 QSFP対応 DACケーブル 1m</v>
          </cell>
        </row>
        <row r="2152">
          <cell r="A2152" t="str">
            <v>834973-B23</v>
          </cell>
          <cell r="B2152" t="str">
            <v>InfiniBand EDR QSFP 銅ケーブル 1.5m</v>
          </cell>
          <cell r="C2152" t="str">
            <v>InfiniBand EDR用 QSFP対応 DACケーブル 1.5m</v>
          </cell>
        </row>
        <row r="2153">
          <cell r="A2153" t="str">
            <v>834973-B24</v>
          </cell>
          <cell r="B2153" t="str">
            <v>InfiniBand EDR QSFP 銅ケーブル 2m</v>
          </cell>
          <cell r="C2153" t="str">
            <v>InfiniBand EDR用 QSFP対応 DACケーブル 2m</v>
          </cell>
        </row>
        <row r="2154">
          <cell r="A2154" t="str">
            <v>834973-B25</v>
          </cell>
          <cell r="B2154" t="str">
            <v>InfiniBand EDR QSFP 銅ケーブル 3m</v>
          </cell>
          <cell r="C2154" t="str">
            <v>InfiniBand EDR用 QSFP対応 DACケーブル 3m</v>
          </cell>
        </row>
        <row r="2155">
          <cell r="A2155" t="str">
            <v>834976-B22</v>
          </cell>
          <cell r="B2155" t="str">
            <v>Mellanox IB EDR v2 36p Switch</v>
          </cell>
          <cell r="C2155" t="str">
            <v>InfiniBand 4X EDR (25Gbps×4)×36 ポート(QSFP28) スイッチ
※EDR/FDR 対応
※冗長電源、冗長ファン標準搭載
※200V 用 C13-C14 電源コード (6ft)×2 本 標準添付。100V 用はオプション
※InfiniBand Fabric 内にマネージド スイッチが別途必要</v>
          </cell>
        </row>
        <row r="2156">
          <cell r="A2156" t="str">
            <v>834977-B22</v>
          </cell>
          <cell r="B2156" t="str">
            <v>Mellanox IB EDR v2 36p RAF Switch</v>
          </cell>
          <cell r="C2156" t="str">
            <v>InfiniBand 4X EDR (25Gbps×4)×36 ポート(QSFP28) スイッチ RAF
※EDR/FDR 対応
※冗長電源、冗長ファン標準搭載
※200V 用 C13-C14 電源コード (6ft)×2 本 標準添付。100V 用はオプション
※InfiniBand Fabric 内にマネージド スイッチが別途必要</v>
          </cell>
        </row>
        <row r="2157">
          <cell r="A2157" t="str">
            <v>834978-B22</v>
          </cell>
          <cell r="B2157" t="str">
            <v>Mellanox IB EDR v2 36p Managed Switch</v>
          </cell>
          <cell r="C2157" t="str">
            <v>InfiniBand 4X EDR (25Gbps×4)×36 ポート(QSFP28) Managed スイッチ
※EDR/FDR 対応
※冗長電源、冗長ファン標準搭載
※200V 用 C13-C14 電源コード (6ft)×2 本 標準添付。100V 用はオプション</v>
          </cell>
        </row>
        <row r="2158">
          <cell r="A2158" t="str">
            <v>834979-B22</v>
          </cell>
          <cell r="B2158" t="str">
            <v>Mellanox IB EDR v2 36p RAF Managed Swch</v>
          </cell>
          <cell r="C2158" t="str">
            <v>InfiniBand 4X EDR (25Gbps×4)×36 ポート(QSFP28) Managed スイッチ RAF
※EDR/FDR 対応
※冗長電源、冗長ファン標準搭載
※200V 用 C13-C14 電源コード (6ft)×2 本 標準添付。100V 用はオプション</v>
          </cell>
        </row>
        <row r="2159">
          <cell r="A2159" t="str">
            <v>872725-B21</v>
          </cell>
          <cell r="B2159" t="str">
            <v>IB EDR 100Gb 1P 841QSFP28 Adptr</v>
          </cell>
          <cell r="C2159" t="str">
            <v>InfiniBand EDR 100GbE QSFP28 x1ポートアダプタ</v>
          </cell>
        </row>
        <row r="2160">
          <cell r="A2160" t="str">
            <v>J0H11A</v>
          </cell>
          <cell r="B2160" t="str">
            <v>HP AMD FirePro S9150 アクセラレータ</v>
          </cell>
          <cell r="C2160" t="str">
            <v>グラフィックスコントローラー(デュアルスロット対応)</v>
          </cell>
        </row>
        <row r="2161">
          <cell r="A2161" t="str">
            <v>M3X67A</v>
          </cell>
          <cell r="B2161" t="str">
            <v>NVIDIA Tesla M60 RAF Dual GPU Module</v>
          </cell>
          <cell r="C2161" t="str">
            <v>グラフィックスコントローラー(デュアルスロット対応)</v>
          </cell>
        </row>
        <row r="2162">
          <cell r="A2162" t="str">
            <v>M3X68A</v>
          </cell>
          <cell r="B2162" t="str">
            <v>AMD FirePro S7150x2 Accelerator Kit</v>
          </cell>
          <cell r="C2162" t="str">
            <v>グラフィックスコントローラー(デュアルスロット対応)</v>
          </cell>
        </row>
        <row r="2163">
          <cell r="A2163" t="str">
            <v>M9R60A</v>
          </cell>
          <cell r="B2163" t="str">
            <v>NVIDIA Quadro M5000 GPU モジュール</v>
          </cell>
          <cell r="C2163" t="str">
            <v>グラフィックスコントローラー(デュアルスロット対応)</v>
          </cell>
        </row>
        <row r="2164">
          <cell r="A2164" t="str">
            <v>M9X58A</v>
          </cell>
          <cell r="B2164" t="str">
            <v>NVIDIA Quadro M4000 GPUモジュール</v>
          </cell>
          <cell r="C2164" t="str">
            <v>グラフィックスコントローラー(シングルスロット対応)</v>
          </cell>
        </row>
        <row r="2165">
          <cell r="A2165" t="str">
            <v>P8Y48A</v>
          </cell>
          <cell r="B2165" t="str">
            <v>HPE NVIDIA Quadro M2000 GPU Module</v>
          </cell>
          <cell r="C2165" t="str">
            <v>グラフィックスコントローラー(シングルスロット対応)</v>
          </cell>
        </row>
        <row r="2166">
          <cell r="A2166" t="str">
            <v>P9U90A</v>
          </cell>
          <cell r="B2166" t="str">
            <v>NVIDIA Tesla M4 4GB モジュール</v>
          </cell>
          <cell r="C2166" t="str">
            <v>グラフィックスコントローラー(シングルスロット対応)</v>
          </cell>
        </row>
        <row r="2167">
          <cell r="A2167" t="str">
            <v>Q0E21A</v>
          </cell>
          <cell r="B2167" t="str">
            <v>NVIDIA Tesla P100 PCIE 16GB モジュール</v>
          </cell>
          <cell r="C2167" t="str">
            <v>グラフィックスコントローラー(デュアルスロット対応)</v>
          </cell>
        </row>
        <row r="2168">
          <cell r="A2168" t="str">
            <v>Q0J62A</v>
          </cell>
          <cell r="B2168" t="str">
            <v>NVIDIA Tesla M10 Quad GPU モジュール</v>
          </cell>
          <cell r="C2168" t="str">
            <v>グラフィックスコントローラー(デュアルスロット対応)</v>
          </cell>
        </row>
        <row r="2169">
          <cell r="A2169" t="str">
            <v>Q0V76A</v>
          </cell>
          <cell r="B2169" t="str">
            <v>NVIDIA Quadro P6000 GPU モジュール</v>
          </cell>
          <cell r="C2169" t="str">
            <v>グラフィックスコントローラー(デュアルスロット対応)</v>
          </cell>
        </row>
        <row r="2170">
          <cell r="A2170" t="str">
            <v>Q0V77A</v>
          </cell>
          <cell r="B2170" t="str">
            <v xml:space="preserve">NVIDIA Quadro P2000 GPU モジュール   </v>
          </cell>
          <cell r="C2170" t="str">
            <v>グラフィックスコントローラー(シングルスロット対応)</v>
          </cell>
        </row>
        <row r="2171">
          <cell r="A2171" t="str">
            <v>Q0V78A</v>
          </cell>
          <cell r="B2171" t="str">
            <v xml:space="preserve">NVIDIA Quadro P4000 GPU モジュール      </v>
          </cell>
          <cell r="C2171" t="str">
            <v>グラフィックスコントローラー(シングルスロット対応)</v>
          </cell>
        </row>
        <row r="2172">
          <cell r="A2172" t="str">
            <v>Q0V79A</v>
          </cell>
          <cell r="B2172" t="str">
            <v>NVIDIA Tesla P4 8GB モジュール</v>
          </cell>
          <cell r="C2172" t="str">
            <v>グラフィックスコントローラー(シングルスロット対応)</v>
          </cell>
        </row>
        <row r="2173">
          <cell r="A2173" t="str">
            <v>Q0V80A</v>
          </cell>
          <cell r="B2173" t="str">
            <v>NVIDIA Tesla P40 24GB モジュール</v>
          </cell>
          <cell r="C2173" t="str">
            <v>グラフィックスコントローラー(デュアルスロット対応)</v>
          </cell>
        </row>
        <row r="2174">
          <cell r="A2174" t="str">
            <v>Q1K38A</v>
          </cell>
          <cell r="B2174" t="str">
            <v>AMD Radeon Instinct MI25 アクセラレータ</v>
          </cell>
          <cell r="C2174" t="str">
            <v>GPUアクセラレータカード</v>
          </cell>
        </row>
        <row r="2175">
          <cell r="A2175" t="str">
            <v>Q1P47A</v>
          </cell>
          <cell r="B2175" t="str">
            <v>AMD Radeon Pro WX2100</v>
          </cell>
          <cell r="C2175" t="str">
            <v>グラフィックボードオプション (シングルスロット)</v>
          </cell>
        </row>
        <row r="2176">
          <cell r="A2176" t="str">
            <v>Q2N68A</v>
          </cell>
          <cell r="B2176" t="str">
            <v>NVIDIA Tesla V100 PCIE 16GB モジュール</v>
          </cell>
          <cell r="C2176" t="str">
            <v>グラフィックボードオプション (デュアルスロット)</v>
          </cell>
        </row>
        <row r="2177">
          <cell r="A2177" t="str">
            <v>Q2S42A</v>
          </cell>
          <cell r="B2177" t="str">
            <v xml:space="preserve">NVIDIA Tesla P100 PCIE 12GB モジュール  </v>
          </cell>
          <cell r="C2177" t="str">
            <v>グラフィックスコントローラー(デュアルスロット対応)</v>
          </cell>
        </row>
        <row r="2178">
          <cell r="A2178" t="str">
            <v>459864-B21</v>
          </cell>
          <cell r="B2178" t="str">
            <v>VCEM for c7000 Nm 1-encl 1y 24X7 STS&amp;U</v>
          </cell>
          <cell r="C2178" t="str">
            <v>バーチャルコネクト構成の c7000 エンクロージャー1 台を VCEM で管理できるライセンス</v>
          </cell>
        </row>
        <row r="2179">
          <cell r="A2179" t="str">
            <v>459867-B21</v>
          </cell>
          <cell r="B2179" t="str">
            <v>VCEM for c3000 Nm 1-encl 1y 24X7 STS&amp;U</v>
          </cell>
          <cell r="C2179" t="str">
            <v>バーチャルコネクト構成の c3000 エンクロージャー1 台を VCEM で管理できるライセンス</v>
          </cell>
        </row>
        <row r="2180">
          <cell r="A2180" t="str">
            <v>512485-B21</v>
          </cell>
          <cell r="B2180" t="str">
            <v>iLO Advanced 1-Svr 1y 24x7 STS&amp;U</v>
          </cell>
          <cell r="C2180" t="str">
            <v>Integrated Lights-Out 4 (iLO 4)の機能拡張するためのライセンス
※拡張機能のグラフィカル リモート コンソールと仮想メディア機能等が利用可能
※1 年間の 24x7 テクニカル サポート付</v>
          </cell>
        </row>
        <row r="2181">
          <cell r="A2181" t="str">
            <v>512488-B21</v>
          </cell>
          <cell r="B2181" t="str">
            <v>iLO Advanced for BL 1-Svr 1y 24x7 STS&amp;U</v>
          </cell>
          <cell r="C2181" t="str">
            <v>Integrated Lights-Out 4 (iLO 4)の機能拡張するためのライセンス
※パワー レギュレーターレポート機能、仮想メディア機能(script/CLP)、高機能なセキュリティが拡張
※1 年間の 24x7 テクニカル サポート付</v>
          </cell>
        </row>
        <row r="2182">
          <cell r="A2182" t="str">
            <v>512489-B21</v>
          </cell>
          <cell r="B2182" t="str">
            <v>iLO Advanced for BL 8-Svr 1y 24x7 STS&amp;U</v>
          </cell>
          <cell r="C2182" t="str">
            <v>Integrated Lights-Out 4 (iLO 4)の機能拡張するためのライセンス (8 サーバライセンスパック)
※パワー レギュレーターレポート機能、仮想メディア機能(script/CLP)、高機能なセキュリティが拡張
※1 年間の 24x7 テクニカル サポート付</v>
          </cell>
        </row>
        <row r="2183">
          <cell r="A2183" t="str">
            <v>782516-291</v>
          </cell>
          <cell r="B2183" t="str">
            <v>WS2012 STD Downgrade Media ROK JP</v>
          </cell>
          <cell r="C2183" t="str">
            <v>Windows Server 2012 Standard ダウングレードメディア 日本語版 ROK バンドルプラス</v>
          </cell>
        </row>
        <row r="2184">
          <cell r="A2184" t="str">
            <v>871141-291</v>
          </cell>
          <cell r="B2184" t="str">
            <v xml:space="preserve">MS WS16 Ess ROK ja           </v>
          </cell>
          <cell r="C2184" t="str">
            <v>Windows Server 2016 日本語版の Essentials エディション
※サーバー ライセンス</v>
          </cell>
        </row>
        <row r="2185">
          <cell r="A2185" t="str">
            <v>871157-371</v>
          </cell>
          <cell r="B2185" t="str">
            <v>MS WS16 (16-Core)Std Add Lic en/ko/ja</v>
          </cell>
          <cell r="C2185" t="str">
            <v>Windows Server 2016 Standard エディションのコア追加用ライセンス、16 コア分</v>
          </cell>
        </row>
        <row r="2186">
          <cell r="A2186" t="str">
            <v>871158-371</v>
          </cell>
          <cell r="B2186" t="str">
            <v>MS WS16 (4-Core) Std Add Lic en/ko/ja</v>
          </cell>
          <cell r="C2186" t="str">
            <v>Windows Server 2016 Standard エディションのコア追加用ライセンス、4 コア分</v>
          </cell>
        </row>
        <row r="2187">
          <cell r="A2187" t="str">
            <v>871159-371</v>
          </cell>
          <cell r="B2187" t="str">
            <v>MS WS16 (2-Core) Std Add Lic en/ko/ja</v>
          </cell>
          <cell r="C2187" t="str">
            <v>Windows Server 2016 Standard エディションのコア追加用ライセンス、2 コア分</v>
          </cell>
        </row>
        <row r="2188">
          <cell r="A2188" t="str">
            <v>871166-371</v>
          </cell>
          <cell r="B2188" t="str">
            <v>MS WS16 (16-Core) DC Add Lic en/ko/ja</v>
          </cell>
          <cell r="C2188" t="str">
            <v>Windows Server 2016 Datacenter エディションのコア追加用ライセンス、16 コア分</v>
          </cell>
        </row>
        <row r="2189">
          <cell r="A2189" t="str">
            <v>871167-371</v>
          </cell>
          <cell r="B2189" t="str">
            <v>MS WS16 (4-Core) DC Add Lic en/ko/ja</v>
          </cell>
          <cell r="C2189" t="str">
            <v>Windows Server 2016 Datacenter エディションのコア追加用ライセンス、4 コア分</v>
          </cell>
        </row>
        <row r="2190">
          <cell r="A2190" t="str">
            <v>871168-371</v>
          </cell>
          <cell r="B2190" t="str">
            <v>MS WS16 (2-Core) DC Add Lic en/ko/ja</v>
          </cell>
          <cell r="C2190" t="str">
            <v>Windows Server 2016 Datacenter エディションのコア追加用ライセンス、2 コア分</v>
          </cell>
        </row>
        <row r="2191">
          <cell r="A2191" t="str">
            <v>871175-371</v>
          </cell>
          <cell r="B2191" t="str">
            <v>MS WS16 CAL 1USR en/ko/ja</v>
          </cell>
          <cell r="C2191" t="str">
            <v>Windows Server 2016 用 1 ユーザーCAL</v>
          </cell>
        </row>
        <row r="2192">
          <cell r="A2192" t="str">
            <v>871176-371</v>
          </cell>
          <cell r="B2192" t="str">
            <v>MS WS16 CAL 1DEV en/ko/ja</v>
          </cell>
          <cell r="C2192" t="str">
            <v>Windows Server 2016 用 1 デバイス CAL</v>
          </cell>
        </row>
        <row r="2193">
          <cell r="A2193" t="str">
            <v>871177-371</v>
          </cell>
          <cell r="B2193" t="str">
            <v>MS WS16 CAL 5USR en/ko/ja</v>
          </cell>
          <cell r="C2193" t="str">
            <v>Windows Server 2016 用 5 ユーザーCAL</v>
          </cell>
        </row>
        <row r="2194">
          <cell r="A2194" t="str">
            <v>871178-371</v>
          </cell>
          <cell r="B2194" t="str">
            <v>MS WS16 CAL 5DEV en/ko/ja</v>
          </cell>
          <cell r="C2194" t="str">
            <v>Windows Server 2016 用 5 デバイス CAL</v>
          </cell>
        </row>
        <row r="2195">
          <cell r="A2195" t="str">
            <v>871179-B21</v>
          </cell>
          <cell r="B2195" t="str">
            <v>MS WS16 CAL 10USR en/fr/it/de/es/ja</v>
          </cell>
          <cell r="C2195" t="str">
            <v>Windows Server 2016 用 10 ユーザーCAL</v>
          </cell>
        </row>
        <row r="2196">
          <cell r="A2196" t="str">
            <v>871180-B21</v>
          </cell>
          <cell r="B2196" t="str">
            <v>MS WS16 CAL 10DEV en/fr/it/de/es/ja</v>
          </cell>
          <cell r="C2196" t="str">
            <v>Windows Server 2016 用 10 デバイス CAL</v>
          </cell>
        </row>
        <row r="2197">
          <cell r="A2197" t="str">
            <v>871181-B21</v>
          </cell>
          <cell r="B2197" t="str">
            <v>MS WS16 CAL 50USR en/fr/it/de/es/ja</v>
          </cell>
          <cell r="C2197" t="str">
            <v>Windows Server 2016 用 50 ユーザーCAL</v>
          </cell>
        </row>
        <row r="2198">
          <cell r="A2198" t="str">
            <v>871182-B21</v>
          </cell>
          <cell r="B2198" t="str">
            <v>MS WS16 CAL 50DEV en/fr/it/de/es/ja</v>
          </cell>
          <cell r="C2198" t="str">
            <v>Windows Server 2016 用 50 デバイス CAL</v>
          </cell>
        </row>
        <row r="2199">
          <cell r="A2199" t="str">
            <v>871232-371</v>
          </cell>
          <cell r="B2199" t="str">
            <v>MS WS16 RDS CAL 5USR en/ko/ja</v>
          </cell>
          <cell r="C2199" t="str">
            <v>Windows Server 2016 用 5 ユーザーRDS CAL</v>
          </cell>
        </row>
        <row r="2200">
          <cell r="A2200" t="str">
            <v>871233-371</v>
          </cell>
          <cell r="B2200" t="str">
            <v>MS WS16 RDS CAL 5DEV en/ko/ja</v>
          </cell>
          <cell r="C2200" t="str">
            <v>Windows Server 2016 用 5 デバイス RDS CAL</v>
          </cell>
        </row>
        <row r="2201">
          <cell r="A2201" t="str">
            <v>A1L29A</v>
          </cell>
          <cell r="B2201" t="str">
            <v>Red Hat Network Satellite 1y 24x7</v>
          </cell>
          <cell r="C2201" t="str">
            <v>Red Hat Network (RHN) Satellite
※メディアなし(ダウンロード)
※1 年 24x7 テクニカルサポート付</v>
          </cell>
        </row>
        <row r="2202">
          <cell r="A2202" t="str">
            <v>A1L30A</v>
          </cell>
          <cell r="B2202" t="str">
            <v>Red Hat Network Satellite 3y 24x7</v>
          </cell>
          <cell r="C2202" t="str">
            <v>Red Hat Network (RHN) Satellite
※メディアなし(ダウンロード)
※3 年 24x7 テクニカルサポート付</v>
          </cell>
        </row>
        <row r="2203">
          <cell r="A2203" t="str">
            <v>BB094AA</v>
          </cell>
          <cell r="B2203" t="str">
            <v>HP SGLX Base メディア</v>
          </cell>
          <cell r="C2203" t="str">
            <v>Serviceguard for Linux Base のメディア キット
※ライセンスなし(別売)</v>
          </cell>
        </row>
        <row r="2204">
          <cell r="A2204" t="str">
            <v>BB094AC</v>
          </cell>
          <cell r="B2204" t="str">
            <v>SGLX Base ライセンス(1年24x7)</v>
          </cell>
          <cell r="C2204" t="str">
            <v>Serviceguard for Linux Base および GUI (シングル クラスター向け) ライセンス
※メディアなし(別売)
※1 年 24x7 テクニカルサポート付</v>
          </cell>
        </row>
        <row r="2205">
          <cell r="A2205" t="str">
            <v>BB095AA</v>
          </cell>
          <cell r="B2205" t="str">
            <v>HP SGLX Advanced メディア</v>
          </cell>
          <cell r="C2205" t="str">
            <v>Serviceguard for Linux Advanced のメディア キット
※ライセンスなし(別売)</v>
          </cell>
        </row>
        <row r="2206">
          <cell r="A2206" t="str">
            <v>BB095AC</v>
          </cell>
          <cell r="B2206" t="str">
            <v>SGLX Advanced ライセンス (1年24x7)</v>
          </cell>
          <cell r="C2206" t="str">
            <v>Serviceguard for Linux Base に加え、GUI (マルチ クラスター向け)、Oracle / SAP / Sybase　/ EDB 向けツールキットを含むライセンス
※メディアなし(別売)
※1 年 24x7 テクニカルサポート付</v>
          </cell>
        </row>
        <row r="2207">
          <cell r="A2207" t="str">
            <v>BB096AC</v>
          </cell>
          <cell r="B2207" t="str">
            <v>SGLX Base/Advanced アップグレード</v>
          </cell>
          <cell r="C2207" t="str">
            <v>Serviceguard for Linux Base から Serviceguard for Linux Advanced へのアップグレードするライセンス
※メディアなし(ダウンロード)
※24x7 テクニカルサポート バンドル</v>
          </cell>
        </row>
        <row r="2208">
          <cell r="A2208" t="str">
            <v>BD502A</v>
          </cell>
          <cell r="B2208" t="str">
            <v>HP iLO Adv-BL 3yr TS U 1-Svr Lic</v>
          </cell>
          <cell r="C2208" t="str">
            <v>Integrated Lights-Out 4 (iLO 4)の機能拡張するためのライセンス
※パワー レギュレーターレポート機能、仮想メディア機能(script/CLP)、高機能なセキュリティが拡張
※3 年間の 24x7 テクニカル サポート付</v>
          </cell>
        </row>
        <row r="2209">
          <cell r="A2209" t="str">
            <v>BD505A</v>
          </cell>
          <cell r="B2209" t="str">
            <v>HP iLO Advanced 3yr TS U 1-Srv Lic</v>
          </cell>
          <cell r="C2209" t="str">
            <v>Integrated Lights-Out 4 (iLO 4)の機能拡張するためのライセンス
※拡張機能のグラフィカル リモート コンソールと仮想メディア機能等が利用可能
※3 年間の 24x7 テクニカル サポート付</v>
          </cell>
        </row>
        <row r="2210">
          <cell r="A2210" t="str">
            <v>BD510A</v>
          </cell>
          <cell r="B2210" t="str">
            <v>VMw vSphere Essentials 3-srv (5年24x7)</v>
          </cell>
          <cell r="C2210" t="str">
            <v>VMware vSphere Essentials (3 サーバー)
※5 年間の 24x7 テクニカル サポート付</v>
          </cell>
        </row>
        <row r="2211">
          <cell r="A2211" t="str">
            <v>BD512A</v>
          </cell>
          <cell r="B2211" t="str">
            <v>VMw vSphere Std 1P (5年24x7)</v>
          </cell>
          <cell r="C2211" t="str">
            <v>VMware vSphere Standard (1 プロセッサー ライセンス)
※5 年間の 24x7 テクニカル サポート付</v>
          </cell>
        </row>
        <row r="2212">
          <cell r="A2212" t="str">
            <v>BD514A</v>
          </cell>
          <cell r="B2212" t="str">
            <v>VMw vSphere EntPlus 1P (5年24x7)</v>
          </cell>
          <cell r="C2212" t="str">
            <v>VMware vSphere Enterprise Plus (1 プロセッサー ライセンス)
※5 年間の 24x7 テクニカル サポート付</v>
          </cell>
        </row>
        <row r="2213">
          <cell r="A2213" t="str">
            <v>BD518A</v>
          </cell>
          <cell r="B2213" t="str">
            <v>VMw vCenter Srv Foundation (5年24x7)</v>
          </cell>
          <cell r="C2213" t="str">
            <v>VMware vCenter Server Foundation
※管理対象サーバーは 3 台まで
※5 年間の 24x7 テクニカル サポート付</v>
          </cell>
        </row>
        <row r="2214">
          <cell r="A2214" t="str">
            <v>BD520A</v>
          </cell>
          <cell r="B2214" t="str">
            <v>VMw vCenter Srv Fnd-Std (5年24x7)</v>
          </cell>
          <cell r="C2214" t="str">
            <v>vCenter Server Foundation から Standard へのアップグレード ライセンス
※5 年間の 24x7 テクニカル サポート付</v>
          </cell>
        </row>
        <row r="2215">
          <cell r="A2215" t="str">
            <v>BD527A</v>
          </cell>
          <cell r="B2215" t="str">
            <v>VMw vSphere Std-EntPlus 1P (5年24x7)</v>
          </cell>
          <cell r="C2215" t="str">
            <v>vSphere Standard から Enteprise Plus へアップグレードするライセンス
※1 プロセッサー ライセンス
※5 年間の 24x7 テクニカル サポート付</v>
          </cell>
        </row>
        <row r="2216">
          <cell r="A2216" t="str">
            <v>BD534A</v>
          </cell>
          <cell r="B2216" t="str">
            <v>VMw vCenter SRM Std 25VM (5年24x7)</v>
          </cell>
          <cell r="C2216" t="str">
            <v>VMware vCenter Site Recovery Manager 5.x Standard (SRM 5.x Standard) 25VM (仮想マシン)ライセンス
※5 年間の 24x7 テクニカル サポート付</v>
          </cell>
        </row>
        <row r="2217">
          <cell r="A2217" t="str">
            <v>BD535A</v>
          </cell>
          <cell r="B2217" t="str">
            <v>VMw vCenter SRM Ent 25VM (5年24x7)</v>
          </cell>
          <cell r="C2217" t="str">
            <v>VMware vCenter Site Recovery Manager 5.x Enterprise (SRM 5.x Enterprise) 25VM (仮想マシン)ライセンス
※5 年間の 24x7 テクニカル サポート付</v>
          </cell>
        </row>
        <row r="2218">
          <cell r="A2218" t="str">
            <v>BD706A</v>
          </cell>
          <cell r="B2218" t="str">
            <v>VMw vSphere Essentials 3-srv (1年24x7)</v>
          </cell>
          <cell r="C2218" t="str">
            <v>VMware vSphere Essentials (3 サーバー)
※1 年間の 24x7 テクニカル サポート付</v>
          </cell>
        </row>
        <row r="2219">
          <cell r="A2219" t="str">
            <v>BD707A</v>
          </cell>
          <cell r="B2219" t="str">
            <v>VMw vSphere Essentials 3-srv (3年24x7)</v>
          </cell>
          <cell r="C2219" t="str">
            <v>VMware vSphere Essentials (3 サーバー)
※3 年間の 24x7 テクニカル サポート付</v>
          </cell>
        </row>
        <row r="2220">
          <cell r="A2220" t="str">
            <v>BD710A</v>
          </cell>
          <cell r="B2220" t="str">
            <v>VMw vSphere Std 1P (1年24x7)</v>
          </cell>
          <cell r="C2220" t="str">
            <v>VMware vSphere Standard (1 プロセッサー ライセンス)
※1 年間の 24x7 テクニカル サポート付</v>
          </cell>
        </row>
        <row r="2221">
          <cell r="A2221" t="str">
            <v>BD711A</v>
          </cell>
          <cell r="B2221" t="str">
            <v>VMw vSphere Std 1P (3年24x7)</v>
          </cell>
          <cell r="C2221" t="str">
            <v>VMware vSphere Standard (1 プロセッサー ライセンス)
※3 年間の 24x7 テクニカル サポート付</v>
          </cell>
        </row>
        <row r="2222">
          <cell r="A2222" t="str">
            <v>BD714A</v>
          </cell>
          <cell r="B2222" t="str">
            <v>VMw vSphere EntPlus 1P (1年24x7)</v>
          </cell>
          <cell r="C2222" t="str">
            <v>VMware vSphere Enterprise Plus (1 プロセッサー ライセンス)
※1 年間の 24x7 テクニカル サポート付</v>
          </cell>
        </row>
        <row r="2223">
          <cell r="A2223" t="str">
            <v>BD715A</v>
          </cell>
          <cell r="B2223" t="str">
            <v>VMw vSphere EntPlus 1P (3年24x7)</v>
          </cell>
          <cell r="C2223" t="str">
            <v>VMware vSphere Enterprise Plus (1 プロセッサー ライセンス)
※3 年間の 24x7 テクニカル サポート付</v>
          </cell>
        </row>
        <row r="2224">
          <cell r="A2224" t="str">
            <v>BD722A</v>
          </cell>
          <cell r="B2224" t="str">
            <v>VMw vCenter Srv Foundation (1年24x7)</v>
          </cell>
          <cell r="C2224" t="str">
            <v>VMware vCenter Server Foundation
※管理対象サーバーは 3 台まで
※1 年間の 24x7 テクニカル サポート付</v>
          </cell>
        </row>
        <row r="2225">
          <cell r="A2225" t="str">
            <v>BD723A</v>
          </cell>
          <cell r="B2225" t="str">
            <v>VMw vCenter Srv Foundation (3年24x7)</v>
          </cell>
          <cell r="C2225" t="str">
            <v>VMware vCenter Server Foundation
※管理対象サーバーは 3 台まで
※3 年間の 24x7 テクニカル サポート付</v>
          </cell>
        </row>
        <row r="2226">
          <cell r="A2226" t="str">
            <v>BD726A</v>
          </cell>
          <cell r="B2226" t="str">
            <v>VMw vCenter Srv Fnd-Std (1年24x7)</v>
          </cell>
          <cell r="C2226" t="str">
            <v>vCenter Server Foundation から Standard へのアップグレード ライセンス
※1 年間の 24x7 テクニカル サポート付</v>
          </cell>
        </row>
        <row r="2227">
          <cell r="A2227" t="str">
            <v>BD727A</v>
          </cell>
          <cell r="B2227" t="str">
            <v>VMw vCenter Srv Fnd-Std (3年24x7)</v>
          </cell>
          <cell r="C2227" t="str">
            <v>vCenter Server Foundation から Standard へのアップグレード ライセンス
※3 年間の 24x7 テクニカル サポート付</v>
          </cell>
        </row>
        <row r="2228">
          <cell r="A2228" t="str">
            <v>BD738A</v>
          </cell>
          <cell r="B2228" t="str">
            <v>VMw vSphere Std-EntPlus 1P (1年24x7)</v>
          </cell>
          <cell r="C2228" t="str">
            <v>vSphere Standard から Enteprise Plus へアップグレードするライセンス
※1 プロセッサー ライセンス
※1 年間の 24x7 テクニカル サポート付</v>
          </cell>
        </row>
        <row r="2229">
          <cell r="A2229" t="str">
            <v>BD739A</v>
          </cell>
          <cell r="B2229" t="str">
            <v>VMw vSphere Std-EntPlus 1P (3年24x7)</v>
          </cell>
          <cell r="C2229" t="str">
            <v>vSphere Standard から Enteprise Plus へアップグレードするライセンス
※1 プロセッサー ライセンス
※3 年間の 24x7 テクニカル サポート付</v>
          </cell>
        </row>
        <row r="2230">
          <cell r="A2230" t="str">
            <v>BD740A</v>
          </cell>
          <cell r="B2230" t="str">
            <v>VMw vSphere Ent-EntPlus 1P (1年24x7)</v>
          </cell>
          <cell r="C2230" t="str">
            <v>vSphere Enterprise から Enteprise Plus へアップグレードするライセンス
※1 プロセッサー ライセンス
※1 年間の 24x7 テクニカル サポート付</v>
          </cell>
        </row>
        <row r="2231">
          <cell r="A2231" t="str">
            <v>BD741A</v>
          </cell>
          <cell r="B2231" t="str">
            <v>VMw vSphere Ent-EntPlus 1P (3年24x7)</v>
          </cell>
          <cell r="C2231" t="str">
            <v>vSphere Enterprise から Enteprise Plus へアップグレードするライセンス
※1 プロセッサー ライセンス
※3 年間の 24x7 テクニカル サポート付</v>
          </cell>
        </row>
        <row r="2232">
          <cell r="A2232" t="str">
            <v>BD748A</v>
          </cell>
          <cell r="B2232" t="str">
            <v>VMw vCenter SRM Std 25VM (1年24x7)</v>
          </cell>
          <cell r="C2232" t="str">
            <v>VMware vCenter Site Recovery Manager 5.x Standard (SRM 5.x Standard) 25VM (仮想マシン)ライセンス
※1 年間の 24x7 テクニカル サポート付</v>
          </cell>
        </row>
        <row r="2233">
          <cell r="A2233" t="str">
            <v>BD749A</v>
          </cell>
          <cell r="B2233" t="str">
            <v>VMw vCenter SRM Std 25VM (3年24x7)</v>
          </cell>
          <cell r="C2233" t="str">
            <v>VMware vCenter Site Recovery Manager 5.x Standard (SRM 5.x Standard) 25VM (仮想マシン)ライセンス
※3 年間の 24x7 テクニカル サポート付</v>
          </cell>
        </row>
        <row r="2234">
          <cell r="A2234" t="str">
            <v>BD750A</v>
          </cell>
          <cell r="B2234" t="str">
            <v>VMw vCenter SRM Ent 25VM (1年24x7)</v>
          </cell>
          <cell r="C2234" t="str">
            <v>VMware vCenter Site Recovery Manager 5.x Enterprise (SRM 5.x Enterprise) 25VM (仮想マシン)ライセンス
※1 年間の 24x7 テクニカル サポート付</v>
          </cell>
        </row>
        <row r="2235">
          <cell r="A2235" t="str">
            <v>BD751A</v>
          </cell>
          <cell r="B2235" t="str">
            <v>VMw vCenter SRM Ent 25VM (3年24x7)</v>
          </cell>
          <cell r="C2235" t="str">
            <v>VMware vCenter Site Recovery Manager 5.x Enterprise (SRM 5.x Enterprise) 25VM (仮想マシン)ライセンス
※3 年間の 24x7 テクニカル サポート付</v>
          </cell>
        </row>
        <row r="2236">
          <cell r="A2236" t="str">
            <v>BD774A</v>
          </cell>
          <cell r="B2236" t="str">
            <v>iLO Essentials 1-Srvr ライセンス 3年24x7</v>
          </cell>
          <cell r="C2236" t="str">
            <v>Integrated Lights-Out 4 (iLO 4)の機能拡張するためのライセンス
※拡張機能のうち、グラフィカル リモート コンソールと仮想メディア機能が使用可能
※3 年間の 24x7 テクニカル サポート付</v>
          </cell>
        </row>
        <row r="2237">
          <cell r="A2237" t="str">
            <v>BD775A</v>
          </cell>
          <cell r="B2237" t="str">
            <v>iLO Essentials 1-Srvr ライセンス 1年24x7</v>
          </cell>
          <cell r="C2237" t="str">
            <v>Integrated Lights-Out 4 (iLO 4)の機能拡張するためのライセンス
※拡張機能のうち、グラフィカル リモート コンソールと仮想メディア機能が使用可能
※1 年間の 24x7 テクニカル サポート付</v>
          </cell>
        </row>
        <row r="2238">
          <cell r="A2238" t="str">
            <v>C6N27A</v>
          </cell>
          <cell r="B2238" t="str">
            <v>Insight Control 1-Srvr 1年24x7</v>
          </cell>
          <cell r="C2238" t="str">
            <v>HPE Insight Control で 1 台のサーバーを管理できるライセンス
※1 年間の 24x7 テクニカル サポートおよびアップデート権付</v>
          </cell>
        </row>
        <row r="2239">
          <cell r="A2239" t="str">
            <v>D4T91C</v>
          </cell>
          <cell r="B2239" t="str">
            <v>Helion CS Fnd 1SV (1年24x7)</v>
          </cell>
          <cell r="C2239" t="str">
            <v>Helion CloudSystem Foundation 1 サーバー ライセンス
※IaaS レベルのインフラストラクチャ サービスを提供
※1 物理サーバー上の仮想 OS インスタンスは無制限に管理可能。(ただし、物理サーバー間のライセンスは移動不可)
※1 年間の 24x7 テクニカル サポート付</v>
          </cell>
        </row>
        <row r="2240">
          <cell r="A2240" t="str">
            <v>D4T93C</v>
          </cell>
          <cell r="B2240" t="str">
            <v>Helion CS Ent 1SV (1年24x7)</v>
          </cell>
          <cell r="C2240" t="str">
            <v>Helion CloudSystem Enterprise 1 サーバー ライセンス
※先進的なインフラストラクチャ サービスと PaaS レベルのサービスを提供
※1 物理サーバー上の仮想 OS インスタンスは無制限に管理可能。(ただし、物理サーバー間のライセンスは移動不可)
※1 年間の 24x7 テクニカル サポート付</v>
          </cell>
        </row>
        <row r="2241">
          <cell r="A2241" t="str">
            <v>D4T95C</v>
          </cell>
          <cell r="B2241" t="str">
            <v>Helion CS Ent Upgrade 1SV (1年24x7)</v>
          </cell>
          <cell r="C2241" t="str">
            <v>Helion CloudSystem Foundation から Enterprise へのアップグレード用 1 サーバー ライセンス
※1 物理サーバー上の仮想 OS インスタンスは無制限に管理可能。(ただし、物理サーバー間のライセンスは移動不可)
※1 年間の 24x7 テクニカル サポート付</v>
          </cell>
        </row>
        <row r="2242">
          <cell r="A2242" t="str">
            <v>D4T97C</v>
          </cell>
          <cell r="B2242" t="str">
            <v>Helion CS Fnd 16SV (3年24x7)</v>
          </cell>
          <cell r="C2242" t="str">
            <v>Helion CloudSystem Foundation 16 サーバー ライセンス
※IaaS レベルのインフラストラクチャ サービスを提供
※1 物理サーバー上の仮想 OS インスタンスは無制限に管理可能。(ただし、物理サーバー間のライセンスは移動不可)
※3 年間の 24x7 テクニカル サポート付</v>
          </cell>
        </row>
        <row r="2243">
          <cell r="A2243" t="str">
            <v>D4T98B</v>
          </cell>
          <cell r="B2243" t="str">
            <v>Helion CS Ent 16SV (3年24x7)</v>
          </cell>
          <cell r="C2243" t="str">
            <v>Helion CloudSystem Enterprise 16 サーバー ライセンス
※先進的なインフラストラクチャ サービスと PaaS レベルのサービスを提供
※1 物理サーバー上の仮想 OS インスタンスは無制限に管理可能。(ただし、物理サーバー間のライセンスは移動不可)
※3 年間の 24x7 テクニカル サポート付</v>
          </cell>
        </row>
        <row r="2244">
          <cell r="A2244" t="str">
            <v>D4T98C</v>
          </cell>
          <cell r="B2244" t="str">
            <v>Helion CS Ent 16SV (3年24x7)</v>
          </cell>
          <cell r="C2244" t="str">
            <v>Helion CloudSystem Enterprise 16 サーバー ライセンス
※先進的なインフラストラクチャ サービスと PaaS レベルのサービスを提供
※1 物理サーバー上の仮想 OS インスタンスは無制限に管理可能。(ただし、物理サーバー間のライセンスは移動不可)
※3 年間の 24x7 テクニカル サポート付</v>
          </cell>
        </row>
        <row r="2245">
          <cell r="A2245" t="str">
            <v>D7S26A</v>
          </cell>
          <cell r="B2245" t="str">
            <v>HP SmartCache 1-Server License</v>
          </cell>
          <cell r="C2245" t="str">
            <v>Smart キャッシュに対応するためのオプション
※1 年間の 24x7 テクニカル サポート付</v>
          </cell>
        </row>
        <row r="2246">
          <cell r="A2246" t="str">
            <v>E5Y34A</v>
          </cell>
          <cell r="B2246" t="str">
            <v>OneView/IC 1sv Lic (3年24x7)</v>
          </cell>
          <cell r="C2246" t="str">
            <v>OneView で 1 台のサーバーを管理できるライセンス
※OneView Advanced 1 サーバー ライセンスと Insight Control 1 サーバー ライセンスのどちらを使用するか選択可能
※iLO Advanced ライセンスを含む
※3 年間の 24x7 テクニカル サポート付</v>
          </cell>
        </row>
        <row r="2247">
          <cell r="A2247" t="str">
            <v>E5Y37A</v>
          </cell>
          <cell r="B2247" t="str">
            <v>OneView Media Kit (No License)</v>
          </cell>
          <cell r="C2247" t="str">
            <v>メディア キット(ライセンスなし)</v>
          </cell>
        </row>
        <row r="2248">
          <cell r="A2248" t="str">
            <v>F6M48A</v>
          </cell>
          <cell r="B2248" t="str">
            <v>VMw vSphere EssnPlus 3-srv 1年</v>
          </cell>
          <cell r="C2248" t="str">
            <v>VMware vSphere Essentials Plus (3 サーバー)
※1 年間の 24x7 テクニカル サポート付</v>
          </cell>
        </row>
        <row r="2249">
          <cell r="A2249" t="str">
            <v>F6M49A</v>
          </cell>
          <cell r="B2249" t="str">
            <v>VMw vSphere EssnPlus 3-srv 3年</v>
          </cell>
          <cell r="C2249" t="str">
            <v>VMware vSphere Essentials Plus (3 サーバー)
※3 年間の 24x7 テクニカル サポート付</v>
          </cell>
        </row>
        <row r="2250">
          <cell r="A2250" t="str">
            <v>F6M50A</v>
          </cell>
          <cell r="B2250" t="str">
            <v>VMw vSphere EssnPlus 3-srv 5年</v>
          </cell>
          <cell r="C2250" t="str">
            <v>VMware vSphere Essentials Plus (3 サーバー)
※5 年間の 24x7 テクニカル サポート付</v>
          </cell>
        </row>
        <row r="2251">
          <cell r="A2251" t="str">
            <v>F6Q91A</v>
          </cell>
          <cell r="B2251" t="str">
            <v>OneView Advanced Upgrade Lic (3年24x7)</v>
          </cell>
          <cell r="C2251" t="str">
            <v>iLO Advanced、Insight Control または VCEM のいずれかが適用されたサーバー向けのアップグレード ライセンス
※メディアなし (ダウンロード)
※3 年間の 24x7 テクニカル サポート付</v>
          </cell>
        </row>
        <row r="2252">
          <cell r="A2252" t="str">
            <v>F9D45B</v>
          </cell>
          <cell r="B2252" t="str">
            <v>Helion CS Ent 80OSI (3年24x7)</v>
          </cell>
          <cell r="C2252" t="str">
            <v>Helion CloudSystem Enterprise 80OS インスタンス ライセンス
※管理可能仮想 OS インスタンス数は、物理サーバーの台数に関わらず 1 ライセンスにつき最大 80OS / 160OSまで
※3 年間の 24x7 テクニカル サポート付</v>
          </cell>
        </row>
        <row r="2253">
          <cell r="A2253" t="str">
            <v>F9D67B</v>
          </cell>
          <cell r="B2253" t="str">
            <v>Helion CS Ent 8SV (3年24x7)</v>
          </cell>
          <cell r="C2253" t="str">
            <v>Helion CloudSystem Enterprise 8 サーバー ライセンス
※先進的なインフラストラクチャ サービスと PaaS レベルのサービスを提供
※1 物理サーバー上の仮想 OS インスタンスは無制限に管理可能。(ただし、物理サーバー間のライセンスは移動不可)
※3 年間の 24x7 テクニカル サポート付</v>
          </cell>
        </row>
        <row r="2254">
          <cell r="A2254" t="str">
            <v>F9D67C</v>
          </cell>
          <cell r="B2254" t="str">
            <v>Helion CS Ent 8SV (3年24x7)</v>
          </cell>
          <cell r="C2254" t="str">
            <v>Helion CloudSystem Enterprise 8 サーバー ライセンス
※先進的なインフラストラクチャ サービスと PaaS レベルのサービスを提供
※1 物理サーバー上の仮想 OS インスタンスは無制限に管理可能。(ただし、物理サーバー間のライセンスは移動不可)
※3 年間の 24x7 テクニカル サポート付</v>
          </cell>
        </row>
        <row r="2255">
          <cell r="A2255" t="str">
            <v>F9D68C</v>
          </cell>
          <cell r="B2255" t="str">
            <v>Helion CS Fnd 8SV (3年24x7)</v>
          </cell>
          <cell r="C2255" t="str">
            <v>Helion CloudSystem Foundation 8 サーバー ライセンス
※IaaS レベルのインフラストラクチャ サービスを提供
※1 物理サーバー上の仮想 OS インスタンスは無制限に管理可能。(ただし、物理サーバー間のライセンスは移動不可)
※3 年間の 24x7 テクニカル サポート付</v>
          </cell>
        </row>
        <row r="2256">
          <cell r="A2256" t="str">
            <v>G3J22A</v>
          </cell>
          <cell r="B2256" t="str">
            <v>RHEL VirtualDC for 2Skt 1年 24x7</v>
          </cell>
          <cell r="C2256" t="str">
            <v>Red Hat Enterprise Linux Virtual Datacenters　2 ソケット無制限ゲスト ライセンス
※1 年間の 24x7 テクニカル サポート付</v>
          </cell>
        </row>
        <row r="2257">
          <cell r="A2257" t="str">
            <v>G3J23A</v>
          </cell>
          <cell r="B2257" t="str">
            <v>RHEL VirtualDC for 2Skt 1年 9x5</v>
          </cell>
          <cell r="C2257" t="str">
            <v>Red Hat Enterprise Linux Virtual Datacenters　2 ソケット無制限ゲスト ライセンス
※1 年間の 標準時間 テクニカル サポート付</v>
          </cell>
        </row>
        <row r="2258">
          <cell r="A2258" t="str">
            <v>G3J24A</v>
          </cell>
          <cell r="B2258" t="str">
            <v>RHEL VirtualDC for 2Skt 3年 24x7</v>
          </cell>
          <cell r="C2258" t="str">
            <v>Red Hat Enterprise Linux Virtual Datacenters　2 ソケット無制限ゲスト ライセンス
※3 年間の 24x7 テクニカル サポート付</v>
          </cell>
        </row>
        <row r="2259">
          <cell r="A2259" t="str">
            <v>G3J25A</v>
          </cell>
          <cell r="B2259" t="str">
            <v>RHEL VirtualDC for 2Skt 3年 9x5</v>
          </cell>
          <cell r="C2259" t="str">
            <v>Red Hat Enterprise Linux Virtual Datacenters　2 ソケット無制限ゲスト ライセンス
※3 年間の 標準時間 テクニカル サポート付</v>
          </cell>
        </row>
        <row r="2260">
          <cell r="A2260" t="str">
            <v>G3J26A</v>
          </cell>
          <cell r="B2260" t="str">
            <v>RHEL VirtualDC for 2Skt 5年 24x7</v>
          </cell>
          <cell r="C2260" t="str">
            <v>Red Hat Enterprise Linux Virtual Datacenters　2 ソケット無制限ゲスト ライセンス
※5 年間の 24x7 テクニカル サポート付</v>
          </cell>
        </row>
        <row r="2261">
          <cell r="A2261" t="str">
            <v>G3J27A</v>
          </cell>
          <cell r="B2261" t="str">
            <v>RHEL VirtualDC for 2Skt 5年 9x5</v>
          </cell>
          <cell r="C2261" t="str">
            <v>Red Hat Enterprise Linux Virtual Datacenters　2 ソケット無制限ゲスト ライセンス
※5 年間の 標準時間 テクニカル サポート付</v>
          </cell>
        </row>
        <row r="2262">
          <cell r="A2262" t="str">
            <v>G3J28A</v>
          </cell>
          <cell r="B2262" t="str">
            <v>RHEL Srv 2 Skt or 2 Guest 1年 24x7</v>
          </cell>
          <cell r="C2262" t="str">
            <v>Red Hat Enterprise Linux Server 2 ソケット or 2 ゲスト ライセンス
※1 年間の 24x7 テクニカル サポート付</v>
          </cell>
        </row>
        <row r="2263">
          <cell r="A2263" t="str">
            <v>G3J29A</v>
          </cell>
          <cell r="B2263" t="str">
            <v>RHEL Srv 2 Skt or 2 Guest 1年 9x5</v>
          </cell>
          <cell r="C2263" t="str">
            <v>Red Hat Enterprise Linux Server 2 ソケット or 2 ゲスト ライセンス
※1 年間の 標準時間 テクニカル サポート付</v>
          </cell>
        </row>
        <row r="2264">
          <cell r="A2264" t="str">
            <v>G3J30A</v>
          </cell>
          <cell r="B2264" t="str">
            <v>RHEL Srv 2 Skt or 2 Guest 3年 24x7</v>
          </cell>
          <cell r="C2264" t="str">
            <v>Red Hat Enterprise Linux Server 2 ソケット or 2 ゲスト ライセンス
※3 年間の 24x7 テクニカル サポート付</v>
          </cell>
        </row>
        <row r="2265">
          <cell r="A2265" t="str">
            <v>G3J31A</v>
          </cell>
          <cell r="B2265" t="str">
            <v>RHEL Srv 2 Skt or 2 Guest 3年 9x5</v>
          </cell>
          <cell r="C2265" t="str">
            <v>Red Hat Enterprise Linux Server 2 ソケット or 2 ゲスト ライセンス
※3 年間の 標準時間 テクニカル サポート付</v>
          </cell>
        </row>
        <row r="2266">
          <cell r="A2266" t="str">
            <v>G3J32A</v>
          </cell>
          <cell r="B2266" t="str">
            <v>RHEL Srv 2 Skt or 2 Guest 5年 24x7</v>
          </cell>
          <cell r="C2266" t="str">
            <v>Red Hat Enterprise Linux Server 2 ソケット or 2 ゲスト ライセンス
※5 年間の 24x7 テクニカル サポート付</v>
          </cell>
        </row>
        <row r="2267">
          <cell r="A2267" t="str">
            <v>G3J33A</v>
          </cell>
          <cell r="B2267" t="str">
            <v>RHEL Srv 2 Skt or 2 Guest 5年 9x5</v>
          </cell>
          <cell r="C2267" t="str">
            <v>Red Hat Enterprise Linux Server 2 ソケット or 2 ゲスト ライセンス
※5 年間の 標準時間 テクニカル サポート付</v>
          </cell>
        </row>
        <row r="2268">
          <cell r="A2268" t="str">
            <v>G3J34A</v>
          </cell>
          <cell r="B2268" t="str">
            <v>RH HighAvailability 2Skt or 2Guest 1年</v>
          </cell>
          <cell r="C2268" t="str">
            <v>Red Hat High Availability アドオン (2 ソケット or 2 ゲスト 1 年)
※メディアなし(ダウンロードまたは別売)
※テクニカルサポートの契約時間は OS 本体の RHELサブスクリプションに準拠</v>
          </cell>
        </row>
        <row r="2269">
          <cell r="A2269" t="str">
            <v>G3J35A</v>
          </cell>
          <cell r="B2269" t="str">
            <v>RH HighAvailability 2Skt or 2Guest 3年</v>
          </cell>
          <cell r="C2269" t="str">
            <v>Red Hat High Availability アドオン (2 ソケット or 2 ゲスト 3 年)
※メディアなし(ダウンロードまたは別売)
※テクニカルサポートの契約時間は OS 本体の RHELサブスクリプションに準拠</v>
          </cell>
        </row>
        <row r="2270">
          <cell r="A2270" t="str">
            <v>G3J36A</v>
          </cell>
          <cell r="B2270" t="str">
            <v>RH ResilientStorage 2Skt or 2Guest 1年</v>
          </cell>
          <cell r="C2270" t="str">
            <v>Red Hat Resilient Storage アドオン (2 ソケット or 2 ゲスト 1 年)
※メディアなし(ダウンロードまたは別売)
※High-Availability アドオン 込み
※テクニカルサポートの契約時間は OS 本体の RHELサブスクリプションに準拠</v>
          </cell>
        </row>
        <row r="2271">
          <cell r="A2271" t="str">
            <v>G3J37A</v>
          </cell>
          <cell r="B2271" t="str">
            <v>RH ResilientStorage 2Skt or 2Guest 3年</v>
          </cell>
          <cell r="C2271" t="str">
            <v>Red Hat Resilient Storage アドオン (2 ソケット or 2 ゲスト 3 年)
※メディアなし(ダウンロードまたは別売)
※High-Availability アドオン 込み
※テクニカルサポートの契約時間は OS 本体の RHELサブスクリプションに準拠</v>
          </cell>
        </row>
        <row r="2272">
          <cell r="A2272" t="str">
            <v>G3J38A</v>
          </cell>
          <cell r="B2272" t="str">
            <v>RH LoadBalancer 2Skt or 2Guest 1年</v>
          </cell>
          <cell r="C2272" t="str">
            <v>Red Hat Load Balancer アドオン (2 ソケット or 2 ゲスト 1 年)
※メディアなし(ダウンロードまたは別売)
※テクニカルサポートの契約時間は OS 本体の RHELサブスクリプションに準拠</v>
          </cell>
        </row>
        <row r="2273">
          <cell r="A2273" t="str">
            <v>G3J39A</v>
          </cell>
          <cell r="B2273" t="str">
            <v>RH LoadBalancer 2Skt or 2Guest 3年</v>
          </cell>
          <cell r="C2273" t="str">
            <v>Red Hat Load Balancer アドオン (2 ソケット or 2 ゲスト 3 年)
※メディアなし(ダウンロードまたは別売)
※テクニカルサポートの契約時間は OS 本体の RHELサブスクリプションに準拠</v>
          </cell>
        </row>
        <row r="2274">
          <cell r="A2274" t="str">
            <v>G3J40A</v>
          </cell>
          <cell r="B2274" t="str">
            <v>RH SmartManagement 2Skt or 2Guest 1年</v>
          </cell>
          <cell r="C2274" t="str">
            <v>Red Hat Smart Management アドオン (2 ソケット or 2 ゲスト 1 年)
※メディアなし(ダウンロードまたは別売)
※Red Hat Network と Red Hat Network Satellite 用のマネジメント モジュールとプロビジョニングモジュール込み
※テクニカルサポートの契約時間は OS 本体の RHELサブスクリプションに準拠</v>
          </cell>
        </row>
        <row r="2275">
          <cell r="A2275" t="str">
            <v>G3J41A</v>
          </cell>
          <cell r="B2275" t="str">
            <v>RH SmartManagement 2Skt or 2Gst 3年</v>
          </cell>
          <cell r="C2275" t="str">
            <v>Red Hat Smart Management アドオン (2 ソケット or 2 ゲスト 3 年)
※メディアなし(ダウンロードまたは別売)
※Red Hat Network と Red Hat Network Satellite 用のマネジメント モジュールとプロビジョニングモジュール込み
※テクニカルサポートの契約時間は OS 本体の RHELサブスクリプションに準拠</v>
          </cell>
        </row>
        <row r="2276">
          <cell r="A2276" t="str">
            <v>G3J42A</v>
          </cell>
          <cell r="B2276" t="str">
            <v>RH SmartManagement 2Skt UnltdGuest 1年</v>
          </cell>
          <cell r="C2276" t="str">
            <v>Red Hat Smart Management アドオン (2 ソケット無制限ゲスト 1 年)
※メディアなし(ダウンロードまたは別売)
※Red Hat Network と Red Hat Network Satellite 用のマネジメント モジュールとプロビジョニングモジュール込み
※テクニカルサポートの契約時間は OS 本体の RHELサブスクリプションに準拠</v>
          </cell>
        </row>
        <row r="2277">
          <cell r="A2277" t="str">
            <v>G3J43A</v>
          </cell>
          <cell r="B2277" t="str">
            <v>RH SmartManagement 2Skt UnltdGuest 3年</v>
          </cell>
          <cell r="C2277" t="str">
            <v>Red Hat Smart Management アドオン (2 ソケット無制限ゲスト 3 年)
※メディアなし(ダウンロードまたは別売)
※Red Hat Network と Red Hat Network Satellite 用のマネジメント モジュールとプロビジョニングモジュール込み
※テクニカルサポートの契約時間は OS 本体の RHELサブスクリプションに準拠</v>
          </cell>
        </row>
        <row r="2278">
          <cell r="A2278" t="str">
            <v>G5J62A</v>
          </cell>
          <cell r="B2278" t="str">
            <v>RHEL Srv 2 Skt 4 Guest 1年 24x7</v>
          </cell>
          <cell r="C2278" t="str">
            <v>Red Hat Enterprise Linux Server 2 ソケット 4 ゲスト ライセンス
※1 年間の 24x7 テクニカル サポート付</v>
          </cell>
        </row>
        <row r="2279">
          <cell r="A2279" t="str">
            <v>G5J63A</v>
          </cell>
          <cell r="B2279" t="str">
            <v>RHEL Srv 2 Skt 4 Guest 1年 9x5</v>
          </cell>
          <cell r="C2279" t="str">
            <v>Red Hat Enterprise Linux Server 2 ソケット 4 ゲスト ライセンス
※1 年間の 標準時間 テクニカル サポート付</v>
          </cell>
        </row>
        <row r="2280">
          <cell r="A2280" t="str">
            <v>G5J64A</v>
          </cell>
          <cell r="B2280" t="str">
            <v>RHEL Srv 2 Skt 4 Guest 3年 24x7</v>
          </cell>
          <cell r="C2280" t="str">
            <v>Red Hat Enterprise Linux Server 2 ソケット 4 ゲスト ライセンス
※3 年間の 24x7 テクニカル サポート付</v>
          </cell>
        </row>
        <row r="2281">
          <cell r="A2281" t="str">
            <v>G5J65A</v>
          </cell>
          <cell r="B2281" t="str">
            <v>RHEL Srv 2 Skt 4 Guest 3年 9x5</v>
          </cell>
          <cell r="C2281" t="str">
            <v>Red Hat Enterprise Linux Server 2 ソケット 4 ゲスト ライセンス
※3 年間の 標準時間 テクニカル サポート付</v>
          </cell>
        </row>
        <row r="2282">
          <cell r="A2282" t="str">
            <v>G5J66A</v>
          </cell>
          <cell r="B2282" t="str">
            <v>RH HighAvailability 2Skt UnltdGuest 1年</v>
          </cell>
          <cell r="C2282" t="str">
            <v>Red Hat High Availability アドオン (2 ソケット無制限ゲスト 1 年)
※メディアなし(ダウンロードまたは別売)
※テクニカルサポートの契約時間は OS 本体の RHELサブスクリプションに準拠</v>
          </cell>
        </row>
        <row r="2283">
          <cell r="A2283" t="str">
            <v>G5J67A</v>
          </cell>
          <cell r="B2283" t="str">
            <v>RH HighAvailability 2Skt UnltdGuest 3年</v>
          </cell>
          <cell r="C2283" t="str">
            <v>Red Hat High Availability アドオン (2 ソケット 無制限ゲスト 3 年)
※メディアなし(ダウンロードまたは別売)
※テクニカルサポートの契約時間は OS 本体の RHELサブスクリプションに準拠</v>
          </cell>
        </row>
        <row r="2284">
          <cell r="A2284" t="str">
            <v>G5J68A</v>
          </cell>
          <cell r="B2284" t="str">
            <v>RH ResilientStorage 2Skt UnltdGuest 1年</v>
          </cell>
          <cell r="C2284" t="str">
            <v>Red Hat Resilient Storage アドオン (2 ソケット無制限ゲスト 1 年)
※メディアなし(ダウンロードまたは別売)
※High-Availability アドオン 込み
※テクニカルサポートの契約時間は OS 本体の RHELサブスクリプションに準拠</v>
          </cell>
        </row>
        <row r="2285">
          <cell r="A2285" t="str">
            <v>G5J69A</v>
          </cell>
          <cell r="B2285" t="str">
            <v>RH ResilientStorage 2Skt UnltdGuest 3年</v>
          </cell>
          <cell r="C2285" t="str">
            <v>Red Hat Resilient Storage アドオン (2 ソケット無制限ゲスト 3 年)
※メディアなし(ダウンロードまたは別売)
※High-Availability アドオン 込み
※テクニカルサポートの契約時間は OS 本体の RHELサブスクリプションに準拠</v>
          </cell>
        </row>
        <row r="2286">
          <cell r="A2286" t="str">
            <v>J1U48A</v>
          </cell>
          <cell r="B2286" t="str">
            <v>RHEV 2 Skt 1年 24x7</v>
          </cell>
          <cell r="C2286" t="str">
            <v>Red Hat Enterprise Virtualization 2 ソケット ライセンス
※1 年間の 24x7 テクニカル サポート付</v>
          </cell>
        </row>
        <row r="2287">
          <cell r="A2287" t="str">
            <v>J1U49A</v>
          </cell>
          <cell r="B2287" t="str">
            <v>RHEV 2 Skt 1年 9x5</v>
          </cell>
          <cell r="C2287" t="str">
            <v>Red Hat Enterprise Virtualization 2 ソケット ライセンス
※1 年間の 標準時間 テクニカル サポート付</v>
          </cell>
        </row>
        <row r="2288">
          <cell r="A2288" t="str">
            <v>J1U50A</v>
          </cell>
          <cell r="B2288" t="str">
            <v>RHEV 2 Skt 3年 24x7</v>
          </cell>
          <cell r="C2288" t="str">
            <v>Red Hat Enterprise Virtualization 2 ソケット ライセンス
※3 年間の 24x7 テクニカル サポート付</v>
          </cell>
        </row>
        <row r="2289">
          <cell r="A2289" t="str">
            <v>J1U51A</v>
          </cell>
          <cell r="B2289" t="str">
            <v>RHEV 2 Skt 3年 9x5</v>
          </cell>
          <cell r="C2289" t="str">
            <v>Red Hat Enterprise Virtualization 2 ソケット ライセンス
※3 年間の 標準時間 テクニカル サポート付</v>
          </cell>
        </row>
        <row r="2290">
          <cell r="A2290" t="str">
            <v>J1U52A</v>
          </cell>
          <cell r="B2290" t="str">
            <v>RHEL with SmartVirtualization 1年 24x7</v>
          </cell>
          <cell r="C2290" t="str">
            <v>Red Hat Enterprise Linux with Smart Virtualization 2 ソケット無制限ゲスト ライセンス
※Red Hat Enterprise Linux Virtual Datacenters と Red Hat Enterprise Virtualization (RHEV) を組み合わせた製品
※1 年間の 24x7 テクニカル サポート付</v>
          </cell>
        </row>
        <row r="2291">
          <cell r="A2291" t="str">
            <v>J1U53A</v>
          </cell>
          <cell r="B2291" t="str">
            <v>RHEL with SmartVirtualization 1年 9x5</v>
          </cell>
          <cell r="C2291" t="str">
            <v>Red Hat Enterprise Linux with Smart Virtualization 2 ソケット無制限ゲスト ライセンス
※Red Hat Enterprise Linux Virtual Datacenters と Red Hat Enterprise Virtualization (RHEV) を組み合わせた製品
※1 年間の 標準時間 テクニカル サポート付</v>
          </cell>
        </row>
        <row r="2292">
          <cell r="A2292" t="str">
            <v>J1U54A</v>
          </cell>
          <cell r="B2292" t="str">
            <v>RHEL with SmartVirtualization 3年 24x7</v>
          </cell>
          <cell r="C2292" t="str">
            <v>Red Hat Enterprise Linux with Smart Virtualization 2 ソケット無制限ゲスト ライセンス
※Red Hat Enterprise Linux Virtual Datacenters と Red Hat Enterprise Virtualization (RHEV) を組み合わせた製品
※3 年間の 24x7 テクニカル サポート付</v>
          </cell>
        </row>
        <row r="2293">
          <cell r="A2293" t="str">
            <v>J1U55A</v>
          </cell>
          <cell r="B2293" t="str">
            <v>RHEL with SmartVirtualization 3年 9x5</v>
          </cell>
          <cell r="C2293" t="str">
            <v>Red Hat Enterprise Linux with Smart Virtualization 2 ソケット無制限ゲスト ライセンス
※Red Hat Enterprise Linux Virtual Datacenters と Red Hat Enterprise Virtualization (RHEV) を組み合わせた製品
※3 年間の 標準時間 テクニカル サポート付</v>
          </cell>
        </row>
        <row r="2294">
          <cell r="A2294" t="str">
            <v>J1U56A</v>
          </cell>
          <cell r="B2294" t="str">
            <v>RHEL 7 Media Kit</v>
          </cell>
          <cell r="C2294" t="str">
            <v>メディア キット(ライセンスなし)
※アップデート バージョンの指定不可</v>
          </cell>
        </row>
        <row r="2295">
          <cell r="A2295" t="str">
            <v>M6K28A</v>
          </cell>
          <cell r="B2295" t="str">
            <v>SLES 1-2 Sckt or 1-2 VM 3年 24x7</v>
          </cell>
          <cell r="C2295" t="str">
            <v>SUSE Linux Enterprise Server 1-2 ソケット or 2VM ライセンス
※メディアなし(ダウンロード)、ハイパーバイザー含まず
※3 年間の 24x7 テクニカル サポート付</v>
          </cell>
        </row>
        <row r="2296">
          <cell r="A2296" t="str">
            <v>M6K29A</v>
          </cell>
          <cell r="B2296" t="str">
            <v>SLES 1-2 Sckt 無制限VM 3年 24x7</v>
          </cell>
          <cell r="C2296" t="str">
            <v>SUSE Linux Enterprise Server 1-2 ソケット 無制限 VM ライセンス
※メディアなし(ダウンロード)、ホストマシンと仮想マシン(無制限)をカバー
※3 年間の 24x7 テクニカル サポート付</v>
          </cell>
        </row>
        <row r="2297">
          <cell r="A2297" t="str">
            <v>M6K30A</v>
          </cell>
          <cell r="B2297" t="str">
            <v>SLES for SAP 1-2 Sckt or 1-2 VM 3年 24x7</v>
          </cell>
          <cell r="C2297" t="str">
            <v>SUSE Linux Enterprise Server for SAP 1-2 ソケット or 2VM ライセンス
※メディアなし(ダウンロード)、ハイパーバイザー含まず
※3 年間の 24x7 テクニカル サポート付</v>
          </cell>
        </row>
        <row r="2298">
          <cell r="A2298" t="str">
            <v>M6K31A</v>
          </cell>
          <cell r="B2298" t="str">
            <v>SLES for SAP 1-2 Sckt 無制限VM 3年 24x7</v>
          </cell>
          <cell r="C2298" t="str">
            <v>SUSE Linux Enterprise Server for SAP 1-2 ソケット 無制限 VM ライセンス
※メディアなし(ダウンロード)、ホストマシンと仮想マシン(無制限)をカバー
※3 年間の 24x7 テクニカル サポート付</v>
          </cell>
        </row>
        <row r="2299">
          <cell r="A2299" t="str">
            <v>M6K32A</v>
          </cell>
          <cell r="B2299" t="str">
            <v>SLES for SAP 1-2 Sckt or 1-2 VM 5年 24x7</v>
          </cell>
          <cell r="C2299" t="str">
            <v>SUSE Linux Enterprise Server for SAP 1-2 ソケット or 2VM ライセンス
※メディアなし(ダウンロード)、ハイパーバイザー含まず
※5 年間の 24x7 テクニカル サポート付</v>
          </cell>
        </row>
        <row r="2300">
          <cell r="A2300" t="str">
            <v>M6K33A</v>
          </cell>
          <cell r="B2300" t="str">
            <v>SLES for SAP 1-2 Sckt 無制限VM 5年 24x7</v>
          </cell>
          <cell r="C2300" t="str">
            <v>SUSE Linux Enterprise Server for SAP 1-2 ソケット 無制限 VM ライセンス
※メディアなし(ダウンロード)、ホストマシンと仮想マシン(無制限)をカバー
※5 年間の 24x7 テクニカル サポート付</v>
          </cell>
        </row>
        <row r="2301">
          <cell r="A2301" t="str">
            <v>M6K34A</v>
          </cell>
          <cell r="B2301" t="str">
            <v>SLE HA Extension 1-2 Sckt 3年</v>
          </cell>
          <cell r="C2301" t="str">
            <v>SUSE Linux Enterprise HA Extension (1-2 ソケット 3 年) 
※メディアなし(ダウンロード)
※サポートレベルは SUSE Linux Enterprise Server サブスクリプションのサポートレベルに準拠</v>
          </cell>
        </row>
        <row r="2302">
          <cell r="A2302" t="str">
            <v>N7F54A</v>
          </cell>
          <cell r="B2302" t="str">
            <v>SLES 1-2 Sckt or 1-2 VM 1年 24x7</v>
          </cell>
          <cell r="C2302" t="str">
            <v>SUSE Linux Enterprise Server 1-2 ソケット or 2VM ライセンス
※メディアなし(ダウンロード)、ハイパーバイザー含まず
※1 年間の 24x7 テクニカル サポート付</v>
          </cell>
        </row>
        <row r="2303">
          <cell r="A2303" t="str">
            <v>N7F55A</v>
          </cell>
          <cell r="B2303" t="str">
            <v>SLES 1-2 Sckt or 1-2 VM 1年 9x5</v>
          </cell>
          <cell r="C2303" t="str">
            <v>SUSE Linux Enterprise Server 1-2 ソケット or 2VM ライセンス
※メディアなし(ダウンロード)、ハイパーバイザー含まず
※1 年間の 標準時間 テクニカル サポート付</v>
          </cell>
        </row>
        <row r="2304">
          <cell r="A2304" t="str">
            <v>P00487-291</v>
          </cell>
          <cell r="B2304" t="str">
            <v xml:space="preserve">MS WS16 (16-Core) Std ROK ja        </v>
          </cell>
          <cell r="C2304" t="str">
            <v>日本語版 Windows Server 2016 Standard エディション
※16 コア ベース ライセンス</v>
          </cell>
        </row>
        <row r="2305">
          <cell r="A2305" t="str">
            <v>P00488-291</v>
          </cell>
          <cell r="B2305" t="str">
            <v xml:space="preserve">MS WS16 (16-Core) Datacntr ROK ja    </v>
          </cell>
          <cell r="C2305" t="str">
            <v>日本語版 Windows Server 2016 Datacenter エディション
※16 コア ベース ライセンス</v>
          </cell>
        </row>
        <row r="2306">
          <cell r="A2306" t="str">
            <v>P00489-291</v>
          </cell>
          <cell r="B2306" t="str">
            <v>MS WS16 (16-Core) DC Reassign ROK ja</v>
          </cell>
          <cell r="C2306" t="str">
            <v>日本語版 Windows Server 2016 Datacenter エディション
※16 コア ベース ライセンス
※再割当権付き (ただし、90 日間はライセンス移動不可)</v>
          </cell>
        </row>
        <row r="2307">
          <cell r="A2307" t="str">
            <v>P00490-291</v>
          </cell>
          <cell r="B2307" t="str">
            <v>MS WS12 R2 DG Std ROK ja</v>
          </cell>
          <cell r="C2307" t="str">
            <v>Windows Server 2012 R2 Standard ダウングレードメディアキット
以下からダウングレードおよびダウンエディションが可能
※Windows Server 2016 Datacenter
※Windows Server 2016 Standard</v>
          </cell>
        </row>
        <row r="2308">
          <cell r="A2308" t="str">
            <v>P00491-291</v>
          </cell>
          <cell r="B2308" t="str">
            <v xml:space="preserve">MS WS12 R2 DG Datacntr ROK ja  </v>
          </cell>
          <cell r="C2308" t="str">
            <v>Windows Server 2012 R2 DataCenter ダウングレードメディアキット
以下からダウングレードが可能
※Windows Server 2016 Datacenter</v>
          </cell>
        </row>
        <row r="2309">
          <cell r="A2309" t="str">
            <v>P3Q68B</v>
          </cell>
          <cell r="B2309" t="str">
            <v xml:space="preserve">VMw NSX Ent 1P 1年 24x7 </v>
          </cell>
          <cell r="C2309" t="str">
            <v>VMware NSX Enterprise 1プロセッサー ライセンス
※メディアなし(ダウンロード)
※1 年間の 24x7 テクニカル サポート付</v>
          </cell>
        </row>
        <row r="2310">
          <cell r="A2310" t="str">
            <v>P3Q69B</v>
          </cell>
          <cell r="B2310" t="str">
            <v>VMw NSX Ent 1P 3年 24x7</v>
          </cell>
          <cell r="C2310" t="str">
            <v>VMware NSX Enterprise 1プロセッサー ライセンス
※メディアなし(ダウンロード)
※3 年間の 24x7 テクニカル サポート付</v>
          </cell>
        </row>
        <row r="2311">
          <cell r="A2311" t="str">
            <v>P3Q70B</v>
          </cell>
          <cell r="B2311" t="str">
            <v>VMw NSX Ent 1P 5年 24x7</v>
          </cell>
          <cell r="C2311" t="str">
            <v>VMware NSX Enterprise 1プロセッサー ライセンス
※メディアなし(ダウンロード)
※5 年間の 24x7 テクニカル サポート付</v>
          </cell>
        </row>
        <row r="2312">
          <cell r="A2312" t="str">
            <v>P8B24A</v>
          </cell>
          <cell r="B2312" t="str">
            <v>OneView/IC w/o iLO Adv 1sv (3年24x7)</v>
          </cell>
          <cell r="C2312" t="str">
            <v>OneView で 1 台のサーバーを管理できるライセンス
※OneView Advanced 1 サーバー ライセンスと Insight Control 1 サーバー ライセンスのどちらを使用するか選択可能
※iLO Advanced ライセンスは含まず
※3 年間の 24x7 テクニカル サポート付</v>
          </cell>
        </row>
        <row r="2313">
          <cell r="A2313" t="str">
            <v>P9T48A</v>
          </cell>
          <cell r="B2313" t="str">
            <v>VMw Horizon Std 10パック CCU 1年</v>
          </cell>
          <cell r="C2313" t="str">
            <v>VMware Horizon Standard 10 パック 同時接続数 ライセンス
※1 年間の 24x7 テクニカル サポート付</v>
          </cell>
        </row>
        <row r="2314">
          <cell r="A2314" t="str">
            <v>P9T49A</v>
          </cell>
          <cell r="B2314" t="str">
            <v>VMw Horizon Std 10パック CCU 3年</v>
          </cell>
          <cell r="C2314" t="str">
            <v>VMware Horizon Standard 10 パック 同時接続数 ライセンス
※3 年間の 24x7 テクニカル サポート付</v>
          </cell>
        </row>
        <row r="2315">
          <cell r="A2315" t="str">
            <v>P9T50A</v>
          </cell>
          <cell r="B2315" t="str">
            <v>VMw Horizon Std 10パック CCU 5年</v>
          </cell>
          <cell r="C2315" t="str">
            <v>VMware Horizon Standard 10 パック 同時接続数 ライセンス
※5 年間の 24x7 テクニカル サポート付</v>
          </cell>
        </row>
        <row r="2316">
          <cell r="A2316" t="str">
            <v>P9T54A</v>
          </cell>
          <cell r="B2316" t="str">
            <v>VMw Horizon Adv 10パック CCU 1年</v>
          </cell>
          <cell r="C2316" t="str">
            <v>VMware Horizon Advanced 10 パック 同時接続数  ライセンス
※1 年間の 24x7 テクニカル サポート付</v>
          </cell>
        </row>
        <row r="2317">
          <cell r="A2317" t="str">
            <v>P9T55A</v>
          </cell>
          <cell r="B2317" t="str">
            <v>VMw Horizon Adv 10パック CCU 3年</v>
          </cell>
          <cell r="C2317" t="str">
            <v>VMware Horizon Advanced 10 パック 同時接続数  ライセンス
※3 年間の 24x7 テクニカル サポート付</v>
          </cell>
        </row>
        <row r="2318">
          <cell r="A2318" t="str">
            <v>P9T56A</v>
          </cell>
          <cell r="B2318" t="str">
            <v>VMw Horizon Adv 10パック CCU 5年</v>
          </cell>
          <cell r="C2318" t="str">
            <v>VMware Horizon Advanced 10 パック 同時接続数  ライセンス
※5 年間の 24x7 テクニカル サポート付</v>
          </cell>
        </row>
        <row r="2319">
          <cell r="A2319" t="str">
            <v>P9T60A</v>
          </cell>
          <cell r="B2319" t="str">
            <v>VMw Horizon Ent 10パック CCU 1年</v>
          </cell>
          <cell r="C2319" t="str">
            <v>VMware Horizon Enterprise 10 パック 同時接続数 ライセンス
※1 年間の 24x7 テクニカル サポート付</v>
          </cell>
        </row>
        <row r="2320">
          <cell r="A2320" t="str">
            <v>P9T61A</v>
          </cell>
          <cell r="B2320" t="str">
            <v>VMw Horizon Ent 10パック CCU 3年</v>
          </cell>
          <cell r="C2320" t="str">
            <v>VMware Horizon Enterprise 10 パック 同時接続数 ライセンス
※3 年間の 24x7 テクニカル サポート付</v>
          </cell>
        </row>
        <row r="2321">
          <cell r="A2321" t="str">
            <v>P9T62A</v>
          </cell>
          <cell r="B2321" t="str">
            <v>VMw Horizon Ent 10パック CCU 5年</v>
          </cell>
          <cell r="C2321" t="str">
            <v>VMware Horizon Enterprise 10 パック 同時接続数 ライセンス
※5 年間の 24x7 テクニカル サポート付</v>
          </cell>
        </row>
        <row r="2322">
          <cell r="A2322" t="str">
            <v>P9T63A</v>
          </cell>
          <cell r="B2322" t="str">
            <v>VMw Horizon Std Add-on 10パック CCU 1年</v>
          </cell>
          <cell r="C2322" t="str">
            <v>VMware Horizon Standard Add-on 10 パック 同時接続数 ライセンス
※vSphere ライセンスを既に保有するお客様専用の10 クライアント仮想マシン追加用ライセンス
※1 年間の 24x7 テクニカル サポート付</v>
          </cell>
        </row>
        <row r="2323">
          <cell r="A2323" t="str">
            <v>P9T64A</v>
          </cell>
          <cell r="B2323" t="str">
            <v>VMw Horizon Std Add-on 10パック CCU 3年</v>
          </cell>
          <cell r="C2323" t="str">
            <v>VMware Horizon Standard Add-on 10 パック 同時接続数 ライセンス
※vSphere ライセンスを既に保有するお客様専用の10 クライアント仮想マシン追加用ライセンス
※3 年間の 24x7 テクニカル サポート付</v>
          </cell>
        </row>
        <row r="2324">
          <cell r="A2324" t="str">
            <v>P9T65A</v>
          </cell>
          <cell r="B2324" t="str">
            <v>VMw Horizon Std Add-on 10パック CCU 5年</v>
          </cell>
          <cell r="C2324" t="str">
            <v>VMware Horizon Standard Add-on 10 パック 同時接続数 ライセンス
※vSphere ライセンスを既に保有するお客様専用の10 クライアント仮想マシン追加用ライセンス
※5 年間の 24x7 テクニカル サポート付</v>
          </cell>
        </row>
        <row r="2325">
          <cell r="A2325" t="str">
            <v>P9U07A</v>
          </cell>
          <cell r="B2325" t="str">
            <v>VMw vSph Std Acc Kit 6P 1年 24x7</v>
          </cell>
          <cell r="C2325" t="str">
            <v>VMware vSphere Standard Acceleration Kit
※VMware vSphere Standard 6 プロセッサー ライセンス と vCenter Server Standard のパッケージ製品
※1 年間の 24x7 テクニカル サポート付</v>
          </cell>
        </row>
        <row r="2326">
          <cell r="A2326" t="str">
            <v>P9U08A</v>
          </cell>
          <cell r="B2326" t="str">
            <v>VMw vSph Std Acc Kit 6P 3年 24x7</v>
          </cell>
          <cell r="C2326" t="str">
            <v>VMware vSphere Standard Acceleration Kit
※VMware vSphere Standard 6 プロセッサー ライセンス と vCenter Server Standard のパッケージ製品
※3 年間の 24x7 テクニカル サポート付</v>
          </cell>
        </row>
        <row r="2327">
          <cell r="A2327" t="str">
            <v>P9U09A</v>
          </cell>
          <cell r="B2327" t="str">
            <v>VMw vSph Std Acc Kit 6P 5年 24x7</v>
          </cell>
          <cell r="C2327" t="str">
            <v>VMware vSphere Standard Acceleration Kit
※VMware vSphere Standard 6 プロセッサー ライセンス と vCenter Server Standard のパッケージ製品
※5 年間の 24x7 テクニカル サポート付</v>
          </cell>
        </row>
        <row r="2328">
          <cell r="A2328" t="str">
            <v>P9U10A</v>
          </cell>
          <cell r="B2328" t="str">
            <v>VMw vSph EntPlus Acc Kit 6P 1年 24x7</v>
          </cell>
          <cell r="C2328" t="str">
            <v>VMware vSphere Enterprise Plus Acceleration Kit
※VMware vSphere Enterprise Plus 6 プロセッサー ライセンス と vCenter Server Standard のパッケージ製品
※1 年間の 24x7 テクニカル サポート付</v>
          </cell>
        </row>
        <row r="2329">
          <cell r="A2329" t="str">
            <v>P9U11A</v>
          </cell>
          <cell r="B2329" t="str">
            <v>VMw vSph EntPlus Acc Kit 6P 3年 24x7</v>
          </cell>
          <cell r="C2329" t="str">
            <v>VMware vSphere Enterprise Plus Acceleration Kit
※VMware vSphere Enterprise Plus 6 プロセッサー ライセンス と vCenter Server Standard のパッケージ製品
※3 年間の 24x7 テクニカル サポート付</v>
          </cell>
        </row>
        <row r="2330">
          <cell r="A2330" t="str">
            <v>P9U12A</v>
          </cell>
          <cell r="B2330" t="str">
            <v>VMw vSph EntPlus Acc Kit 6P 5年 24x7</v>
          </cell>
          <cell r="C2330" t="str">
            <v>VMware vSphere Enterprise Plus Acceleration Kit
※VMware vSphere Enterprise Plus 6 プロセッサー ライセンス と vCenter Server Standard のパッケージ製品
※5 年間の 24x7 テクニカル サポート付</v>
          </cell>
        </row>
        <row r="2331">
          <cell r="A2331" t="str">
            <v>P9U13A</v>
          </cell>
          <cell r="B2331" t="str">
            <v>VMw vSOM EntPlus 1P 1年 24x7</v>
          </cell>
          <cell r="C2331" t="str">
            <v>VMware vSphere with Operations Management Enterprise Plus 1プロセッサー ライセンス
※1 年間の 24x7 テクニカル サポート付</v>
          </cell>
        </row>
        <row r="2332">
          <cell r="A2332" t="str">
            <v>P9U14A</v>
          </cell>
          <cell r="B2332" t="str">
            <v>VMw vSOM EntPlus 1P 3年 24x7</v>
          </cell>
          <cell r="C2332" t="str">
            <v>VMware vSphere with Operations Management Enterprise Plus 1プロセッサー ライセンス
※3 年間の 24x7 テクニカル サポート付</v>
          </cell>
        </row>
        <row r="2333">
          <cell r="A2333" t="str">
            <v>P9U15A</v>
          </cell>
          <cell r="B2333" t="str">
            <v>VMw vSOM EntPlus 1P 5年 24x7</v>
          </cell>
          <cell r="C2333" t="str">
            <v>VMware vSphere with Operations Management Enterprise Plus 1プロセッサー ライセンス
※5 年間の 24x7 テクニカル サポート付</v>
          </cell>
        </row>
        <row r="2334">
          <cell r="A2334" t="str">
            <v>P9U16A</v>
          </cell>
          <cell r="B2334" t="str">
            <v>VMw vSOM EntPlus Acc Kit 6P 1年 24x7</v>
          </cell>
          <cell r="C2334" t="str">
            <v>VMware vSphere with Operations Management Enterprise Plus Acceleration Kit
※VMware vSOM Enterprise Plus 6 プロセッサー ライセンス と vCenter Server Standard のパッケージ製品
※1 年間の 24x7 テクニカル サポート付</v>
          </cell>
        </row>
        <row r="2335">
          <cell r="A2335" t="str">
            <v>P9U17A</v>
          </cell>
          <cell r="B2335" t="str">
            <v>VMw vSOM EntPlus Acc Kit 6P 3年 24x7</v>
          </cell>
          <cell r="C2335" t="str">
            <v>VMware vSphere with Operations Management Enterprise Plus Acceleration Kit
※VMware vSOM Enterprise Plus 6 プロセッサー ライセンス と vCenter Server Standard のパッケージ製品
※3 年間の 24x7 テクニカル サポート付</v>
          </cell>
        </row>
        <row r="2336">
          <cell r="A2336" t="str">
            <v>P9U18A</v>
          </cell>
          <cell r="B2336" t="str">
            <v>VMw vSOM EntPlus Acc Kit 6P 5年 24x7</v>
          </cell>
          <cell r="C2336" t="str">
            <v>VMware vSphere with Operations Management Enterprise Plus Acceleration Kit
※VMware vSOM Enterprise Plus 6 プロセッサー ライセンス と vCenter Server Standard のパッケージ製品
※5 年間の 24x7 テクニカル サポート付</v>
          </cell>
        </row>
        <row r="2337">
          <cell r="A2337" t="str">
            <v>P9U40A</v>
          </cell>
          <cell r="B2337" t="str">
            <v>VMw vCenter Srv Std for vSph 1年 24x7</v>
          </cell>
          <cell r="C2337" t="str">
            <v>VMware vCenter Server Standard for vSphere ライセンス
※1 年間の 24x7 テクニカル サポート付</v>
          </cell>
        </row>
        <row r="2338">
          <cell r="A2338" t="str">
            <v>P9U41A</v>
          </cell>
          <cell r="B2338" t="str">
            <v>VMw vCenter Srv Std for vSph 3年 24x7</v>
          </cell>
          <cell r="C2338" t="str">
            <v>VMware vCenter Server Standard for vSphere ライセンス
※3 年間の 24x7 テクニカル サポート付</v>
          </cell>
        </row>
        <row r="2339">
          <cell r="A2339" t="str">
            <v>P9U42A</v>
          </cell>
          <cell r="B2339" t="str">
            <v>VMw vCenter Srv Std for vSph 5年 24x7</v>
          </cell>
          <cell r="C2339" t="str">
            <v>VMware vCenter Server Standard for vSphere ライセンス
※5 年間の 24x7 テクニカル サポート付</v>
          </cell>
        </row>
        <row r="2340">
          <cell r="A2340" t="str">
            <v>P9V06A</v>
          </cell>
          <cell r="B2340" t="str">
            <v>OneView 3yr 24x7 Cisco B22HP LTU</v>
          </cell>
          <cell r="C2340" t="str">
            <v>OneView Advanced 管理ソフトウェア (別売) で、BladeSystem c-Class Cisco Fabric Extender を 管理可能にするライセンス
※Cisco Fabric Extender モジュール 1 台につき、1 ライセンス必要</v>
          </cell>
        </row>
        <row r="2341">
          <cell r="A2341" t="str">
            <v>Q0D18A</v>
          </cell>
          <cell r="B2341" t="str">
            <v>RHEV 2 Skt 5年 24x7</v>
          </cell>
          <cell r="C2341" t="str">
            <v>Red Hat Enterprise Virtualization 2 ソケット ライセンス
※5 年間の 24x7 テクニカル サポート付</v>
          </cell>
        </row>
        <row r="2342">
          <cell r="A2342" t="str">
            <v>Q0D19A</v>
          </cell>
          <cell r="B2342" t="str">
            <v>RHEV 2 Skt 5年 9x5</v>
          </cell>
          <cell r="C2342" t="str">
            <v>Red Hat Enterprise Virtualization 2 ソケット ライセンス
※5 年間の 標準時間 テクニカル サポート付</v>
          </cell>
        </row>
        <row r="2343">
          <cell r="A2343" t="str">
            <v>Q0D20A</v>
          </cell>
          <cell r="B2343" t="str">
            <v>RHEL with SmartVirtualization 5年 24x7</v>
          </cell>
          <cell r="C2343" t="str">
            <v>Red Hat Enterprise Linux with Smart Virtualization 2 ソケット無制限ゲスト ライセンス
※Red Hat Enterprise Linux Virtual Datacenters と Red Hat Enterprise Virtualization (RHEV) を組み合わせた製品
※5 年間の 24x7 テクニカル サポート付</v>
          </cell>
        </row>
        <row r="2344">
          <cell r="A2344" t="str">
            <v>Q0D21A</v>
          </cell>
          <cell r="B2344" t="str">
            <v>RHEL with SmartVirtualization 5年 9x5</v>
          </cell>
          <cell r="C2344" t="str">
            <v>Red Hat Enterprise Linux with Smart Virtualization 2 ソケット無制限ゲスト ライセンス
※Red Hat Enterprise Linux Virtual Datacenters と Red Hat Enterprise Virtualization (RHEV) を組み合わせた製品
※5 年間の 標準時間 テクニカル サポート付</v>
          </cell>
        </row>
        <row r="2345">
          <cell r="A2345" t="str">
            <v>Q0D22A</v>
          </cell>
          <cell r="B2345" t="str">
            <v xml:space="preserve">RHEL Srv 2 Skt 4 Guest 5年 24x7 </v>
          </cell>
          <cell r="C2345" t="str">
            <v>Red Hat Enterprise Linux Server 2 ソケット 4 ゲスト ライセンス
※5 年間の 24x7 テクニカル サポート付</v>
          </cell>
        </row>
        <row r="2346">
          <cell r="A2346" t="str">
            <v>Q0D23A</v>
          </cell>
          <cell r="B2346" t="str">
            <v>RHEL Srv 2 Skt 4 Guest 5年 9x5</v>
          </cell>
          <cell r="C2346" t="str">
            <v>Red Hat Enterprise Linux Server 2 ソケット 4 ゲスト ライセンス
※5 年間の 標準時間 テクニカル サポート付</v>
          </cell>
        </row>
        <row r="2347">
          <cell r="A2347" t="str">
            <v>Q0D24A</v>
          </cell>
          <cell r="B2347" t="str">
            <v>Red Hat Network Satellite 5y 24x7</v>
          </cell>
          <cell r="C2347" t="str">
            <v>Red Hat Network (RHN) Satellite
※メディアなし(ダウンロード)
※5 年 24x7 テクニカルサポート付</v>
          </cell>
        </row>
        <row r="2348">
          <cell r="A2348" t="str">
            <v>Q0D25A</v>
          </cell>
          <cell r="B2348" t="str">
            <v>RH HighAvailability 2Skt or 2Guest 5年</v>
          </cell>
          <cell r="C2348" t="str">
            <v>Red Hat High Availability アドオン (2 ソケット or 2 ゲスト 5 年)
※メディアなし(ダウンロードまたは別売)
※テクニカルサポートの契約時間は OS 本体の RHELサブスクリプションに準拠</v>
          </cell>
        </row>
        <row r="2349">
          <cell r="A2349" t="str">
            <v>Q0D26A</v>
          </cell>
          <cell r="B2349" t="str">
            <v>RH HighAvailability 2Skt UnltdGuest 5年</v>
          </cell>
          <cell r="C2349" t="str">
            <v>Red Hat High Availability アドオン (2 ソケット無制限ゲスト 5 年)
※メディアなし(ダウンロードまたは別売)
※テクニカルサポートの契約時間は OS 本体の RHELサブスクリプションに準拠</v>
          </cell>
        </row>
        <row r="2350">
          <cell r="A2350" t="str">
            <v>Q0D27A</v>
          </cell>
          <cell r="B2350" t="str">
            <v>RH SmartManagement 2Skt or 2Gst 5年</v>
          </cell>
          <cell r="C2350" t="str">
            <v>Red Hat Smart Management アドオン (2 ソケット or 2 ゲスト 5 年)
※メディアなし(ダウンロードまたは別売)
※Red Hat Network と Red Hat Network Satellite 用のマネジメント モジュールとプロビジョニングモジュール込み
※テクニカルサポートの契約時間は OS 本体の RHELサブスクリプションに準拠</v>
          </cell>
        </row>
        <row r="2351">
          <cell r="A2351" t="str">
            <v>Q0D28A</v>
          </cell>
          <cell r="B2351" t="str">
            <v>RH SmartManagement 2Skt UnltdGuest 5年</v>
          </cell>
          <cell r="C2351" t="str">
            <v>Red Hat Smart Management アドオン (2 ソケット無制限ゲスト 5 年)
※メディアなし(ダウンロードまたは別売)
※Red Hat Network と Red Hat Network Satellite 用のマネジメント モジュールとプロビジョニングモジュール込み
※テクニカルサポートの契約時間は OS 本体の RHELサブスクリプションに準拠</v>
          </cell>
        </row>
        <row r="2352">
          <cell r="A2352" t="str">
            <v>Q0D29A</v>
          </cell>
          <cell r="B2352" t="str">
            <v>RH ResilientStorage 2Skt or 2Guest 5年</v>
          </cell>
          <cell r="C2352" t="str">
            <v>Red Hat Resilient Storage アドオン (2 ソケット or 2 ゲスト 5 年)
※メディアなし(ダウンロードまたは別売)
※High-Availability アドオン 込み
※テクニカルサポートの契約時間は OS 本体の RHELサブスクリプションに準拠</v>
          </cell>
        </row>
        <row r="2353">
          <cell r="A2353" t="str">
            <v>Q0D30A</v>
          </cell>
          <cell r="B2353" t="str">
            <v>RH ResilientStorage 2Skt UnltdGuest 5年</v>
          </cell>
          <cell r="C2353" t="str">
            <v>Red Hat Resilient Storage アドオン (2 ソケット無制限ゲスト 5 年)
※メディアなし(ダウンロードまたは別売)
※High-Availability アドオン 込み
※テクニカルサポートの契約時間は OS 本体の RHELサブスクリプションに準拠</v>
          </cell>
        </row>
        <row r="2354">
          <cell r="A2354" t="str">
            <v>Q0E29C</v>
          </cell>
          <cell r="B2354" t="str">
            <v>Helion CS Fnd Soln 1SV (1年24x7)</v>
          </cell>
          <cell r="C2354" t="str">
            <v>Helion CloudSystem Foundation Solution 1サーバー ライセンス
※1 年 24x7 テクニカルサポート付</v>
          </cell>
        </row>
        <row r="2355">
          <cell r="A2355" t="str">
            <v>Q0E30C</v>
          </cell>
          <cell r="B2355" t="str">
            <v>Helion CS Ent Soln 1SV (1年24x7)</v>
          </cell>
          <cell r="C2355" t="str">
            <v>Helion CloudSystem Enterprise Solution 1サーバー ライセンス
※1 年 24x7 テクニカルサポート付</v>
          </cell>
        </row>
        <row r="2356">
          <cell r="A2356" t="str">
            <v>Q0E31A</v>
          </cell>
          <cell r="B2356" t="str">
            <v xml:space="preserve">VMw NSX Std 1P 1年 24x7 </v>
          </cell>
          <cell r="C2356" t="str">
            <v>VMware NSX Standard 1プロセッサー ライセンス
※メディアなし (ダウンロード)
※1 年 24x7 テクニカルサポート付</v>
          </cell>
        </row>
        <row r="2357">
          <cell r="A2357" t="str">
            <v>Q0E32A</v>
          </cell>
          <cell r="B2357" t="str">
            <v xml:space="preserve">VMw NSX Std 1P 3年 24x7 </v>
          </cell>
          <cell r="C2357" t="str">
            <v>VMware NSX Standard 1プロセッサー ライセンス
※メディアなし (ダウンロード)
※3 年 24x7 テクニカルサポート付</v>
          </cell>
        </row>
        <row r="2358">
          <cell r="A2358" t="str">
            <v>Q0E33A</v>
          </cell>
          <cell r="B2358" t="str">
            <v xml:space="preserve">VMw NSX Std 1P 5年 24x7 </v>
          </cell>
          <cell r="C2358" t="str">
            <v>VMware NSX Standard 1プロセッサー ライセンス
※メディアなし (ダウンロード)
※5 年 24x7 テクニカルサポート付</v>
          </cell>
        </row>
        <row r="2359">
          <cell r="A2359" t="str">
            <v>Q0E34A</v>
          </cell>
          <cell r="B2359" t="str">
            <v xml:space="preserve">VMw NSX Adv 1P 1年 24x7 </v>
          </cell>
          <cell r="C2359" t="str">
            <v>VMware NSX Advanced 1プロセッサー ライセンス
※メディアなし (ダウンロード)
※1 年 24x7 テクニカルサポート付</v>
          </cell>
        </row>
        <row r="2360">
          <cell r="A2360" t="str">
            <v>Q0E35A</v>
          </cell>
          <cell r="B2360" t="str">
            <v xml:space="preserve">VMw NSX Adv 1P 3年 24x7 </v>
          </cell>
          <cell r="C2360" t="str">
            <v>VMware NSX Advanced 1プロセッサー ライセンス
※メディアなし (ダウンロード)
※3 年 24x7 テクニカルサポート付</v>
          </cell>
        </row>
        <row r="2361">
          <cell r="A2361" t="str">
            <v>Q0E36A</v>
          </cell>
          <cell r="B2361" t="str">
            <v xml:space="preserve">VMw NSX Adv 1P 5年 24x7 </v>
          </cell>
          <cell r="C2361" t="str">
            <v>VMware NSX Advanced 1プロセッサー ライセンス
※メディアなし (ダウンロード)
※5 年 24x7 テクニカルサポート付</v>
          </cell>
        </row>
        <row r="2362">
          <cell r="A2362" t="str">
            <v>Q1P49A</v>
          </cell>
          <cell r="B2362" t="str">
            <v>VMw NSX Ent Desktop 100パック CCU 1年</v>
          </cell>
          <cell r="C2362" t="str">
            <v>VMware NSX Enterprise for Desktop 100 パック 同時接続数 ライセンス
※メディアなし (ダウンロード)
※1 年 24x7 テクニカルサポート付</v>
          </cell>
        </row>
        <row r="2363">
          <cell r="A2363" t="str">
            <v>Q1P50A</v>
          </cell>
          <cell r="B2363" t="str">
            <v>VMw NSX Ent Desktop 100パック CCU 3年</v>
          </cell>
          <cell r="C2363" t="str">
            <v>VMware NSX Enterprise for Desktop 100 パック 同時接続数 ライセンス
※メディアなし (ダウンロード)
※3 年 24x7 テクニカルサポート付</v>
          </cell>
        </row>
        <row r="2364">
          <cell r="A2364" t="str">
            <v>Q1P51A</v>
          </cell>
          <cell r="B2364" t="str">
            <v>VMw NSX Ent Desktop 100パック CCU 5年</v>
          </cell>
          <cell r="C2364" t="str">
            <v>VMware NSX Enterprise for Desktop 100 パック 同時接続数 ライセンス
※メディアなし (ダウンロード)
※5 年 24x7 テクニカルサポート付</v>
          </cell>
        </row>
        <row r="2365">
          <cell r="A2365" t="str">
            <v>Q2C29A</v>
          </cell>
          <cell r="B2365" t="str">
            <v>VMw NSX Adv Desktop 100パック CCU 1年</v>
          </cell>
          <cell r="C2365" t="str">
            <v>VMware NSX Advanced for Desktop 100 パック 同時接続数 ライセンス
※メディアなし (ダウンロード)
※1 年 24x7 テクニカルサポート付</v>
          </cell>
        </row>
        <row r="2366">
          <cell r="A2366" t="str">
            <v>Q2C30A</v>
          </cell>
          <cell r="B2366" t="str">
            <v>VMw NSX Adv Desktop 100パック CCU 3年</v>
          </cell>
          <cell r="C2366" t="str">
            <v>VMware NSX Advanced for Desktop 100 パック 同時接続数 ライセンス
※メディアなし (ダウンロード)
※3 年 24x7 テクニカルサポート付</v>
          </cell>
        </row>
        <row r="2367">
          <cell r="A2367" t="str">
            <v>Q2C31A</v>
          </cell>
          <cell r="B2367" t="str">
            <v>VMw NSX Adv Desktop 100パック CCU 5年</v>
          </cell>
          <cell r="C2367" t="str">
            <v>VMware NSX Advanced for Desktop 100 パック 同時接続数 ライセンス
※メディアなし (ダウンロード)
※5 年 24x7 テクニカルサポート付</v>
          </cell>
        </row>
        <row r="2368">
          <cell r="A2368" t="str">
            <v>Q5T74A</v>
          </cell>
          <cell r="B2368" t="str">
            <v xml:space="preserve">SLES 1-2 Sckt 無制限VM 1年 9x5 </v>
          </cell>
          <cell r="C2368" t="str">
            <v>SUSE Linux Enterprise Server 1-2 ソケット 無制限 VM ライセンス
※メディアなし(ダウンロード)、ホストマシンと仮想マシン(無制限)をカバー
※1 年間の 標準時間 テクニカル サポート付</v>
          </cell>
        </row>
        <row r="2369">
          <cell r="A2369" t="str">
            <v>Q5T75A</v>
          </cell>
          <cell r="B2369" t="str">
            <v>SLES 1-2 Sckt 無制限VM 3年 9x5</v>
          </cell>
          <cell r="C2369" t="str">
            <v>SUSE Linux Enterprise Server 1-2 ソケット 無制限 VM ライセンス
※メディアなし(ダウンロード)、ホストマシンと仮想マシン(無制限)をカバー
※3 年間の 標準時間 テクニカル サポート付</v>
          </cell>
        </row>
        <row r="2370">
          <cell r="A2370" t="str">
            <v>Q5T76A</v>
          </cell>
          <cell r="B2370" t="str">
            <v>SLES 1-2 Sckt 無制限VM 1年 24x7</v>
          </cell>
          <cell r="C2370" t="str">
            <v>SUSE Linux Enterprise Server 1-2 ソケット 無制限 VM ライセンス
※メディアなし(ダウンロード)、ホストマシンと仮想マシン(無制限)をカバー
※1 年間の 24x7 テクニカル サポート付</v>
          </cell>
        </row>
        <row r="2371">
          <cell r="A2371" t="str">
            <v>Q5T78A</v>
          </cell>
          <cell r="B2371" t="str">
            <v>SLES 1-2 Sckt 無制限VM 5年 24x7</v>
          </cell>
          <cell r="C2371" t="str">
            <v>SUSE Linux Enterprise Server 1-2 ソケット 無制限 VM ライセンス
※メディアなし(ダウンロード)、ホストマシンと仮想マシン(無制限)をカバー
※5 年間の 24x7 テクニカル サポート付</v>
          </cell>
        </row>
        <row r="2372">
          <cell r="A2372" t="str">
            <v>Q5T80A</v>
          </cell>
          <cell r="B2372" t="str">
            <v>SLES 1-2 Sckt or 1-2 VM 3年 9x5</v>
          </cell>
          <cell r="C2372" t="str">
            <v>SUSE Linux Enterprise Server 1-2 ソケット or 2VM ライセンス
※メディアなし(ダウンロード)、ハイパーバイザー含まず
※3 年間の 標準時間 テクニカル サポート付</v>
          </cell>
        </row>
        <row r="2373">
          <cell r="A2373" t="str">
            <v>Q5T83A</v>
          </cell>
          <cell r="B2373" t="str">
            <v>SLES 1-2 Sckt or 1-2 VM 5年 24x7</v>
          </cell>
          <cell r="C2373" t="str">
            <v>SUSE Linux Enterprise Server 1-2 ソケット or 2VM ライセンス
※メディアなし(ダウンロード)、ハイパーバイザー含まず
※5 年間の 24x7 テクニカル サポート付</v>
          </cell>
        </row>
        <row r="2374">
          <cell r="A2374" t="str">
            <v>Q5T84A</v>
          </cell>
          <cell r="B2374" t="str">
            <v>SLE HA Extension 1-2 Sckt 1年</v>
          </cell>
          <cell r="C2374" t="str">
            <v>SUSE Linux Enterprise HA Extension (1-2 ソケット 1 年) 
※メディアなし(ダウンロード)
※サポートレベルは SUSE Linux Enterprise Server サブスクリプションのサポートレベルに準拠</v>
          </cell>
        </row>
        <row r="2375">
          <cell r="A2375" t="str">
            <v>Q5T85A</v>
          </cell>
          <cell r="B2375" t="str">
            <v>SLE HA Extension 1-2 Sckt 5年</v>
          </cell>
          <cell r="C2375" t="str">
            <v>SUSE Linux Enterprise HA Extension (1-2 ソケット 5 年) 
※メディアなし(ダウンロード)
※サポートレベルは SUSE Linux Enterprise Server サブスクリプションのサポートレベルに準拠</v>
          </cell>
        </row>
        <row r="2376">
          <cell r="A2376" t="str">
            <v>Q5T88A</v>
          </cell>
          <cell r="B2376" t="str">
            <v>SLES 1-2 Sckt 無制限VM 5年 9x5</v>
          </cell>
          <cell r="C2376" t="str">
            <v>SUSE Linux Enterprise Server 1-2 ソケット 無制限 VM ライセンス
※メディアなし(ダウンロード)、ホストマシンと仮想マシン(無制限)をカバー
※5 年間の 標準時間 テクニカル サポート付</v>
          </cell>
        </row>
        <row r="2377">
          <cell r="A2377" t="str">
            <v>Q5T89A</v>
          </cell>
          <cell r="B2377" t="str">
            <v xml:space="preserve">SLES 1-2 Sckt or 1-2 VM 5年 9x5 </v>
          </cell>
          <cell r="C2377" t="str">
            <v>SUSE Linux Enterprise Server 1-2 ソケット or 2VM ライセンス
※メディアなし(ダウンロード)、ハイパーバイザー含まず
※5 年間の 標準時間 テクニカル サポート付</v>
          </cell>
        </row>
        <row r="2378">
          <cell r="A2378" t="str">
            <v>Q5W19A</v>
          </cell>
          <cell r="B2378" t="str">
            <v xml:space="preserve">RHEL SAP App 3年 9x5 </v>
          </cell>
          <cell r="C2378" t="str">
            <v>Red Hat Enterprise Linux for SAP Applications 2 ソケット or 2 ゲスト ライセンス
※3 年間の 標準時間 テクニカル サポート付</v>
          </cell>
        </row>
        <row r="2379">
          <cell r="A2379" t="str">
            <v>Q5W20A</v>
          </cell>
          <cell r="B2379" t="str">
            <v xml:space="preserve">RHEL SAP App 3年 24x7 </v>
          </cell>
          <cell r="C2379" t="str">
            <v>Red Hat Enterprise Linux for SAP Applications 2 ソケット or 2 ゲスト ライセンス
※3 年間の 24x7 テクニカル サポート付</v>
          </cell>
        </row>
        <row r="2380">
          <cell r="A2380" t="str">
            <v>Q5W21A</v>
          </cell>
          <cell r="B2380" t="str">
            <v xml:space="preserve">RHEL SAP App 5年 9x5 </v>
          </cell>
          <cell r="C2380" t="str">
            <v>Red Hat Enterprise Linux for SAP Applications 2 ソケット or 2 ゲスト ライセンス
※5 年間の 標準時間 テクニカル サポート付</v>
          </cell>
        </row>
        <row r="2381">
          <cell r="A2381" t="str">
            <v>Q5W22A</v>
          </cell>
          <cell r="B2381" t="str">
            <v>RHEL SAP App 5年 24x7</v>
          </cell>
          <cell r="C2381" t="str">
            <v>Red Hat Enterprise Linux for SAP Applications 2 ソケット or 2 ゲスト ライセンス
※5 年間の 24x7 テクニカル サポート付</v>
          </cell>
        </row>
        <row r="2382">
          <cell r="A2382" t="str">
            <v>Q5W23A</v>
          </cell>
          <cell r="B2382" t="str">
            <v xml:space="preserve">RHEL SAP App Vrtl DC 3年 9x5 </v>
          </cell>
          <cell r="C2382" t="str">
            <v>Red Hat Enterprise Linux for SAP Applications Virtual Datacenters 2 ソケット無制限ゲスト ライセンス
※3 年間の 標準時間 テクニカル サポート付</v>
          </cell>
        </row>
        <row r="2383">
          <cell r="A2383" t="str">
            <v>Q5W24A</v>
          </cell>
          <cell r="B2383" t="str">
            <v xml:space="preserve">RHEL SAP App Vrtl DC 3年 24x7 </v>
          </cell>
          <cell r="C2383" t="str">
            <v>Red Hat Enterprise Linux for SAP Applications Virtual Datacenters 2 ソケット無制限ゲスト ライセンス
※3 年間の 24x7 テクニカル サポート付</v>
          </cell>
        </row>
        <row r="2384">
          <cell r="A2384" t="str">
            <v>Q5W25A</v>
          </cell>
          <cell r="B2384" t="str">
            <v xml:space="preserve">RHEL SAP App Vrtl DC 5年 9x5 </v>
          </cell>
          <cell r="C2384" t="str">
            <v>Red Hat Enterprise Linux for SAP Applications Virtual Datacenters 2 ソケット無制限ゲスト ライセンス
※5 年間の 標準時間 テクニカル サポート付</v>
          </cell>
        </row>
        <row r="2385">
          <cell r="A2385" t="str">
            <v>Q5W26A</v>
          </cell>
          <cell r="B2385" t="str">
            <v>RHEL SAP App Vrtl DC 5年 24x7</v>
          </cell>
          <cell r="C2385" t="str">
            <v>Red Hat Enterprise Linux for SAP Applications Virtual Datacenters 2 ソケット無制限ゲスト ライセンス
※5 年間の 24x7 テクニカル サポート付</v>
          </cell>
        </row>
        <row r="2386">
          <cell r="A2386" t="str">
            <v>Q7E31A</v>
          </cell>
          <cell r="B2386" t="str">
            <v>iLO Adv Security Lic 1yr Support</v>
          </cell>
          <cell r="C2386" t="str">
            <v>Integrated Lights-Out 5 (iLO 5)の機能拡張するためのライセンス
※iLO Advanced で提供される全ての機能と、より強固なセキュリティの確保を実現するための機能
   (稼働中のファームウェア監査、自動的なセキュア リカバリー、ユーザー データの安全な消去など) を追加
※1 年間の 24x7 テクニカル サポート付</v>
          </cell>
        </row>
        <row r="2387">
          <cell r="A2387" t="str">
            <v>Q7E33A</v>
          </cell>
          <cell r="B2387" t="str">
            <v>iLO Adv Security Lic 3yr Support</v>
          </cell>
          <cell r="C2387" t="str">
            <v>Integrated Lights-Out 5 (iLO 5)の機能拡張するためのライセンス
※iLO Advanced で提供される全ての機能と、より強固なセキュリティの確保を実現するための機能
   (稼働中のファームウェア監査、自動的なセキュア リカバリー、ユーザー データの安全な消去など) を追加
※3 年間の 24x7 テクニカル サポート付</v>
          </cell>
        </row>
        <row r="2388">
          <cell r="A2388" t="str">
            <v>Q8U15A</v>
          </cell>
          <cell r="B2388" t="str">
            <v>RHEL SAP Solutions Vrtl DC 3年 24x7</v>
          </cell>
          <cell r="C2388" t="str">
            <v>Red Hat Enterprise Linux for SAP Solutions Virtual Datacenters
※RHEL for SAP Applications と RHEL for SAP HANA の機能を統合した製品
※2 ソケット無制限ゲスト 3 年 24x7 サポート付</v>
          </cell>
        </row>
        <row r="2389">
          <cell r="A2389" t="str">
            <v>Q8U16A</v>
          </cell>
          <cell r="B2389" t="str">
            <v>RHEL SAP Solutions Vrtl DC 5年 24x7</v>
          </cell>
          <cell r="C2389" t="str">
            <v>Red Hat Enterprise Linux for SAP Solutions Virtual Datacenters
※RHEL for SAP Applications と RHEL for SAP HANA の機能を統合した製品
※2 ソケット無制限ゲスト 5 年 24x7 サポート付</v>
          </cell>
        </row>
        <row r="2390">
          <cell r="A2390" t="str">
            <v>Q8U17A</v>
          </cell>
          <cell r="B2390" t="str">
            <v>RHEL SAP Solutions Vrtl DC 3年 9x5</v>
          </cell>
          <cell r="C2390" t="str">
            <v>Red Hat Enterprise Linux for SAP Solutions Virtual Datacenters
※RHEL for SAP Applications と RHEL for SAP HANA の機能を統合した製品
※2 ソケット無制限ゲスト 3 年 標準時間 サポート付</v>
          </cell>
        </row>
        <row r="2391">
          <cell r="A2391" t="str">
            <v>Q8U18A</v>
          </cell>
          <cell r="B2391" t="str">
            <v>RHEL SAP Solutions Vrtl DC 5年 9x5</v>
          </cell>
          <cell r="C2391" t="str">
            <v>Red Hat Enterprise Linux for SAP Solutions Virtual Datacenters
※RHEL for SAP Applications と RHEL for SAP HANA の機能を統合した製品
※2 ソケット無制限ゲスト 5 年 標準時間 サポート付</v>
          </cell>
        </row>
        <row r="2392">
          <cell r="A2392" t="str">
            <v>Q8U19A</v>
          </cell>
          <cell r="B2392" t="str">
            <v>RHEL SAP Solutions Phscl 3年 24x7</v>
          </cell>
          <cell r="C2392" t="str">
            <v>Red Hat Enterprise Linux for SAP Solutions
※RHEL for SAP Applications と RHEL for SAP HANA の機能を統合した製品
※2 ソケット or 2 ゲスト 3 年 24x7 サポート付</v>
          </cell>
        </row>
        <row r="2393">
          <cell r="A2393" t="str">
            <v>Q8U20A</v>
          </cell>
          <cell r="B2393" t="str">
            <v>RHEL SAP Solutions Phscl 5年 24x7</v>
          </cell>
          <cell r="C2393" t="str">
            <v>Red Hat Enterprise Linux for SAP Solutions
※RHEL for SAP Applications と RHEL for SAP HANA の機能を統合した製品
※2 ソケット or 2 ゲスト 5 年 24x7 サポート付</v>
          </cell>
        </row>
        <row r="2394">
          <cell r="A2394" t="str">
            <v>Q8U21A</v>
          </cell>
          <cell r="B2394" t="str">
            <v>RHEL SAP Solutions Phscl 3年 9x5</v>
          </cell>
          <cell r="C2394" t="str">
            <v>Red Hat Enterprise Linux for SAP Solutions
※RHEL for SAP Applications と RHEL for SAP HANA の機能を統合した製品
※2 ソケット or 2 ゲスト 3 年 標準時間 サポート付</v>
          </cell>
        </row>
        <row r="2395">
          <cell r="A2395" t="str">
            <v>Q8U22A</v>
          </cell>
          <cell r="B2395" t="str">
            <v>RHEL SAP Solutions Phscl 5年 9x5</v>
          </cell>
          <cell r="C2395" t="str">
            <v>Red Hat Enterprise Linux for SAP Solutions
※RHEL for SAP Applications と RHEL for SAP HANA の機能を統合した製品
※2 ソケット or 2 ゲスト 5 年 標準時間 サポート付</v>
          </cell>
        </row>
        <row r="2396">
          <cell r="A2396" t="str">
            <v>466482-B21</v>
          </cell>
          <cell r="B2396" t="str">
            <v>c-Class 8Gb 24P VC FC module</v>
          </cell>
          <cell r="C2396" t="str">
            <v>バーチャルコネクト　ファイバーチャネル モジュール
※サーバーブレード側 ダウンリンク：8Gb/s ポート×16 ポート (4/8Gb 自動検知)
※外部用アップリンク： 8Gb/s×8 ポート(2/4/8Gb 自動検知)
※8Gb SFP+トランシーバー×2 個 標準添付</v>
          </cell>
        </row>
        <row r="2397">
          <cell r="A2397" t="str">
            <v>571956-B21</v>
          </cell>
          <cell r="B2397" t="str">
            <v>c-Class VC FlexFabric 10Gb/24Pモジュール</v>
          </cell>
          <cell r="C2397" t="str">
            <v>FlexFabric 対応バーチャルコネクト モジュール
※サーバーブレード側 ダウンリンク：10GBase-KR×16 ポート(1GbE NIC にも対応)
※外部用アップリンク：1/10GbE SFP+ポート×4 (X5-X8 ポート)、10GbE/FC SFP+ポート×4 (X1-X4 ポート)</v>
          </cell>
        </row>
        <row r="2398">
          <cell r="A2398" t="str">
            <v>605865-B21</v>
          </cell>
          <cell r="B2398" t="str">
            <v>VC FlexFabric 10G24P Ent Edtn for c7000</v>
          </cell>
          <cell r="C2398" t="str">
            <v>571956-B21 c-Class 10Gb 24 ポート バーチャルコネクト FlexFabric モジュール×2 個 と
459864-B21 Virtual Connect Enterprise Manager for BladeSystem c7000 1 エンクロージャー ライセンス
(1 年 24×7 テクニカルサポート＆アップデート権付)×1 のパッケージ製品</v>
          </cell>
        </row>
        <row r="2399">
          <cell r="A2399" t="str">
            <v>638526-B21</v>
          </cell>
          <cell r="B2399" t="str">
            <v>VC Flex-10/10D Ethernetモジュール</v>
          </cell>
          <cell r="C2399" t="str">
            <v>Flex-10 対応バーチャルコネクト イーサネット モジュール</v>
          </cell>
        </row>
        <row r="2400">
          <cell r="A2400" t="str">
            <v>658247-B21</v>
          </cell>
          <cell r="B2400" t="str">
            <v>HP 6125G ブレードスイッチ</v>
          </cell>
          <cell r="C2400" t="str">
            <v>サーバーブレード内 NIC 用 L3 ネットワーク スイッチ
※サーバーブレード側 ダウンリンク：1Gbps×16 ポート
※外部用アップリンク：10/100/1000Mbps (RJ-45) ポート×4 および 1GbE SFP ポート×2、
                      1GbE SFP / 10GbE IRF Stacking SFP+排他ポート×2 を装備</v>
          </cell>
        </row>
        <row r="2401">
          <cell r="A2401" t="str">
            <v>658250-B21</v>
          </cell>
          <cell r="B2401" t="str">
            <v>HP 6125G/XG ブレードスイッチ</v>
          </cell>
          <cell r="C2401" t="str">
            <v>サーバーブレード内 NIC 用 L3 ネットワーク スイッチ
※サーバーブレード側 ダウンリンク：1Gbps×16 ポート
※外部用アップリンク：10/100/1000Mbps (RJ-45) ポート×4 および、
                      1GbE SFP / 10GbE SFP+ / 10GbE IRF Stacking 排他ポート×4 を装備</v>
          </cell>
        </row>
        <row r="2402">
          <cell r="A2402" t="str">
            <v>662048-B21</v>
          </cell>
          <cell r="B2402" t="str">
            <v>VC Flex-10/10D Enterprise for c7000</v>
          </cell>
          <cell r="C2402" t="str">
            <v>638526-B21 c-Class 10/10Gb バーチャルコネクト Flex-10/10D モジュール×2 個と
459864-B21 Virtual Connect Enterprise Manager for BladeSystem c7000 1 エンクロージャー ライセンス
(1 年 24×7 テクニカルサポート＆アップデート権付)×1 のパッケージ製品</v>
          </cell>
        </row>
        <row r="2403">
          <cell r="A2403" t="str">
            <v>691367-B21</v>
          </cell>
          <cell r="B2403" t="str">
            <v>HP VC FlexFabric 20/40 F8モジュール</v>
          </cell>
          <cell r="C2403" t="str">
            <v>FlexFabric 対応バーチャルコネクト モジュール</v>
          </cell>
        </row>
        <row r="2404">
          <cell r="A2404" t="str">
            <v>711307-B21</v>
          </cell>
          <cell r="B2404" t="str">
            <v>HP 6125XLG ブレードスイッチ</v>
          </cell>
          <cell r="C2404" t="str">
            <v>サーバーブレード内 NIC 用 L3 ネットワーク スイッチ
※サーバーブレード側 ダウンリンク：1Gbps/10Gbps×16 ポート
※外部用アップリンク：1GbE/10GbE SFP+ポート×8 および、40GbE QSFP+ポート×4 を装備</v>
          </cell>
        </row>
        <row r="2405">
          <cell r="A2405" t="str">
            <v>751465-B21</v>
          </cell>
          <cell r="B2405" t="str">
            <v>HP VC 16Gb 24P FC module</v>
          </cell>
          <cell r="C2405" t="str">
            <v>バーチャルコネクト ファイバーチャネル モジュール
※サーバーブレード側 ダウンリンク：16Gb/s ポート×16 ポート (8/16Gb 自動検知)
※外部用アップリンク： 16Gb/s×8 ポート(4/8/16Gb 自動検知)</v>
          </cell>
        </row>
        <row r="2406">
          <cell r="A2406" t="str">
            <v>787635-B21</v>
          </cell>
          <cell r="B2406" t="str">
            <v>HP 6127XLG ブレードスイッチ</v>
          </cell>
          <cell r="C2406" t="str">
            <v>サーバーブレード内 NIC 用 L2 / L3 ネットワーク スイッチ
※サーバーブレード側 ダウンリンク：1Gbps/10Gbps/20Gbps×16 ポート
※外部用アップリンク：1GbE/10GbE SFP+ポート×8 および、40GbE QSFP+ポート×4 を装備</v>
          </cell>
        </row>
        <row r="2407">
          <cell r="A2407" t="str">
            <v>403626-B21</v>
          </cell>
          <cell r="B2407" t="str">
            <v>FC パススルーモジュール</v>
          </cell>
          <cell r="C2407" t="str">
            <v>4Gb FC パススルー インターコネクト</v>
          </cell>
        </row>
        <row r="2408">
          <cell r="A2408" t="str">
            <v>406740-B21</v>
          </cell>
          <cell r="B2408" t="str">
            <v>イーサネットパススルーモジュール</v>
          </cell>
          <cell r="C2408" t="str">
            <v>1GbE パススルー インターコネクト</v>
          </cell>
        </row>
        <row r="2409">
          <cell r="A2409" t="str">
            <v>412140-B21</v>
          </cell>
          <cell r="B2409" t="str">
            <v>アクティブ冷却ファン モデル200</v>
          </cell>
          <cell r="C2409" t="str">
            <v>BladeSystem c7000 エンクロージャーへの追加用冷却ファン</v>
          </cell>
        </row>
        <row r="2410">
          <cell r="A2410" t="str">
            <v>412148-B21</v>
          </cell>
          <cell r="B2410" t="str">
            <v>c-Class オプションスロットブランクキット</v>
          </cell>
          <cell r="C2410" t="str">
            <v>BladeSystem c-Class エンクロージャー用のオプション スロットの空きスロットを埋めるブランク キット
※予備用</v>
          </cell>
        </row>
        <row r="2411">
          <cell r="A2411" t="str">
            <v>412150-B21</v>
          </cell>
          <cell r="B2411" t="str">
            <v>c-Class サーバスロットブランク</v>
          </cell>
          <cell r="C2411" t="str">
            <v>BladeSystem c-Class エンクロージャーのブレード デバイス ベイの空きスロットを埋めるブランク キット
※予備用</v>
          </cell>
        </row>
        <row r="2412">
          <cell r="A2412" t="str">
            <v>433718-B21</v>
          </cell>
          <cell r="B2412" t="str">
            <v>c7000輸送用ブラケット</v>
          </cell>
          <cell r="C2412" t="str">
            <v>輸送時やラック移動時に BladeSystem c7000 エンクロージャーをラックに固定するために必要なブラケットのキット</v>
          </cell>
        </row>
        <row r="2413">
          <cell r="A2413" t="str">
            <v>437575-B21</v>
          </cell>
          <cell r="B2413" t="str">
            <v>c3000KVMオプション</v>
          </cell>
          <cell r="C2413" t="str">
            <v>USB 接続のキーボードとマウスを装着可能な USB ポートを 2 個、モニターを接続可能な VGA ポートを 1 個装備</v>
          </cell>
        </row>
        <row r="2414">
          <cell r="A2414" t="str">
            <v>448018-B21</v>
          </cell>
          <cell r="B2414" t="str">
            <v>PCI拡張ブレード</v>
          </cell>
          <cell r="C2414" t="str">
            <v>隣接するサーバーにフルハイト/フルレングス 64 ビット/133MHz PCI-X スロット×2(ライザー標準取付)、
またはフルハイト/フルレングス PCI Express x4 (x8 コネクター)×2 スロット(ライザー添付)を提供する
I/O 拡張ブレード</v>
          </cell>
        </row>
        <row r="2415">
          <cell r="A2415" t="str">
            <v>451871-B21</v>
          </cell>
          <cell r="B2415" t="str">
            <v>QLogic QMH2562 8Gb FC HBA</v>
          </cell>
          <cell r="C2415" t="str">
            <v>8Gb/s 対応 2 ポート FC HBA</v>
          </cell>
        </row>
        <row r="2416">
          <cell r="A2416" t="str">
            <v>456204-B21</v>
          </cell>
          <cell r="B2416" t="str">
            <v>c7000リダンダントOAモジュール(KVM)</v>
          </cell>
          <cell r="C2416" t="str">
            <v>統合管理モジュール (Onboard Administrator) を冗長化するモジュール</v>
          </cell>
        </row>
        <row r="2417">
          <cell r="A2417" t="str">
            <v>456972-B21</v>
          </cell>
          <cell r="B2417" t="str">
            <v>Emulex LPe1205 8Gb FC HBA</v>
          </cell>
          <cell r="C2417" t="str">
            <v>8Gb/s 対応 2 ポート FC HBA</v>
          </cell>
        </row>
        <row r="2418">
          <cell r="A2418" t="str">
            <v>461384-B21</v>
          </cell>
          <cell r="B2418" t="str">
            <v>c3000輸送用ブラケット</v>
          </cell>
          <cell r="C2418" t="str">
            <v>輸送時やラック移動時に BladeSystem c3000 エンクロージャー(ラックマウント型)をラックに固定するために必要なブラケットのキット</v>
          </cell>
        </row>
        <row r="2419">
          <cell r="A2419" t="str">
            <v>467799-B21</v>
          </cell>
          <cell r="B2419" t="str">
            <v>NC532m DP Multifunction 10GbE NIC</v>
          </cell>
          <cell r="C2419" t="str">
            <v>追加NIC 10GbE x2ポート メザニンオプション</v>
          </cell>
        </row>
        <row r="2420">
          <cell r="A2420" t="str">
            <v>488100-B21</v>
          </cell>
          <cell r="B2420" t="str">
            <v>c3000 リダンダントOAモジュール</v>
          </cell>
          <cell r="C2420" t="str">
            <v>エンクロージャー管理モジュール (Onboard Administrator)を冗長化するためのオプション</v>
          </cell>
        </row>
        <row r="2421">
          <cell r="A2421" t="str">
            <v>538113-B21</v>
          </cell>
          <cell r="B2421" t="str">
            <v>c-Class 1/10GbE パススルーモジュール</v>
          </cell>
          <cell r="C2421" t="str">
            <v>1GbE および 10GbE に対応したパススルー インターコネクト</v>
          </cell>
        </row>
        <row r="2422">
          <cell r="A2422" t="str">
            <v>588603-B21</v>
          </cell>
          <cell r="B2422" t="str">
            <v>パワーサプライ (200V,2400W,Platinum)</v>
          </cell>
          <cell r="C2422" t="str">
            <v>電源冗長構成</v>
          </cell>
        </row>
        <row r="2423">
          <cell r="A2423" t="str">
            <v>615729-B21</v>
          </cell>
          <cell r="B2423" t="str">
            <v>HP Ethernet 1Gb 4P 366M NIC</v>
          </cell>
          <cell r="C2423" t="str">
            <v>追加NIC 1GbE x4ポート メザニンオプション</v>
          </cell>
        </row>
        <row r="2424">
          <cell r="A2424" t="str">
            <v>641146-B21</v>
          </cell>
          <cell r="B2424" t="str">
            <v>c-Class Cisco Fabric Extender</v>
          </cell>
          <cell r="C2424" t="str">
            <v>サーバーブレード内 1GbE/10GbE NIC を外部の Cisco Nexus スイッチに接続する Cisco Nexus 拡張モジュールのインターコネクト
※BladeSystem c-Class Cisco Fabric Extender 単体での動作は不可、外部の Cisco Nexus 5000 / 6000 / 7000 シリーズ スイッチとの接続が必須
※サーバーブレード側 ダウンリンク：1GbE or 10GbE×16 ポート
※外部(Cisco Nexus スイッチ接続)用アップリンク：10GbE (SFP+) ポート×8 を装備</v>
          </cell>
        </row>
        <row r="2425">
          <cell r="A2425" t="str">
            <v>648311-B21</v>
          </cell>
          <cell r="B2425" t="str">
            <v>c-Class 4X FDR IB Managedスイッチ</v>
          </cell>
          <cell r="C2425" t="str">
            <v>サーバーブレード内 InfiniBand HCA 用 4X FDR (56 Gb/s) / QDR (40Gb/s) 対応 InfiniBand スイッチ モジュール
※サーバーブレード側 ダウンリンク：4X FDR×16 ポート
※外部用アップリンク：4X FDR×18 (QSFP ポート)
※1 台の IB スイッチ モジュールで、ダブル ワイド ベイ(左右のインターコネクト ベイ)を使用</v>
          </cell>
        </row>
        <row r="2426">
          <cell r="A2426" t="str">
            <v>648312-B21</v>
          </cell>
          <cell r="B2426" t="str">
            <v>c-Class 4X FDR IBスイッチ</v>
          </cell>
          <cell r="C2426" t="str">
            <v>サーバーブレード内 InfiniBand HCA 用 4X FDR (56 Gb/s) / QDR (40Gb/s) 対応 InfiniBand スイッチ モジュール
※マネージ 機能なし (InfiniBand Fabric 内にマネージド スイッチが別途必要)
※サーバーブレード側 ダウンリンク：4X FDR×16 ポート
※外部用アップリンク：4X FDR×18 (QSFP ポート)
※1 台の IB スイッチ モジュールで、ダブル ワイド ベイ(左右のインターコネクト ベイ)を使用</v>
          </cell>
        </row>
        <row r="2427">
          <cell r="A2427" t="str">
            <v>651281-B21</v>
          </cell>
          <cell r="B2427" t="str">
            <v>HP 8Gb QMH2572 FC アダプター</v>
          </cell>
          <cell r="C2427" t="str">
            <v>4/8 Gb/s 対応 2 ポート FC HBA</v>
          </cell>
        </row>
        <row r="2428">
          <cell r="A2428" t="str">
            <v>655639-B21</v>
          </cell>
          <cell r="B2428" t="str">
            <v>HP Ethernet 10Gb 2P 560FLB NIC</v>
          </cell>
          <cell r="C2428" t="str">
            <v>NIC 10GbE x2ポートFlexibleLOMオプション(オンボードNICと換装)
※VC モジュールではサポートされません。</v>
          </cell>
        </row>
        <row r="2429">
          <cell r="A2429" t="str">
            <v>657787-B21</v>
          </cell>
          <cell r="B2429" t="str">
            <v>c-Class Cisco Fabric Extender 16 SFT</v>
          </cell>
          <cell r="C2429" t="str">
            <v>サーバーブレード内 1GbE/10GbE NIC を外部の Cisco Nexus スイッチに接続する Cisco Nexus 拡張モジュールのインターコネクト
※BladeSystem c-Class Cisco Fabric Extender 単体での動作は不可、外部の Cisco Nexus 5000 / 6000 / 7000 シリーズ スイッチとの接続が必須
※サーバーブレード側 ダウンリンク：1GbE or 10GbE×16 ポート
※外部(Cisco Nexus スイッチ接続)用アップリンク：10GbE (SFP+) ポート×8 を装備
※Cisco Nexus スイッチとの FET 接続用に FET モジュール×16 を標準添付 (8 ポート分のファイバーケーブル接続の両端)</v>
          </cell>
        </row>
        <row r="2430">
          <cell r="A2430" t="str">
            <v>659818-B21</v>
          </cell>
          <cell r="B2430" t="str">
            <v>HP 8Gb LPe1205A FC アダプター</v>
          </cell>
          <cell r="C2430" t="str">
            <v>4/8 Gb/s 対応 2 ポート FC HBA</v>
          </cell>
        </row>
        <row r="2431">
          <cell r="A2431" t="str">
            <v>665246-B21</v>
          </cell>
          <cell r="B2431" t="str">
            <v>HP Ethernet 10Gb 2P 560M NIC</v>
          </cell>
          <cell r="C2431" t="str">
            <v>追加NIC 10GbE x2ポート メザニンオプション
※VC モジュールではサポートされません。</v>
          </cell>
        </row>
        <row r="2432">
          <cell r="A2432" t="str">
            <v>681840-B21</v>
          </cell>
          <cell r="B2432" t="str">
            <v>c7000 (1Phs,AC200V,2PS,4FAN)</v>
          </cell>
          <cell r="C2432" t="str">
            <v>※3 インチ LCD Insight Display 装備
※単相 AC 200V 仕様(AC 100V 未対応)、電源入力：IEC 320 C19-C20 電源コード(2m)×2 本標準添付
※80PLUS Platinum 認定 2400W パワーサプライ 2 個、ファン 4 個、KVM 機能内蔵の統合管理モジュール(Onboard Admnistrator) 1 個を標準搭載</v>
          </cell>
        </row>
        <row r="2433">
          <cell r="A2433" t="str">
            <v>681842-B21</v>
          </cell>
          <cell r="B2433" t="str">
            <v>c7000 (1Phs,AC200V,Full PS/FAN/IC）</v>
          </cell>
          <cell r="C2433" t="str">
            <v>※3 インチ LCD Insight Display 装備
※単相 AC 200V 仕様(AC 100V 未対応)、電源入力：IEC 320 C19-C20 電源コード(2m)×6 本標準添付
※80PLUS Platinum 認定 2400W パワーサプライ 6 個、ファン 10 個、KVM 機能内蔵の統合管理モジュール(Onboard Admnistrator) 1 個を標準搭載
※Insight Control (1 年 24x7 テクニカル サポート&amp;アップデート権付)の 16 サーバー ライセンス、Insight Management DVD メディアを標準付属</v>
          </cell>
        </row>
        <row r="2434">
          <cell r="A2434" t="str">
            <v>696908-B21</v>
          </cell>
          <cell r="B2434" t="str">
            <v>c3000 (4PS, 6FAN, 8IC)</v>
          </cell>
          <cell r="C2434" t="str">
            <v>※格納式 3 インチ LCD の Insight Display 装備
※80PLUS Platinum 1200W パワーサプライ 4 個、アクティブ冷却ファン 6 個、Onboard Administrator 1 個、DVD-ROM ドライブ 1 台を標準添付
※AC200V 用 IEC 320 C13-C14 電源コード(2m)×4 本標準添付
※Insight Control (1 年 24x7 テクニカル サポート&amp;アップデート権付)の 16 サーバー ライセンス、Insight Management DVD メディアを標準付属</v>
          </cell>
        </row>
        <row r="2435">
          <cell r="A2435" t="str">
            <v>696909-B21</v>
          </cell>
          <cell r="B2435" t="str">
            <v>c3000 (4PS, 6FAN)</v>
          </cell>
          <cell r="C2435" t="str">
            <v>※格納式 3 インチ LCD の Insight Display 装備
※80PLUS Platinum 1200W パワーサプライ 4 個、アクティブ冷却ファン 6 個、Onboard Administrator 1 個、DVD-ROM ドライブ 1 台を標準添付
※AC200V 用 IEC 320 C13-C14 電源コード(2m)×4 本標準添付</v>
          </cell>
        </row>
        <row r="2436">
          <cell r="A2436" t="str">
            <v>700065-B21</v>
          </cell>
          <cell r="B2436" t="str">
            <v>HP FlexFabric 20Gb 2P 630FLB CNA</v>
          </cell>
          <cell r="C2436" t="str">
            <v>10/20GbE x2ポート FlexibleLOM CNA
※Flex-10/20 (4 分割 FlexNICs/FlexHBAs) 対応</v>
          </cell>
        </row>
        <row r="2437">
          <cell r="A2437" t="str">
            <v>700076-B21</v>
          </cell>
          <cell r="B2437" t="str">
            <v>HP FlexFabric 20Gb 2P 630M CNA</v>
          </cell>
          <cell r="C2437" t="str">
            <v>10/20GbE x2ポート CNA
※Flex-10/20 (4 分割 FlexNICs/FlexHBAs) 対応</v>
          </cell>
        </row>
        <row r="2438">
          <cell r="A2438" t="str">
            <v>700748-B21</v>
          </cell>
          <cell r="B2438" t="str">
            <v>HP FlexFabric 10Gb 2P 534M CNA</v>
          </cell>
          <cell r="C2438" t="str">
            <v>1/10GbE x2ポート CNA
※Flex-10 (4 分割 FlexNICs/FlexHBAs) 対応</v>
          </cell>
        </row>
        <row r="2439">
          <cell r="A2439" t="str">
            <v>700763-B21</v>
          </cell>
          <cell r="B2439" t="str">
            <v>HP FlexFabric 20Gb 2P 650FLB CNA</v>
          </cell>
          <cell r="C2439" t="str">
            <v>10/20GbE x2ポート FlexibleLOM CNA
※Flex-10/20 (4 分割 FlexNICs/FlexHBAs) 対応</v>
          </cell>
        </row>
        <row r="2440">
          <cell r="A2440" t="str">
            <v>700767-B21</v>
          </cell>
          <cell r="B2440" t="str">
            <v>HP FlexFabric 20Gb 2P 650M CNA</v>
          </cell>
          <cell r="C2440" t="str">
            <v>10/20GbE x2ポート CNA
※Flex-10/20 (4 分割 FlexNICs/FlexHBAs) 対応</v>
          </cell>
        </row>
        <row r="2441">
          <cell r="A2441" t="str">
            <v>702213-B21</v>
          </cell>
          <cell r="B2441" t="str">
            <v>HP IB FDR 2P 545M Adptr</v>
          </cell>
          <cell r="C2441" t="str">
            <v>FDR 対応 InfiniBand ネットワーク アダプター
※InfiniBand FDR (最高 56Gbps)の転送速度をサポート
※メザニン スロット 1 では 1 ポート動作、スロット 2 では 2 ポート動作</v>
          </cell>
        </row>
        <row r="2442">
          <cell r="A2442" t="str">
            <v>710608-B21</v>
          </cell>
          <cell r="B2442" t="str">
            <v>HP 16Gb QMH2672 FC アダプター</v>
          </cell>
          <cell r="C2442" t="str">
            <v>8/16 Gb/s 対応 2 ポート FC HBA</v>
          </cell>
        </row>
        <row r="2443">
          <cell r="A2443" t="str">
            <v>718203-B21</v>
          </cell>
          <cell r="B2443" t="str">
            <v>HP LPe1605 16Gb FC HBA</v>
          </cell>
          <cell r="C2443" t="str">
            <v>8/16 Gb/s 対応 2 ポート FC HBA</v>
          </cell>
        </row>
        <row r="2444">
          <cell r="A2444" t="str">
            <v>726793-B21</v>
          </cell>
          <cell r="B2444" t="str">
            <v>HP Smartアレイ P246br/1GB FBWC</v>
          </cell>
          <cell r="C2444" t="str">
            <v>1GBキャッシュ付HW RAIDコントローラー
※システム ボード上にドーターボード形式で搭載</v>
          </cell>
        </row>
        <row r="2445">
          <cell r="A2445" t="str">
            <v>726809-B21</v>
          </cell>
          <cell r="B2445" t="str">
            <v>HP H244br Smartホストバスアダプター</v>
          </cell>
          <cell r="C2445" t="str">
            <v>キャッシュ未搭載 HW RAIDコントローラー/SAS HBA</v>
          </cell>
        </row>
        <row r="2446">
          <cell r="A2446" t="str">
            <v>726987-B21</v>
          </cell>
          <cell r="B2446" t="str">
            <v>E5-2690v3 2.60GHz 1P/12C CPU BL460c Gen9</v>
          </cell>
          <cell r="C2446" t="str">
            <v>追加CPU：Xeon E5-2690v3 2.60GHz 2P/24C</v>
          </cell>
        </row>
        <row r="2447">
          <cell r="A2447" t="str">
            <v>726991-B21</v>
          </cell>
          <cell r="B2447" t="str">
            <v>E5-2650v3 2.30GHz 1P/10C CPU BL460c Gen9</v>
          </cell>
          <cell r="C2447" t="str">
            <v>追加CPU：Xeon E5-2650v3 2.30GHz 2P/20C</v>
          </cell>
        </row>
        <row r="2448">
          <cell r="A2448" t="str">
            <v>726992-B21</v>
          </cell>
          <cell r="B2448" t="str">
            <v>E5-2640v3 2.60GHz 1P/8C CPU BL460c Gen9</v>
          </cell>
          <cell r="C2448" t="str">
            <v>追加CPU：Xeon E5-2640v3 2.60GHz 2P/16C</v>
          </cell>
        </row>
        <row r="2449">
          <cell r="A2449" t="str">
            <v>726995-B21</v>
          </cell>
          <cell r="B2449" t="str">
            <v>E5-2620v3 2.40GHz 1P/6C CPU BL460c Gen9</v>
          </cell>
          <cell r="C2449" t="str">
            <v>追加CPU：Xeon E5-2620v3 2.40GHz 2P/12C</v>
          </cell>
        </row>
        <row r="2450">
          <cell r="A2450" t="str">
            <v>726997-B21</v>
          </cell>
          <cell r="B2450" t="str">
            <v>E5-2609v3 1.90GHz 1P/6C CPU BL460c Gen9</v>
          </cell>
          <cell r="C2450" t="str">
            <v>追加CPU：Xeon E5-2609v3 1.90GHz 2P/12C</v>
          </cell>
        </row>
        <row r="2451">
          <cell r="A2451" t="str">
            <v>727003-B21</v>
          </cell>
          <cell r="B2451" t="str">
            <v>E5-2695v3 2.30GHz 1P/14C CPU BL460c Gen9</v>
          </cell>
          <cell r="C2451" t="str">
            <v>追加CPU：Xeon E5-2695v3 2.30GHz 2P/28C</v>
          </cell>
        </row>
        <row r="2452">
          <cell r="A2452" t="str">
            <v>727261-B21</v>
          </cell>
          <cell r="B2452" t="str">
            <v>HP Smartストレージバッテリー 12W</v>
          </cell>
          <cell r="C2452" t="str">
            <v>BL460c Gen9 で Smart アレイ コントローラー使用時に必要</v>
          </cell>
        </row>
        <row r="2453">
          <cell r="A2453" t="str">
            <v>728378-B21</v>
          </cell>
          <cell r="B2453" t="str">
            <v>E5-4610v3 1.70GHz 2P/20C CPU BL660c Gen9</v>
          </cell>
          <cell r="C2453" t="str">
            <v>追加CPU：Xeon E5-4610v3 1.70GHz 4P/40C</v>
          </cell>
        </row>
        <row r="2454">
          <cell r="A2454" t="str">
            <v>733459-B21</v>
          </cell>
          <cell r="B2454" t="str">
            <v>パワーサプライ (200V,2650W,Platinum)</v>
          </cell>
          <cell r="C2454" t="str">
            <v>電源冗長構成</v>
          </cell>
        </row>
        <row r="2455">
          <cell r="A2455" t="str">
            <v>749680-B21</v>
          </cell>
          <cell r="B2455" t="str">
            <v>HP Smart アレイ P244br/1G FBWC</v>
          </cell>
          <cell r="C2455" t="str">
            <v>1GBキャッシュ付HW RAIDコントローラー
※システム ボード上にドーターボード形式で搭載</v>
          </cell>
        </row>
        <row r="2456">
          <cell r="A2456" t="str">
            <v>763850-B21</v>
          </cell>
          <cell r="B2456" t="str">
            <v>c7000 (1Phs,AC200V,Full PS/FANOneViewIC)</v>
          </cell>
          <cell r="C2456" t="str">
            <v>※3 インチ LCD Insight Display 装備
※単相 AC 200V 仕様(AC 100V 未対応)、電源入力：IEC 320 C19-C20 電源コード(2m)×6 本標準添付
※80PLUS Platinum 認定 2400W パワーサプライ 6 個、ファン 10 個、KVM 機能内蔵の統合管理モジュール(Onboard Admnistrator) 1 個を標準搭載
※OneView Advanced (3 年 24x7 テクニカル サポート&amp;アップデート権付)の 16 サーバー ライセンス標準付属(メディアなし)
※OneView Advanced と Insight Control のどちらを使用するか選択可能</v>
          </cell>
        </row>
        <row r="2457">
          <cell r="A2457" t="str">
            <v>764283-B21</v>
          </cell>
          <cell r="B2457" t="str">
            <v>HP IB FDR 40GbE 2P 544+M Adptr</v>
          </cell>
          <cell r="C2457" t="str">
            <v>4X QDR 対応 x2ポート InfiniBand ネットワーク アダプター
※InfiniBand FDR (最高 56Gbps) / QDR (最高 40Gbps)、40Gb Ethernet、10Gb Ethernet の転送速度をサポート
※搭載先のブレードエンクロージャやブレードサーバのメザニンスロット、転送モードにより、使用可能なポートが変わります。</v>
          </cell>
        </row>
        <row r="2458">
          <cell r="A2458" t="str">
            <v>766490-B21</v>
          </cell>
          <cell r="B2458" t="str">
            <v>HP FlexFabric 10Gb 2P 536FLB CNA</v>
          </cell>
          <cell r="C2458" t="str">
            <v>1/10GbE x2ポート FlexibleLOM CNA
※Flex-10 (4 分割 FlexNICs/FlexHBAs) 対応</v>
          </cell>
        </row>
        <row r="2459">
          <cell r="A2459" t="str">
            <v>773123-B21</v>
          </cell>
          <cell r="B2459" t="str">
            <v>E5-2667v3 3.20GHz 1P/8C CPU BL460c Gen9</v>
          </cell>
          <cell r="C2459" t="str">
            <v>追加CPU：Xeon E5-2667v3 3.20GHz 2P/16C</v>
          </cell>
        </row>
        <row r="2460">
          <cell r="A2460" t="str">
            <v>779795-B21</v>
          </cell>
          <cell r="B2460" t="str">
            <v>E5-2699v3 2.30GHz 1P/18C CPU BL460c Gen9</v>
          </cell>
          <cell r="C2460" t="str">
            <v>追加CPU：Xeon E5-2699v3 2.30GHz 2P/36C</v>
          </cell>
        </row>
        <row r="2461">
          <cell r="A2461" t="str">
            <v>789934-B21</v>
          </cell>
          <cell r="B2461" t="str">
            <v>HP 2650Wパワーサプライ(DC-48V)</v>
          </cell>
          <cell r="C2461" t="str">
            <v>電源冗長構成</v>
          </cell>
        </row>
        <row r="2462">
          <cell r="A2462" t="str">
            <v>798099-B21</v>
          </cell>
          <cell r="B2462" t="str">
            <v xml:space="preserve">2650W DC-48Vパワーサプライ     </v>
          </cell>
          <cell r="C2462" t="str">
            <v>電源冗長構成</v>
          </cell>
        </row>
        <row r="2463">
          <cell r="A2463" t="str">
            <v>798342-B21</v>
          </cell>
          <cell r="B2463" t="str">
            <v>2650Wパワーサプライ(HVDC)</v>
          </cell>
          <cell r="C2463" t="str">
            <v>電源冗長構成</v>
          </cell>
        </row>
        <row r="2464">
          <cell r="A2464" t="str">
            <v>804367-B21</v>
          </cell>
          <cell r="B2464" t="str">
            <v>Smartアレイ P204i-b SR Gen10</v>
          </cell>
          <cell r="C2464" t="str">
            <v>1GBキャッシュ付HW RAIDコントローラー
※システム ボード上にドーターボード形式で搭載</v>
          </cell>
        </row>
        <row r="2465">
          <cell r="A2465" t="str">
            <v>804381-B21</v>
          </cell>
          <cell r="B2465" t="str">
            <v>Smartアレイ P408e-m SR Gen10</v>
          </cell>
          <cell r="C2465" t="str">
            <v>外部ストレージ接続用 2GBキャッシュ付 HW RAIDコントローラー/SAS HBA</v>
          </cell>
        </row>
        <row r="2466">
          <cell r="A2466" t="str">
            <v>813192-B21</v>
          </cell>
          <cell r="B2466" t="str">
            <v>BL460cGen9 E5-2609v4 1P8C 16G H244br</v>
          </cell>
          <cell r="C2466" t="str">
            <v>Xeon E5-2609v4 1.90GHz 1P/8C MEM：16GB(8GB x2) H244br</v>
          </cell>
        </row>
        <row r="2467">
          <cell r="A2467" t="str">
            <v>813193-B21</v>
          </cell>
          <cell r="B2467" t="str">
            <v>BL460cGen9 E5-2620v4 1P8C 16G H244br</v>
          </cell>
          <cell r="C2467" t="str">
            <v>Xeon E5-2620v4 2.10GHz 1P/8C MEM：16GB(8GB x2) H244br</v>
          </cell>
        </row>
        <row r="2468">
          <cell r="A2468" t="str">
            <v>813194-B21</v>
          </cell>
          <cell r="B2468" t="str">
            <v>BL460cGen9 E5-2640v4 1P10C 32G P244br/F</v>
          </cell>
          <cell r="C2468" t="str">
            <v>Xeon E5-2640v4 2.40GHz 1P/10C MEM：32GB(16GB x2) P244br/1GB FBWC</v>
          </cell>
        </row>
        <row r="2469">
          <cell r="A2469" t="str">
            <v>819837-B21</v>
          </cell>
          <cell r="B2469" t="str">
            <v>E5-2609v4 1.70GHz 1P/8C CPU BL460c Gen9</v>
          </cell>
          <cell r="C2469" t="str">
            <v>追加CPU：Xeon E5-2609v4 1.70GHz 2P/16C</v>
          </cell>
        </row>
        <row r="2470">
          <cell r="A2470" t="str">
            <v>819838-B21</v>
          </cell>
          <cell r="B2470" t="str">
            <v>E5-2620v4 2.10GHz 1P/8C CPU BL460c Gen9</v>
          </cell>
          <cell r="C2470" t="str">
            <v>追加CPU：Xeon E5-2620v4 2.10GHz 2P/16C</v>
          </cell>
        </row>
        <row r="2471">
          <cell r="A2471" t="str">
            <v>819839-B21</v>
          </cell>
          <cell r="B2471" t="str">
            <v>E5-2640v4 2.40GHz 1P/10C CPU BL460c Gen9</v>
          </cell>
          <cell r="C2471" t="str">
            <v>追加CPU：Xeon E5-2640v4 2.40GHz 2P/20C</v>
          </cell>
        </row>
        <row r="2472">
          <cell r="A2472" t="str">
            <v>819841-B21</v>
          </cell>
          <cell r="B2472" t="str">
            <v>E5-2660v4 2GHz 1P/14C CPU BL460c Gen9</v>
          </cell>
          <cell r="C2472" t="str">
            <v>追加CPU：Xeon E5-2660v4 2.0GHz 2P/28C</v>
          </cell>
        </row>
        <row r="2473">
          <cell r="A2473" t="str">
            <v>819852-B21</v>
          </cell>
          <cell r="B2473" t="str">
            <v>E5-2690v4 2.60GHz 1P/14C CPU BL460c Gen9</v>
          </cell>
          <cell r="C2473" t="str">
            <v>追加CPU：Xeon E5-2690v4 2.60GHz 2P/28C</v>
          </cell>
        </row>
        <row r="2474">
          <cell r="A2474" t="str">
            <v>819853-B21</v>
          </cell>
          <cell r="B2474" t="str">
            <v>E5-2695v4 2.10GHz 1P/18C CPU BL460c Gen9</v>
          </cell>
          <cell r="C2474" t="str">
            <v>追加CPU：Xeon E5-2695v4 2.10GHz 2P/36C</v>
          </cell>
        </row>
        <row r="2475">
          <cell r="A2475" t="str">
            <v>819856-B21</v>
          </cell>
          <cell r="B2475" t="str">
            <v>E5-2699v4 2.20GHz 1P/22C CPU BL460c Gen9</v>
          </cell>
          <cell r="C2475" t="str">
            <v>追加CPU：Xeon E5-2699v4 2.20GHz 2P/44C</v>
          </cell>
        </row>
        <row r="2476">
          <cell r="A2476" t="str">
            <v>844355-B21</v>
          </cell>
          <cell r="B2476" t="str">
            <v>BL660cGen9 E5-4650v4 4P56C 128G P246br</v>
          </cell>
          <cell r="C2476" t="str">
            <v>Xeon E5-4650v4 2.20GHz 4P/56C MEM：128GB(32GB x4) P246br/1GB FBWC</v>
          </cell>
        </row>
        <row r="2477">
          <cell r="A2477" t="str">
            <v>844356-B21</v>
          </cell>
          <cell r="B2477" t="str">
            <v>BL660cGen9 E5-4610v4 2P20C 64G P246br</v>
          </cell>
          <cell r="C2477" t="str">
            <v>Xeon E5-4610v4 1.80GHz 2P/20C MEM：64GB(16GB x4) P246br/1GB FBWC</v>
          </cell>
        </row>
        <row r="2478">
          <cell r="A2478" t="str">
            <v>844375-B21</v>
          </cell>
          <cell r="B2478" t="str">
            <v>E5-4610v4 1.80GHz 2P/20C CPU BL660c Gen9</v>
          </cell>
          <cell r="C2478" t="str">
            <v>追加CPU：Xeon E5-4610v4 1.80GHz 4P/40C</v>
          </cell>
        </row>
        <row r="2479">
          <cell r="A2479" t="str">
            <v>854194-B21</v>
          </cell>
          <cell r="B2479" t="str">
            <v>c-Class 1/10GbE パススルー モジュール</v>
          </cell>
          <cell r="C2479" t="str">
            <v>追加CPU：Xeon E5-2699v4 2.20GHz 2P/44C</v>
          </cell>
        </row>
        <row r="2480">
          <cell r="A2480" t="str">
            <v>863445-B21</v>
          </cell>
          <cell r="B2480" t="str">
            <v>BL460cGen10 S4108 1P8C 16GB 2SFF/S100i</v>
          </cell>
          <cell r="C2480" t="str">
            <v>Xeon S4108 1.80GHz 1P/8C MEM：16GB(8GB x2)  S100i</v>
          </cell>
        </row>
        <row r="2481">
          <cell r="A2481" t="str">
            <v>872008-B21</v>
          </cell>
          <cell r="B2481" t="str">
            <v>XeonS 4108 1.8GHz 1P8C CPU BL460cGen10</v>
          </cell>
          <cell r="C2481" t="str">
            <v>追加CPU：Xeon S4108 1.80GHz 2P/16C</v>
          </cell>
        </row>
        <row r="2482">
          <cell r="A2482" t="str">
            <v>872015-B21</v>
          </cell>
          <cell r="B2482" t="str">
            <v>XeonG 5120 2.2GHz 1P14C CPU BL460cGen10</v>
          </cell>
          <cell r="C2482" t="str">
            <v>追加CPU：Xeon G5120 2.2GHz 2P/28C</v>
          </cell>
        </row>
        <row r="2483">
          <cell r="A2483" t="str">
            <v>872034-B21</v>
          </cell>
          <cell r="B2483" t="str">
            <v>DC電源接地キット</v>
          </cell>
          <cell r="C2483" t="str">
            <v>-</v>
          </cell>
        </row>
        <row r="2484">
          <cell r="A2484" t="str">
            <v>872035-B21</v>
          </cell>
          <cell r="B2484" t="str">
            <v>48V DCパワーケーブルキット</v>
          </cell>
          <cell r="C2484" t="str">
            <v>48V DC電源ケーブル</v>
          </cell>
        </row>
        <row r="2485">
          <cell r="A2485" t="str">
            <v>875951-B21</v>
          </cell>
          <cell r="B2485" t="str">
            <v>XeonG 6152 2.1GHz 1P22C CPU BL460cGen10</v>
          </cell>
          <cell r="C2485" t="str">
            <v>追加CPU：Xeon G6152 2.1GHz 2P/44C</v>
          </cell>
        </row>
        <row r="2486">
          <cell r="A2486" t="str">
            <v>AF605A</v>
          </cell>
          <cell r="B2486" t="str">
            <v>c-Class KVM インタフェースアダプタ</v>
          </cell>
          <cell r="C2486" t="str">
            <v>BladeSystem c-Class サーバーブレード前面の SUV ローカル I/O ポートから
8 ポート以上の KVM サーバー コンソール スイッチ、IP コンソール スイッチに接続するためのインターフェイス アダプター
※メンテナンス用</v>
          </cell>
        </row>
        <row r="2487">
          <cell r="A2487" t="str">
            <v>AH331A</v>
          </cell>
          <cell r="B2487" t="str">
            <v>c7000 DCパワーモジュール</v>
          </cell>
          <cell r="C2487" t="str">
            <v>電源冗長構成</v>
          </cell>
        </row>
        <row r="2488">
          <cell r="A2488" t="str">
            <v>J6W98A</v>
          </cell>
          <cell r="B2488" t="str">
            <v>277VAC/380VDC高電圧電源ケーブル(0.76m)</v>
          </cell>
          <cell r="C2488" t="str">
            <v>DC電源ケーブル</v>
          </cell>
        </row>
        <row r="2489">
          <cell r="A2489" t="str">
            <v>J6W99A</v>
          </cell>
          <cell r="B2489" t="str">
            <v>277VAC/380VDC高電圧電源ケーブル(1.37m)</v>
          </cell>
          <cell r="C2489" t="str">
            <v>DC電源ケーブル</v>
          </cell>
        </row>
        <row r="2490">
          <cell r="A2490" t="str">
            <v>J6X00A</v>
          </cell>
          <cell r="B2490" t="str">
            <v>277VAC/380VDC高電圧電源ケーブル(2m)</v>
          </cell>
          <cell r="C2490" t="str">
            <v>DC電源ケーブル</v>
          </cell>
        </row>
        <row r="2491">
          <cell r="A2491" t="str">
            <v>Q0B83A</v>
          </cell>
          <cell r="B2491" t="str">
            <v>BL460cGen9 E5-2660v4 1P14C 32G P244br/F</v>
          </cell>
          <cell r="C2491" t="str">
            <v>Xeon E5-2660v4 2.0GHz 1P/14C MEM：32GB(16GB x2) P244br/1GB FBWC</v>
          </cell>
        </row>
        <row r="2492">
          <cell r="A2492" t="str">
            <v>Q0B84A</v>
          </cell>
          <cell r="B2492" t="str">
            <v>BL460cGen9 E5-2690v4 1P14C 32G P244br/F</v>
          </cell>
          <cell r="C2492" t="str">
            <v>Xeon E5-2690v4 2.60GHz 1P/14C MEM：32GB(16GB x2) P244br/1GB FBWC</v>
          </cell>
        </row>
        <row r="2493">
          <cell r="A2493" t="str">
            <v>Q0B85A</v>
          </cell>
          <cell r="B2493" t="str">
            <v>BL460cGen9 E5-2695v4 1P18C 32G P244br/F</v>
          </cell>
          <cell r="C2493" t="str">
            <v>Xeon E5-2695v4 2.10GHz 1P/18C MEM：32GB(16GB x2) P244br/1GB FBWC</v>
          </cell>
        </row>
        <row r="2494">
          <cell r="A2494" t="str">
            <v>Q0B86A</v>
          </cell>
          <cell r="B2494" t="str">
            <v>BL460cGen9 E5-2699v4 1P22C 32G P244br/F</v>
          </cell>
          <cell r="C2494" t="str">
            <v>Xeon E5-2699v4 2.20GHz 1P/22C MEM：32GB(16GB x2) P244br/1GB FBWC</v>
          </cell>
        </row>
        <row r="2495">
          <cell r="A2495" t="str">
            <v>Q8T38A</v>
          </cell>
          <cell r="B2495" t="str">
            <v>BL460cGen10 G5120 1P14C 16GB 2SFF/S100i</v>
          </cell>
          <cell r="C2495" t="str">
            <v>Xeon G5120 2.20GHz 1P/14C MEM：16GB S100i</v>
          </cell>
        </row>
        <row r="2496">
          <cell r="A2496" t="str">
            <v>Q8T39A</v>
          </cell>
          <cell r="B2496" t="str">
            <v>BL460cGen10 G6152 1P22C 16GB 2SFF/S100i</v>
          </cell>
          <cell r="C2496" t="str">
            <v>Xeon G6152 2.10GHz 1P/22C MEM：16GB S100i</v>
          </cell>
        </row>
        <row r="2497">
          <cell r="A2497" t="str">
            <v>H0SN7E</v>
          </cell>
          <cell r="B2497" t="str">
            <v>FC24x7 3年 3PAR 7K 400GB MLC SSD用</v>
          </cell>
          <cell r="C2497" t="str">
            <v>【ファウンデーションケア】</v>
          </cell>
        </row>
        <row r="2498">
          <cell r="A2498" t="str">
            <v>H0SN8E</v>
          </cell>
          <cell r="B2498" t="str">
            <v>FC24x7DMR 3年 3PAR 7K 400GB MLC SSD用</v>
          </cell>
          <cell r="C2498" t="str">
            <v>【ファウンデーションケア】</v>
          </cell>
        </row>
        <row r="2499">
          <cell r="A2499" t="str">
            <v>H0SP1E</v>
          </cell>
          <cell r="B2499" t="str">
            <v>PC24x7 3年 3PAR 7K 400GB MLC SSD用</v>
          </cell>
          <cell r="C2499" t="str">
            <v>【HPEプロアクティブケア】メーカー推奨／低価格で国内専用窓口の高品質な保守により、システム運用における安心を提供します。</v>
          </cell>
        </row>
        <row r="2500">
          <cell r="A2500" t="str">
            <v>H0SP2E</v>
          </cell>
          <cell r="B2500" t="str">
            <v>PC24x7DMR 3年 3PAR 7K 400GB MLC SSD用</v>
          </cell>
          <cell r="C2500" t="str">
            <v>【HPEプロアクティブケア】メーカー推奨／低価格で国内専用窓口の高品質な保守により、システム運用における安心を提供します。</v>
          </cell>
        </row>
        <row r="2501">
          <cell r="A2501" t="str">
            <v>H0SS7E</v>
          </cell>
          <cell r="B2501" t="str">
            <v>FC24x7 3年 3PAR 7K 3.84TB SSD用</v>
          </cell>
          <cell r="C2501" t="str">
            <v>【ファウンデーションケア】</v>
          </cell>
        </row>
        <row r="2502">
          <cell r="A2502" t="str">
            <v>H0SS8E</v>
          </cell>
          <cell r="B2502" t="str">
            <v>FC24x7DMR 3年 3PAR 7K 3.84TB SSD用</v>
          </cell>
          <cell r="C2502" t="str">
            <v>【ファウンデーションケア】</v>
          </cell>
        </row>
        <row r="2503">
          <cell r="A2503" t="str">
            <v>H0ST1E</v>
          </cell>
          <cell r="B2503" t="str">
            <v>PC24x7 3年 3PAR 7K 3.84TB SSD用</v>
          </cell>
          <cell r="C2503" t="str">
            <v>【HPEプロアクティブケア】メーカー推奨／低価格で国内専用窓口の高品質な保守により、システム運用における安心を提供します。</v>
          </cell>
        </row>
        <row r="2504">
          <cell r="A2504" t="str">
            <v>H0ST2E</v>
          </cell>
          <cell r="B2504" t="str">
            <v>PC24x7DMR 3年 3PAR 7K 3.84TB SSD用</v>
          </cell>
          <cell r="C2504" t="str">
            <v>【HPEプロアクティブケア】メーカー推奨／低価格で国内専用窓口の高品質な保守により、システム運用における安心を提供します。</v>
          </cell>
        </row>
        <row r="2505">
          <cell r="A2505" t="str">
            <v>H0UM3E</v>
          </cell>
          <cell r="B2505" t="str">
            <v>HPE 3Y PC 24x7 3PAR 8K 4-pt 16Gb SVC</v>
          </cell>
          <cell r="C2505" t="str">
            <v>【HPEプロアクティブケア】メーカー推奨／低価格で国内専用窓口の高品質な保守により、システム運用における安心を提供します。</v>
          </cell>
        </row>
        <row r="2506">
          <cell r="A2506" t="str">
            <v>H0UM5E</v>
          </cell>
          <cell r="B2506" t="str">
            <v>HPE 4Y PC 24x7 3PAR 8K 4-pt 16Gb SVC</v>
          </cell>
          <cell r="C2506" t="str">
            <v>【HPEプロアクティブケア】メーカー推奨／低価格で国内専用窓口の高品質な保守により、システム運用における安心を提供します。</v>
          </cell>
        </row>
        <row r="2507">
          <cell r="A2507" t="str">
            <v>H0UM7E</v>
          </cell>
          <cell r="B2507" t="str">
            <v>HPE 5Y PC 24x7 3PAR 8K 4-pt 16Gb SVC</v>
          </cell>
          <cell r="C2507" t="str">
            <v>【HPEプロアクティブケア】メーカー推奨／低価格で国内専用窓口の高品質な保守により、システム運用における安心を提供します。</v>
          </cell>
        </row>
        <row r="2508">
          <cell r="A2508" t="str">
            <v>H6EV4E</v>
          </cell>
          <cell r="B2508" t="str">
            <v>HPE 3Y PC 24x7 3PAR 8200 2N+SW Base SVC</v>
          </cell>
          <cell r="C2508" t="str">
            <v>【HPEプロアクティブケア】メーカー推奨／低価格で国内専用窓口の高品質な保守により、システム運用における安心を提供します。</v>
          </cell>
        </row>
        <row r="2509">
          <cell r="A2509" t="str">
            <v>H6EV6E</v>
          </cell>
          <cell r="B2509" t="str">
            <v>HPE 4Y PC 24x7 3PAR 8200 2N+SW Base SVC</v>
          </cell>
          <cell r="C2509" t="str">
            <v>【HPEプロアクティブケア】メーカー推奨／低価格で国内専用窓口の高品質な保守により、システム運用における安心を提供します。</v>
          </cell>
        </row>
        <row r="2510">
          <cell r="A2510" t="str">
            <v>H6EV8E</v>
          </cell>
          <cell r="B2510" t="str">
            <v>HPE 5Y PC 24x7 3PAR 8200 2N+SW Base SVC</v>
          </cell>
          <cell r="C2510" t="str">
            <v>【HPEプロアクティブケア】メーカー推奨／低価格で国内専用窓口の高品質な保守により、システム運用における安心を提供します。</v>
          </cell>
        </row>
        <row r="2511">
          <cell r="A2511" t="str">
            <v>H6EW2E</v>
          </cell>
          <cell r="B2511" t="str">
            <v>HPE 3Y PC 24x7 3PAR 8400 2N+SW Base SVC</v>
          </cell>
          <cell r="C2511" t="str">
            <v>【HPEプロアクティブケア】メーカー推奨／低価格で国内専用窓口の高品質な保守により、システム運用における安心を提供します。</v>
          </cell>
        </row>
        <row r="2512">
          <cell r="A2512" t="str">
            <v>H6EW4E</v>
          </cell>
          <cell r="B2512" t="str">
            <v>HPE 4Y PC 24x7 3PAR 8400 2N+SW Base SVC</v>
          </cell>
          <cell r="C2512" t="str">
            <v>【HPEプロアクティブケア】メーカー推奨／低価格で国内専用窓口の高品質な保守により、システム運用における安心を提供します。</v>
          </cell>
        </row>
        <row r="2513">
          <cell r="A2513" t="str">
            <v>H6EW6E</v>
          </cell>
          <cell r="B2513" t="str">
            <v>HPE 5Y PC 24x7 3PAR 8400 2N+SW Base SVC</v>
          </cell>
          <cell r="C2513" t="str">
            <v>【HPEプロアクティブケア】メーカー推奨／低価格で国内専用窓口の高品質な保守により、システム運用における安心を提供します。</v>
          </cell>
        </row>
        <row r="2514">
          <cell r="A2514" t="str">
            <v>H6EX0E</v>
          </cell>
          <cell r="B2514" t="str">
            <v>HPE 3Y PC 24x7 3PAR 8400 4N+SW Base SVC</v>
          </cell>
          <cell r="C2514" t="str">
            <v>【HPEプロアクティブケア】メーカー推奨／低価格で国内専用窓口の高品質な保守により、システム運用における安心を提供します。</v>
          </cell>
        </row>
        <row r="2515">
          <cell r="A2515" t="str">
            <v>H6EX2E</v>
          </cell>
          <cell r="B2515" t="str">
            <v>HPE 4Y PC 24x7 3PAR 8400 4N+SW Base SVC</v>
          </cell>
          <cell r="C2515" t="str">
            <v>【HPEプロアクティブケア】メーカー推奨／低価格で国内専用窓口の高品質な保守により、システム運用における安心を提供します。</v>
          </cell>
        </row>
        <row r="2516">
          <cell r="A2516" t="str">
            <v>H6EX4E</v>
          </cell>
          <cell r="B2516" t="str">
            <v>HPE 5Y PC 24x7 3PAR 8400 4N+SW Base SVC</v>
          </cell>
          <cell r="C2516" t="str">
            <v>【HPEプロアクティブケア】メーカー推奨／低価格で国内専用窓口の高品質な保守により、システム運用における安心を提供します。</v>
          </cell>
        </row>
        <row r="2517">
          <cell r="A2517" t="str">
            <v>H6EX8E</v>
          </cell>
          <cell r="B2517" t="str">
            <v>HPE 3Y PC 24x7 3PAR 8440 2N+SW Base SVC</v>
          </cell>
          <cell r="C2517" t="str">
            <v>【HPEプロアクティブケア】メーカー推奨／低価格で国内専用窓口の高品質な保守により、システム運用における安心を提供します。</v>
          </cell>
        </row>
        <row r="2518">
          <cell r="A2518" t="str">
            <v>H6EY0E</v>
          </cell>
          <cell r="B2518" t="str">
            <v>HPE 4Y PC 24x7 3PAR 8440 2N+SW Base SVC</v>
          </cell>
          <cell r="C2518" t="str">
            <v>【HPEプロアクティブケア】メーカー推奨／低価格で国内専用窓口の高品質な保守により、システム運用における安心を提供します。</v>
          </cell>
        </row>
        <row r="2519">
          <cell r="A2519" t="str">
            <v>H6EY2E</v>
          </cell>
          <cell r="B2519" t="str">
            <v>HPE 5Y PC 24x7 3PAR 8440 2N+SW Base SVC</v>
          </cell>
          <cell r="C2519" t="str">
            <v>【HPEプロアクティブケア】メーカー推奨／低価格で国内専用窓口の高品質な保守により、システム運用における安心を提供します。</v>
          </cell>
        </row>
        <row r="2520">
          <cell r="A2520" t="str">
            <v>H6EY6E</v>
          </cell>
          <cell r="B2520" t="str">
            <v>HPE 3Y PC 24x7 3PAR 8440 4N+SW Base SVC</v>
          </cell>
          <cell r="C2520" t="str">
            <v>【HPEプロアクティブケア】メーカー推奨／低価格で国内専用窓口の高品質な保守により、システム運用における安心を提供します。</v>
          </cell>
        </row>
        <row r="2521">
          <cell r="A2521" t="str">
            <v>H6EY8E</v>
          </cell>
          <cell r="B2521" t="str">
            <v>HPE 4Y PC 24x7 3PAR 8440 4N+SW Base SVC</v>
          </cell>
          <cell r="C2521" t="str">
            <v>【HPEプロアクティブケア】メーカー推奨／低価格で国内専用窓口の高品質な保守により、システム運用における安心を提供します。</v>
          </cell>
        </row>
        <row r="2522">
          <cell r="A2522" t="str">
            <v>H6EZ0E</v>
          </cell>
          <cell r="B2522" t="str">
            <v>HPE 5Y PC 24x7 3PAR 8440 4N+SW Base SVC</v>
          </cell>
          <cell r="C2522" t="str">
            <v>【HPEプロアクティブケア】メーカー推奨／低価格で国内専用窓口の高品質な保守により、システム運用における安心を提供します。</v>
          </cell>
        </row>
        <row r="2523">
          <cell r="A2523" t="str">
            <v>H6EZ4E</v>
          </cell>
          <cell r="B2523" t="str">
            <v>HPE 3Y PC 24x7 3PAR 8450 2N+SW Base SVC</v>
          </cell>
          <cell r="C2523" t="str">
            <v>【HPEプロアクティブケア】メーカー推奨／低価格で国内専用窓口の高品質な保守により、システム運用における安心を提供します。</v>
          </cell>
        </row>
        <row r="2524">
          <cell r="A2524" t="str">
            <v>H6EZ6E</v>
          </cell>
          <cell r="B2524" t="str">
            <v>HPE 4Y PC 24x7 3PAR 8450 2N+SW Base SVC</v>
          </cell>
          <cell r="C2524" t="str">
            <v>【HPEプロアクティブケア】メーカー推奨／低価格で国内専用窓口の高品質な保守により、システム運用における安心を提供します。</v>
          </cell>
        </row>
        <row r="2525">
          <cell r="A2525" t="str">
            <v>H6EZ8E</v>
          </cell>
          <cell r="B2525" t="str">
            <v>HPE 5Y PC 24x7 3PAR 8450 2N+SW Base SVC</v>
          </cell>
          <cell r="C2525" t="str">
            <v>【HPEプロアクティブケア】メーカー推奨／低価格で国内専用窓口の高品質な保守により、システム運用における安心を提供します。</v>
          </cell>
        </row>
        <row r="2526">
          <cell r="A2526" t="str">
            <v>H6FA2E</v>
          </cell>
          <cell r="B2526" t="str">
            <v>HPE 3Y PC 24x7 3PAR 8450 4N+SW Base SVC</v>
          </cell>
          <cell r="C2526" t="str">
            <v>【HPEプロアクティブケア】メーカー推奨／低価格で国内専用窓口の高品質な保守により、システム運用における安心を提供します。</v>
          </cell>
        </row>
        <row r="2527">
          <cell r="A2527" t="str">
            <v>H6FA4E</v>
          </cell>
          <cell r="B2527" t="str">
            <v>HPE 4Y PC 24x7 3PAR 8450 4N+SW Base SVC</v>
          </cell>
          <cell r="C2527" t="str">
            <v>【HPEプロアクティブケア】メーカー推奨／低価格で国内専用窓口の高品質な保守により、システム運用における安心を提供します。</v>
          </cell>
        </row>
        <row r="2528">
          <cell r="A2528" t="str">
            <v>H6FA6E</v>
          </cell>
          <cell r="B2528" t="str">
            <v>HPE 5Y PC 24x7 3PAR 8450 4N+SW Base SVC</v>
          </cell>
          <cell r="C2528" t="str">
            <v>【HPEプロアクティブケア】メーカー推奨／低価格で国内専用窓口の高品質な保守により、システム運用における安心を提供します。</v>
          </cell>
        </row>
        <row r="2529">
          <cell r="A2529" t="str">
            <v>H6FB0E</v>
          </cell>
          <cell r="B2529" t="str">
            <v>HPE 3Y PC 24x7 3PAR 8400+SW UpgNode SVC</v>
          </cell>
          <cell r="C2529" t="str">
            <v>【HPEプロアクティブケア】メーカー推奨／低価格で国内専用窓口の高品質な保守により、システム運用における安心を提供します。</v>
          </cell>
        </row>
        <row r="2530">
          <cell r="A2530" t="str">
            <v>H6FB2E</v>
          </cell>
          <cell r="B2530" t="str">
            <v>HPE 4Y PC 24x7 3PAR 8400+SW UpgNode SVC</v>
          </cell>
          <cell r="C2530" t="str">
            <v>【HPEプロアクティブケア】メーカー推奨／低価格で国内専用窓口の高品質な保守により、システム運用における安心を提供します。</v>
          </cell>
        </row>
        <row r="2531">
          <cell r="A2531" t="str">
            <v>H6FB4E</v>
          </cell>
          <cell r="B2531" t="str">
            <v>HPE 5Y PC 24x7 3PAR 8400+SW UpgNode SVC</v>
          </cell>
          <cell r="C2531" t="str">
            <v>【HPEプロアクティブケア】メーカー推奨／低価格で国内専用窓口の高品質な保守により、システム運用における安心を提供します。</v>
          </cell>
        </row>
        <row r="2532">
          <cell r="A2532" t="str">
            <v>H6FB8E</v>
          </cell>
          <cell r="B2532" t="str">
            <v>HPE 3Y PC 24x7 3PAR 8440+SW UpgNode SVC</v>
          </cell>
          <cell r="C2532" t="str">
            <v>【HPEプロアクティブケア】メーカー推奨／低価格で国内専用窓口の高品質な保守により、システム運用における安心を提供します。</v>
          </cell>
        </row>
        <row r="2533">
          <cell r="A2533" t="str">
            <v>H6FC0E</v>
          </cell>
          <cell r="B2533" t="str">
            <v>HPE 4Y PC 24x7 3PAR 8440+SW UpgNode SVC</v>
          </cell>
          <cell r="C2533" t="str">
            <v>【HPEプロアクティブケア】メーカー推奨／低価格で国内専用窓口の高品質な保守により、システム運用における安心を提供します。</v>
          </cell>
        </row>
        <row r="2534">
          <cell r="A2534" t="str">
            <v>H6FC2E</v>
          </cell>
          <cell r="B2534" t="str">
            <v>HPE 5Y PC 24x7 3PAR 8440+SW UpgNode SVC</v>
          </cell>
          <cell r="C2534" t="str">
            <v>【HPEプロアクティブケア】メーカー推奨／低価格で国内専用窓口の高品質な保守により、システム運用における安心を提供します。</v>
          </cell>
        </row>
        <row r="2535">
          <cell r="A2535" t="str">
            <v>H6FC6E</v>
          </cell>
          <cell r="B2535" t="str">
            <v>HPE 3Y PC 24x7 3PAR 8450+SW UpgNode SVC</v>
          </cell>
          <cell r="C2535" t="str">
            <v>【HPEプロアクティブケア】メーカー推奨／低価格で国内専用窓口の高品質な保守により、システム運用における安心を提供します。</v>
          </cell>
        </row>
        <row r="2536">
          <cell r="A2536" t="str">
            <v>H6FC8E</v>
          </cell>
          <cell r="B2536" t="str">
            <v>HPE 4Y PC 24x7 3PAR 8450+SW UpgNode SVC</v>
          </cell>
          <cell r="C2536" t="str">
            <v>【HPEプロアクティブケア】メーカー推奨／低価格で国内専用窓口の高品質な保守により、システム運用における安心を提供します。</v>
          </cell>
        </row>
        <row r="2537">
          <cell r="A2537" t="str">
            <v>H6FD0E</v>
          </cell>
          <cell r="B2537" t="str">
            <v>HPE 5Y PC 24x7 3PAR 8450+SW UpgNode SVC</v>
          </cell>
          <cell r="C2537" t="str">
            <v>【HPEプロアクティブケア】メーカー推奨／低価格で国内専用窓口の高品質な保守により、システム運用における安心を提供します。</v>
          </cell>
        </row>
        <row r="2538">
          <cell r="A2538" t="str">
            <v>H6FD5E</v>
          </cell>
          <cell r="B2538" t="str">
            <v>HPE 3Y PC 24x7 3PAR 8200 MSS Suite SVC</v>
          </cell>
          <cell r="C2538" t="str">
            <v>【HPEプロアクティブケア】メーカー推奨／低価格で国内専用窓口の高品質な保守により、システム運用における安心を提供します。</v>
          </cell>
        </row>
        <row r="2539">
          <cell r="A2539" t="str">
            <v>H6FD8E</v>
          </cell>
          <cell r="B2539" t="str">
            <v>HPE 4Y PC 24x7 3PAR 8200 MSS Suite SVC</v>
          </cell>
          <cell r="C2539" t="str">
            <v>【HPEプロアクティブケア】メーカー推奨／低価格で国内専用窓口の高品質な保守により、システム運用における安心を提供します。</v>
          </cell>
        </row>
        <row r="2540">
          <cell r="A2540" t="str">
            <v>H6FE1E</v>
          </cell>
          <cell r="B2540" t="str">
            <v>HPE 5Y PC 24x7 3PAR 8200 MSS Suite SVC</v>
          </cell>
          <cell r="C2540" t="str">
            <v>【HPEプロアクティブケア】メーカー推奨／低価格で国内専用窓口の高品質な保守により、システム運用における安心を提供します。</v>
          </cell>
        </row>
        <row r="2541">
          <cell r="A2541" t="str">
            <v>H6FE5E</v>
          </cell>
          <cell r="B2541" t="str">
            <v>HPE 3Y PC 24x7 3PAR 8400 MSS Suite SVC</v>
          </cell>
          <cell r="C2541" t="str">
            <v>【HPEプロアクティブケア】メーカー推奨／低価格で国内専用窓口の高品質な保守により、システム運用における安心を提供します。</v>
          </cell>
        </row>
        <row r="2542">
          <cell r="A2542" t="str">
            <v>H6FE8E</v>
          </cell>
          <cell r="B2542" t="str">
            <v>HPE 4Y PC 24x7 3PAR 8400 MSS Suite SVC</v>
          </cell>
          <cell r="C2542" t="str">
            <v>【HPEプロアクティブケア】メーカー推奨／低価格で国内専用窓口の高品質な保守により、システム運用における安心を提供します。</v>
          </cell>
        </row>
        <row r="2543">
          <cell r="A2543" t="str">
            <v>H6FF1E</v>
          </cell>
          <cell r="B2543" t="str">
            <v>HPE 5Y PC 24x7 3PAR 8400 MSS Suite SVC</v>
          </cell>
          <cell r="C2543" t="str">
            <v>【HPEプロアクティブケア】メーカー推奨／低価格で国内専用窓口の高品質な保守により、システム運用における安心を提供します。</v>
          </cell>
        </row>
        <row r="2544">
          <cell r="A2544" t="str">
            <v>H6FF5E</v>
          </cell>
          <cell r="B2544" t="str">
            <v>HPE 3Y PC 24x7 3PAR 8440 MSS Suite SVC</v>
          </cell>
          <cell r="C2544" t="str">
            <v>【HPEプロアクティブケア】メーカー推奨／低価格で国内専用窓口の高品質な保守により、システム運用における安心を提供します。</v>
          </cell>
        </row>
        <row r="2545">
          <cell r="A2545" t="str">
            <v>H6FF8E</v>
          </cell>
          <cell r="B2545" t="str">
            <v>HPE 4Y PC 24x7 3PAR 8440 MSS Suite SVC</v>
          </cell>
          <cell r="C2545" t="str">
            <v>【HPEプロアクティブケア】メーカー推奨／低価格で国内専用窓口の高品質な保守により、システム運用における安心を提供します。</v>
          </cell>
        </row>
        <row r="2546">
          <cell r="A2546" t="str">
            <v>H6FG1E</v>
          </cell>
          <cell r="B2546" t="str">
            <v>HPE 5Y PC 24x7 3PAR 8440 MSS Suite SVC</v>
          </cell>
          <cell r="C2546" t="str">
            <v>【HPEプロアクティブケア】メーカー推奨／低価格で国内専用窓口の高品質な保守により、システム運用における安心を提供します。</v>
          </cell>
        </row>
        <row r="2547">
          <cell r="A2547" t="str">
            <v>H6FG5E</v>
          </cell>
          <cell r="B2547" t="str">
            <v>HPE 3Y PC 24x7 3PAR 8450 MSS Suite SVC</v>
          </cell>
          <cell r="C2547" t="str">
            <v>【HPEプロアクティブケア】メーカー推奨／低価格で国内専用窓口の高品質な保守により、システム運用における安心を提供します。</v>
          </cell>
        </row>
        <row r="2548">
          <cell r="A2548" t="str">
            <v>H6FG8E</v>
          </cell>
          <cell r="B2548" t="str">
            <v>HPE 4Y PC 24x7 3PAR 8450 MSS Suite SVC</v>
          </cell>
          <cell r="C2548" t="str">
            <v>【HPEプロアクティブケア】メーカー推奨／低価格で国内専用窓口の高品質な保守により、システム運用における安心を提供します。</v>
          </cell>
        </row>
        <row r="2549">
          <cell r="A2549" t="str">
            <v>H6FH1E</v>
          </cell>
          <cell r="B2549" t="str">
            <v>HPE 5Y PC 24x7 3PAR 8450 MSS Suite SVC</v>
          </cell>
          <cell r="C2549" t="str">
            <v>【HPEプロアクティブケア】メーカー推奨／低価格で国内専用窓口の高品質な保守により、システム運用における安心を提供します。</v>
          </cell>
        </row>
        <row r="2550">
          <cell r="A2550" t="str">
            <v>H6FH5E</v>
          </cell>
          <cell r="B2550" t="str">
            <v>HPE 3Y PC 24x7 3PAR 8K 300GB+SW HDD SVC</v>
          </cell>
          <cell r="C2550" t="str">
            <v>【HPEプロアクティブケア】メーカー推奨／低価格で国内専用窓口の高品質な保守により、システム運用における安心を提供します。</v>
          </cell>
        </row>
        <row r="2551">
          <cell r="A2551" t="str">
            <v>H6FH6E</v>
          </cell>
          <cell r="B2551" t="str">
            <v>HPE 3Y PC 24x7 wDMR 3PAR 8K 300GB+SW SVC</v>
          </cell>
          <cell r="C2551" t="str">
            <v>【HPEプロアクティブケア】メーカー推奨／低価格で国内専用窓口の高品質な保守により、システム運用における安心を提供します。</v>
          </cell>
        </row>
        <row r="2552">
          <cell r="A2552" t="str">
            <v>H6FH9E</v>
          </cell>
          <cell r="B2552" t="str">
            <v>HPE 4Y PC 24x7 3PAR 8K 300GB+SW HDD SVC</v>
          </cell>
          <cell r="C2552" t="str">
            <v>【HPEプロアクティブケア】メーカー推奨／低価格で国内専用窓口の高品質な保守により、システム運用における安心を提供します。</v>
          </cell>
        </row>
        <row r="2553">
          <cell r="A2553" t="str">
            <v>H6FJ0E</v>
          </cell>
          <cell r="B2553" t="str">
            <v>HPE 4Y PC 24x7 wDMR 3PAR 8K 300GB+SW SVC</v>
          </cell>
          <cell r="C2553" t="str">
            <v>【HPEプロアクティブケア】メーカー推奨／低価格で国内専用窓口の高品質な保守により、システム運用における安心を提供します。</v>
          </cell>
        </row>
        <row r="2554">
          <cell r="A2554" t="str">
            <v>H6FJ3E</v>
          </cell>
          <cell r="B2554" t="str">
            <v>HPE 5Y PC 24x7 3PAR 8K 300GB+SW HDD SVC</v>
          </cell>
          <cell r="C2554" t="str">
            <v>【HPEプロアクティブケア】メーカー推奨／低価格で国内専用窓口の高品質な保守により、システム運用における安心を提供します。</v>
          </cell>
        </row>
        <row r="2555">
          <cell r="A2555" t="str">
            <v>H6FJ4E</v>
          </cell>
          <cell r="B2555" t="str">
            <v>HPE 5Y PC 24x7 wDMR 3PAR 8K 300GB+SW SVC</v>
          </cell>
          <cell r="C2555" t="str">
            <v>【HPEプロアクティブケア】メーカー推奨／低価格で国内専用窓口の高品質な保守により、システム運用における安心を提供します。</v>
          </cell>
        </row>
        <row r="2556">
          <cell r="A2556" t="str">
            <v>H6FK1E</v>
          </cell>
          <cell r="B2556" t="str">
            <v>HPE 3Y PC 24x7 3PAR 8K 600GB+SW HDD SVC</v>
          </cell>
          <cell r="C2556" t="str">
            <v>【HPEプロアクティブケア】メーカー推奨／低価格で国内専用窓口の高品質な保守により、システム運用における安心を提供します。</v>
          </cell>
        </row>
        <row r="2557">
          <cell r="A2557" t="str">
            <v>H6FK2E</v>
          </cell>
          <cell r="B2557" t="str">
            <v>HPE 3Y PC 24x7 wDMR 3PAR 8K 600GB+SW SVC</v>
          </cell>
          <cell r="C2557" t="str">
            <v>【HPEプロアクティブケア】メーカー推奨／低価格で国内専用窓口の高品質な保守により、システム運用における安心を提供します。</v>
          </cell>
        </row>
        <row r="2558">
          <cell r="A2558" t="str">
            <v>H6FK5E</v>
          </cell>
          <cell r="B2558" t="str">
            <v>HPE 4Y PC 24x7 3PAR 8K 600GB+SW HDD SVC</v>
          </cell>
          <cell r="C2558" t="str">
            <v>【HPEプロアクティブケア】メーカー推奨／低価格で国内専用窓口の高品質な保守により、システム運用における安心を提供します。</v>
          </cell>
        </row>
        <row r="2559">
          <cell r="A2559" t="str">
            <v>H6FK6E</v>
          </cell>
          <cell r="B2559" t="str">
            <v>HPE 4Y PC 24x7 wDMR 3PAR 8K 600GB+SW SVC</v>
          </cell>
          <cell r="C2559" t="str">
            <v>【HPEプロアクティブケア】メーカー推奨／低価格で国内専用窓口の高品質な保守により、システム運用における安心を提供します。</v>
          </cell>
        </row>
        <row r="2560">
          <cell r="A2560" t="str">
            <v>H6FK9E</v>
          </cell>
          <cell r="B2560" t="str">
            <v>HPE 5Y PC 24x7 3PAR 8K 600GB+SW HDD SVC</v>
          </cell>
          <cell r="C2560" t="str">
            <v>【HPEプロアクティブケア】メーカー推奨／低価格で国内専用窓口の高品質な保守により、システム運用における安心を提供します。</v>
          </cell>
        </row>
        <row r="2561">
          <cell r="A2561" t="str">
            <v>H6FL0E</v>
          </cell>
          <cell r="B2561" t="str">
            <v>HPE 5Y PC 24x7 wDMR 3PAR 8K 600GB+SW SVC</v>
          </cell>
          <cell r="C2561" t="str">
            <v>【HPEプロアクティブケア】メーカー推奨／低価格で国内専用窓口の高品質な保守により、システム運用における安心を提供します。</v>
          </cell>
        </row>
        <row r="2562">
          <cell r="A2562" t="str">
            <v>H6FL7E</v>
          </cell>
          <cell r="B2562" t="str">
            <v>HPE 3Y PC 24x7 3PAR 8K 600GB+SW HDD SVC</v>
          </cell>
          <cell r="C2562" t="str">
            <v>【HPEプロアクティブケア】メーカー推奨／低価格で国内専用窓口の高品質な保守により、システム運用における安心を提供します。</v>
          </cell>
        </row>
        <row r="2563">
          <cell r="A2563" t="str">
            <v>H6FL8E</v>
          </cell>
          <cell r="B2563" t="str">
            <v>HPE 3Y PC 24x7 wDMR 3PAR 8K 600GB+SW SVC</v>
          </cell>
          <cell r="C2563" t="str">
            <v>【HPEプロアクティブケア】メーカー推奨／低価格で国内専用窓口の高品質な保守により、システム運用における安心を提供します。</v>
          </cell>
        </row>
        <row r="2564">
          <cell r="A2564" t="str">
            <v>H6FM1E</v>
          </cell>
          <cell r="B2564" t="str">
            <v>HPE 4Y PC 24x7 3PAR 8K 600GB+SW HDD SVC</v>
          </cell>
          <cell r="C2564" t="str">
            <v>【HPEプロアクティブケア】メーカー推奨／低価格で国内専用窓口の高品質な保守により、システム運用における安心を提供します。</v>
          </cell>
        </row>
        <row r="2565">
          <cell r="A2565" t="str">
            <v>H6FM2E</v>
          </cell>
          <cell r="B2565" t="str">
            <v>HPE 4Y PC 24x7 wDMR 3PAR 8K 600GB+SW SVC</v>
          </cell>
          <cell r="C2565" t="str">
            <v>【HPEプロアクティブケア】メーカー推奨／低価格で国内専用窓口の高品質な保守により、システム運用における安心を提供します。</v>
          </cell>
        </row>
        <row r="2566">
          <cell r="A2566" t="str">
            <v>H6FM5E</v>
          </cell>
          <cell r="B2566" t="str">
            <v>HPE 5Y PC 24x7 3PAR 8K 600GB+SW HDD SVC</v>
          </cell>
          <cell r="C2566" t="str">
            <v>【HPEプロアクティブケア】メーカー推奨／低価格で国内専用窓口の高品質な保守により、システム運用における安心を提供します。</v>
          </cell>
        </row>
        <row r="2567">
          <cell r="A2567" t="str">
            <v>H6FM6E</v>
          </cell>
          <cell r="B2567" t="str">
            <v>HPE 5Y PC 24x7 wDMR 3PAR 8K 600GB+SW SVC</v>
          </cell>
          <cell r="C2567" t="str">
            <v>【HPEプロアクティブケア】メーカー推奨／低価格で国内専用窓口の高品質な保守により、システム運用における安心を提供します。</v>
          </cell>
        </row>
        <row r="2568">
          <cell r="A2568" t="str">
            <v>H6FN3E</v>
          </cell>
          <cell r="B2568" t="str">
            <v>HPE 3Y PC 24x7 3PAR 8K 600GB+SW FE SVC</v>
          </cell>
          <cell r="C2568" t="str">
            <v>【HPEプロアクティブケア】メーカー推奨／低価格で国内専用窓口の高品質な保守により、システム運用における安心を提供します。</v>
          </cell>
        </row>
        <row r="2569">
          <cell r="A2569" t="str">
            <v>H6FN4E</v>
          </cell>
          <cell r="B2569" t="str">
            <v>HPE 3Y PC 24x7 wDMR 8K 600GB+SW FE SVC</v>
          </cell>
          <cell r="C2569" t="str">
            <v>【HPEプロアクティブケア】メーカー推奨／低価格で国内専用窓口の高品質な保守により、システム運用における安心を提供します。</v>
          </cell>
        </row>
        <row r="2570">
          <cell r="A2570" t="str">
            <v>H6FN7E</v>
          </cell>
          <cell r="B2570" t="str">
            <v>HPE 4Y PC 24x7 3PAR 8K 600GB+SW FE SVC</v>
          </cell>
          <cell r="C2570" t="str">
            <v>【HPEプロアクティブケア】メーカー推奨／低価格で国内専用窓口の高品質な保守により、システム運用における安心を提供します。</v>
          </cell>
        </row>
        <row r="2571">
          <cell r="A2571" t="str">
            <v>H6FN8E</v>
          </cell>
          <cell r="B2571" t="str">
            <v>HPE 4Y PC 24x7 wDMR 8K 600GB+SW FE SVC</v>
          </cell>
          <cell r="C2571" t="str">
            <v>【HPEプロアクティブケア】メーカー推奨／低価格で国内専用窓口の高品質な保守により、システム運用における安心を提供します。</v>
          </cell>
        </row>
        <row r="2572">
          <cell r="A2572" t="str">
            <v>H6FP1E</v>
          </cell>
          <cell r="B2572" t="str">
            <v>HPE 5Y PC 24x7 3PAR 8K 600GB+SW FE SVC</v>
          </cell>
          <cell r="C2572" t="str">
            <v>【HPEプロアクティブケア】メーカー推奨／低価格で国内専用窓口の高品質な保守により、システム運用における安心を提供します。</v>
          </cell>
        </row>
        <row r="2573">
          <cell r="A2573" t="str">
            <v>H6FP2E</v>
          </cell>
          <cell r="B2573" t="str">
            <v>HPE 5Y PC 24x7 wDMR 8K 600GB+SW FE SVC</v>
          </cell>
          <cell r="C2573" t="str">
            <v>【HPEプロアクティブケア】メーカー推奨／低価格で国内専用窓口の高品質な保守により、システム運用における安心を提供します。</v>
          </cell>
        </row>
        <row r="2574">
          <cell r="A2574" t="str">
            <v>H6FP9E</v>
          </cell>
          <cell r="B2574" t="str">
            <v>HPE 3Y PC 24x7 3PAR 8K 1.2TB+SW HDD SVC</v>
          </cell>
          <cell r="C2574" t="str">
            <v>【HPEプロアクティブケア】メーカー推奨／低価格で国内専用窓口の高品質な保守により、システム運用における安心を提供します。</v>
          </cell>
        </row>
        <row r="2575">
          <cell r="A2575" t="str">
            <v>H6FQ0E</v>
          </cell>
          <cell r="B2575" t="str">
            <v>HPE 3Y PC 24x7 wDMR 3PAR 8K 1.2TB+SW SVC</v>
          </cell>
          <cell r="C2575" t="str">
            <v>【HPEプロアクティブケア】メーカー推奨／低価格で国内専用窓口の高品質な保守により、システム運用における安心を提供します。</v>
          </cell>
        </row>
        <row r="2576">
          <cell r="A2576" t="str">
            <v>H6FQ3E</v>
          </cell>
          <cell r="B2576" t="str">
            <v>HPE 4Y PC 24x7 3PAR 8K 1.2TB+SW HDD SVC</v>
          </cell>
          <cell r="C2576" t="str">
            <v>【HPEプロアクティブケア】メーカー推奨／低価格で国内専用窓口の高品質な保守により、システム運用における安心を提供します。</v>
          </cell>
        </row>
        <row r="2577">
          <cell r="A2577" t="str">
            <v>H6FQ4E</v>
          </cell>
          <cell r="B2577" t="str">
            <v>HPE 4Y PC 24x7 wDMR 3PAR 8K 1.2TB+SW SVC</v>
          </cell>
          <cell r="C2577" t="str">
            <v>【HPEプロアクティブケア】メーカー推奨／低価格で国内専用窓口の高品質な保守により、システム運用における安心を提供します。</v>
          </cell>
        </row>
        <row r="2578">
          <cell r="A2578" t="str">
            <v>H6FQ7E</v>
          </cell>
          <cell r="B2578" t="str">
            <v>HPE 5Y PC 24x7 3PAR 8K 1.2TB+SW HDD SVC</v>
          </cell>
          <cell r="C2578" t="str">
            <v>【HPEプロアクティブケア】メーカー推奨／低価格で国内専用窓口の高品質な保守により、システム運用における安心を提供します。</v>
          </cell>
        </row>
        <row r="2579">
          <cell r="A2579" t="str">
            <v>H6FQ8E</v>
          </cell>
          <cell r="B2579" t="str">
            <v>HPE 5Y PC 24x7 wDMR 3PAR 8K 1.2TB+SW SVC</v>
          </cell>
          <cell r="C2579" t="str">
            <v>【HPEプロアクティブケア】メーカー推奨／低価格で国内専用窓口の高品質な保守により、システム運用における安心を提供します。</v>
          </cell>
        </row>
        <row r="2580">
          <cell r="A2580" t="str">
            <v>H6FR5E</v>
          </cell>
          <cell r="B2580" t="str">
            <v>HPE 3Y PC 24x7 3PAR 8K 1.2TB+SW FE SVC</v>
          </cell>
          <cell r="C2580" t="str">
            <v>【HPEプロアクティブケア】メーカー推奨／低価格で国内専用窓口の高品質な保守により、システム運用における安心を提供します。</v>
          </cell>
        </row>
        <row r="2581">
          <cell r="A2581" t="str">
            <v>H6FR6E</v>
          </cell>
          <cell r="B2581" t="str">
            <v>HPE 3Y PC 24x7 wDMR 8K 1.2TB+SW FE SVC</v>
          </cell>
          <cell r="C2581" t="str">
            <v>【HPEプロアクティブケア】メーカー推奨／低価格で国内専用窓口の高品質な保守により、システム運用における安心を提供します。</v>
          </cell>
        </row>
        <row r="2582">
          <cell r="A2582" t="str">
            <v>H6FR9E</v>
          </cell>
          <cell r="B2582" t="str">
            <v>HPE 4Y PC 24x7 3PAR 8K 1.2TB+SW FE SVC</v>
          </cell>
          <cell r="C2582" t="str">
            <v>【HPEプロアクティブケア】メーカー推奨／低価格で国内専用窓口の高品質な保守により、システム運用における安心を提供します。</v>
          </cell>
        </row>
        <row r="2583">
          <cell r="A2583" t="str">
            <v>H6FS0E</v>
          </cell>
          <cell r="B2583" t="str">
            <v>HPE 4Y PC 24x7 wDMR 8K 1.2TB+SW FE SVC</v>
          </cell>
          <cell r="C2583" t="str">
            <v>【HPEプロアクティブケア】メーカー推奨／低価格で国内専用窓口の高品質な保守により、システム運用における安心を提供します。</v>
          </cell>
        </row>
        <row r="2584">
          <cell r="A2584" t="str">
            <v>H6FS3E</v>
          </cell>
          <cell r="B2584" t="str">
            <v>HPE 5Y PC 24x7 3PAR 8K 1.2TB+SW FE SVC</v>
          </cell>
          <cell r="C2584" t="str">
            <v>【HPEプロアクティブケア】メーカー推奨／低価格で国内専用窓口の高品質な保守により、システム運用における安心を提供します。</v>
          </cell>
        </row>
        <row r="2585">
          <cell r="A2585" t="str">
            <v>H6FS4E</v>
          </cell>
          <cell r="B2585" t="str">
            <v>HPE 5Y PC 24x7 wDMR 8K 1.2TB+SW FE SVC</v>
          </cell>
          <cell r="C2585" t="str">
            <v>【HPEプロアクティブケア】メーカー推奨／低価格で国内専用窓口の高品質な保守により、システム運用における安心を提供します。</v>
          </cell>
        </row>
        <row r="2586">
          <cell r="A2586" t="str">
            <v>H6FT1E</v>
          </cell>
          <cell r="B2586" t="str">
            <v>HPE 3Y PC 24x7 3PAR 8K 1.8TB+SW HDD SVC</v>
          </cell>
          <cell r="C2586" t="str">
            <v>【HPEプロアクティブケア】メーカー推奨／低価格で国内専用窓口の高品質な保守により、システム運用における安心を提供します。</v>
          </cell>
        </row>
        <row r="2587">
          <cell r="A2587" t="str">
            <v>H6FT2E</v>
          </cell>
          <cell r="B2587" t="str">
            <v>HPE 3Y PC 24x7 wDMR 3PAR 8K 1.8TB+SW SVC</v>
          </cell>
          <cell r="C2587" t="str">
            <v>【HPEプロアクティブケア】メーカー推奨／低価格で国内専用窓口の高品質な保守により、システム運用における安心を提供します。</v>
          </cell>
        </row>
        <row r="2588">
          <cell r="A2588" t="str">
            <v>H6FT5E</v>
          </cell>
          <cell r="B2588" t="str">
            <v>HPE 4Y PC 24x7 3PAR 8K 1.8TB+SW HDD SVC</v>
          </cell>
          <cell r="C2588" t="str">
            <v>【HPEプロアクティブケア】メーカー推奨／低価格で国内専用窓口の高品質な保守により、システム運用における安心を提供します。</v>
          </cell>
        </row>
        <row r="2589">
          <cell r="A2589" t="str">
            <v>H6FT6E</v>
          </cell>
          <cell r="B2589" t="str">
            <v>HPE 4Y PC 24x7 wDMR 3PAR 8K 1.8TB+SW SVC</v>
          </cell>
          <cell r="C2589" t="str">
            <v>【HPEプロアクティブケア】メーカー推奨／低価格で国内専用窓口の高品質な保守により、システム運用における安心を提供します。</v>
          </cell>
        </row>
        <row r="2590">
          <cell r="A2590" t="str">
            <v>H6FT9E</v>
          </cell>
          <cell r="B2590" t="str">
            <v>HPE 5Y PC 24x7 3PAR 8K 1.8TB+SW HDD SVC</v>
          </cell>
          <cell r="C2590" t="str">
            <v>【HPEプロアクティブケア】メーカー推奨／低価格で国内専用窓口の高品質な保守により、システム運用における安心を提供します。</v>
          </cell>
        </row>
        <row r="2591">
          <cell r="A2591" t="str">
            <v>H6FU0E</v>
          </cell>
          <cell r="B2591" t="str">
            <v>HPE 5Y PC 24x7 wDMR 3PAR 8K 1.8TB+SW SVC</v>
          </cell>
          <cell r="C2591" t="str">
            <v>【HPEプロアクティブケア】メーカー推奨／低価格で国内専用窓口の高品質な保守により、システム運用における安心を提供します。</v>
          </cell>
        </row>
        <row r="2592">
          <cell r="A2592" t="str">
            <v>H6FU7E</v>
          </cell>
          <cell r="B2592" t="str">
            <v>HPE 3Y PC 24x7 3PAR 8K 2TB+SW HDD SVC</v>
          </cell>
          <cell r="C2592" t="str">
            <v>【HPEプロアクティブケア】メーカー推奨／低価格で国内専用窓口の高品質な保守により、システム運用における安心を提供します。</v>
          </cell>
        </row>
        <row r="2593">
          <cell r="A2593" t="str">
            <v>H6FU8E</v>
          </cell>
          <cell r="B2593" t="str">
            <v>HPE 3Y PC 24x7 wDMR 3PAR 8K 2TB+SW SVC</v>
          </cell>
          <cell r="C2593" t="str">
            <v>【HPEプロアクティブケア】メーカー推奨／低価格で国内専用窓口の高品質な保守により、システム運用における安心を提供します。</v>
          </cell>
        </row>
        <row r="2594">
          <cell r="A2594" t="str">
            <v>H6FV1E</v>
          </cell>
          <cell r="B2594" t="str">
            <v>HPE 4Y PC 24x7 3PAR 8K 2TB+SW HDD SVC</v>
          </cell>
          <cell r="C2594" t="str">
            <v>【HPEプロアクティブケア】メーカー推奨／低価格で国内専用窓口の高品質な保守により、システム運用における安心を提供します。</v>
          </cell>
        </row>
        <row r="2595">
          <cell r="A2595" t="str">
            <v>H6FV2E</v>
          </cell>
          <cell r="B2595" t="str">
            <v>HPE 4Y PC 24x7 wDMR 3PAR 8K 2TB+SW SVC</v>
          </cell>
          <cell r="C2595" t="str">
            <v>【HPEプロアクティブケア】メーカー推奨／低価格で国内専用窓口の高品質な保守により、システム運用における安心を提供します。</v>
          </cell>
        </row>
        <row r="2596">
          <cell r="A2596" t="str">
            <v>H6FV5E</v>
          </cell>
          <cell r="B2596" t="str">
            <v>HPE 5Y PC 24x7 3PAR 8K 2TB+SW HDD SVC</v>
          </cell>
          <cell r="C2596" t="str">
            <v>【HPEプロアクティブケア】メーカー推奨／低価格で国内専用窓口の高品質な保守により、システム運用における安心を提供します。</v>
          </cell>
        </row>
        <row r="2597">
          <cell r="A2597" t="str">
            <v>H6FV6E</v>
          </cell>
          <cell r="B2597" t="str">
            <v>HPE 5Y PC 24x7 wDMR 3PAR 8K 2TB+SW SVC</v>
          </cell>
          <cell r="C2597" t="str">
            <v>【HPEプロアクティブケア】メーカー推奨／低価格で国内専用窓口の高品質な保守により、システム運用における安心を提供します。</v>
          </cell>
        </row>
        <row r="2598">
          <cell r="A2598" t="str">
            <v>H6FW3E</v>
          </cell>
          <cell r="B2598" t="str">
            <v>HPE 3Y PC 24x7 3PAR 8K 2TB+SW HDD SVC</v>
          </cell>
          <cell r="C2598" t="str">
            <v>【HPEプロアクティブケア】メーカー推奨／低価格で国内専用窓口の高品質な保守により、システム運用における安心を提供します。</v>
          </cell>
        </row>
        <row r="2599">
          <cell r="A2599" t="str">
            <v>H6FW4E</v>
          </cell>
          <cell r="B2599" t="str">
            <v>HPE 3Y PC 24x7 wDMR 3PAR 8K 2TB+SW SVC</v>
          </cell>
          <cell r="C2599" t="str">
            <v>【HPEプロアクティブケア】メーカー推奨／低価格で国内専用窓口の高品質な保守により、システム運用における安心を提供します。</v>
          </cell>
        </row>
        <row r="2600">
          <cell r="A2600" t="str">
            <v>H6FW7E</v>
          </cell>
          <cell r="B2600" t="str">
            <v>HPE 4Y PC 24x7 3PAR 8K 2TB+SW HDD SVC</v>
          </cell>
          <cell r="C2600" t="str">
            <v>【HPEプロアクティブケア】メーカー推奨／低価格で国内専用窓口の高品質な保守により、システム運用における安心を提供します。</v>
          </cell>
        </row>
        <row r="2601">
          <cell r="A2601" t="str">
            <v>H6FW8E</v>
          </cell>
          <cell r="B2601" t="str">
            <v>HPE 4Y PC 24x7 wDMR 3PAR 8K 2TB+SW SVC</v>
          </cell>
          <cell r="C2601" t="str">
            <v>【HPEプロアクティブケア】メーカー推奨／低価格で国内専用窓口の高品質な保守により、システム運用における安心を提供します。</v>
          </cell>
        </row>
        <row r="2602">
          <cell r="A2602" t="str">
            <v>H6FX1E</v>
          </cell>
          <cell r="B2602" t="str">
            <v>HPE 5Y PC 24x7 3PAR 8K 2TB+SW HDD SVC</v>
          </cell>
          <cell r="C2602" t="str">
            <v>【HPEプロアクティブケア】メーカー推奨／低価格で国内専用窓口の高品質な保守により、システム運用における安心を提供します。</v>
          </cell>
        </row>
        <row r="2603">
          <cell r="A2603" t="str">
            <v>H6FX2E</v>
          </cell>
          <cell r="B2603" t="str">
            <v>HPE 5Y PC 24x7 wDMR 3PAR 8K 2TB+SW SVC</v>
          </cell>
          <cell r="C2603" t="str">
            <v>【HPEプロアクティブケア】メーカー推奨／低価格で国内専用窓口の高品質な保守により、システム運用における安心を提供します。</v>
          </cell>
        </row>
        <row r="2604">
          <cell r="A2604" t="str">
            <v>H6FX9E</v>
          </cell>
          <cell r="B2604" t="str">
            <v>HPE 3Y PC 24x7 3PAR 8K 4TB+SW HDD SVC</v>
          </cell>
          <cell r="C2604" t="str">
            <v>【HPEプロアクティブケア】メーカー推奨／低価格で国内専用窓口の高品質な保守により、システム運用における安心を提供します。</v>
          </cell>
        </row>
        <row r="2605">
          <cell r="A2605" t="str">
            <v>H6FY0E</v>
          </cell>
          <cell r="B2605" t="str">
            <v>HPE 3Y PC 24x7 wDMR 3PAR 8K 4TB+SW SVC</v>
          </cell>
          <cell r="C2605" t="str">
            <v>【HPEプロアクティブケア】メーカー推奨／低価格で国内専用窓口の高品質な保守により、システム運用における安心を提供します。</v>
          </cell>
        </row>
        <row r="2606">
          <cell r="A2606" t="str">
            <v>H6FY3E</v>
          </cell>
          <cell r="B2606" t="str">
            <v>HPE 4Y PC 24x7 3PAR 8K 4TB+SW HDD SVC</v>
          </cell>
          <cell r="C2606" t="str">
            <v>【HPEプロアクティブケア】メーカー推奨／低価格で国内専用窓口の高品質な保守により、システム運用における安心を提供します。</v>
          </cell>
        </row>
        <row r="2607">
          <cell r="A2607" t="str">
            <v>H6FY4E</v>
          </cell>
          <cell r="B2607" t="str">
            <v>HPE 4Y PC 24x7 wDMR 3PAR 8K 4TB+SW SVC</v>
          </cell>
          <cell r="C2607" t="str">
            <v>【HPEプロアクティブケア】メーカー推奨／低価格で国内専用窓口の高品質な保守により、システム運用における安心を提供します。</v>
          </cell>
        </row>
        <row r="2608">
          <cell r="A2608" t="str">
            <v>H6FY7E</v>
          </cell>
          <cell r="B2608" t="str">
            <v>HPE 5Y PC 24x7 3PAR 8K 4TB+SW HDD SVC</v>
          </cell>
          <cell r="C2608" t="str">
            <v>【HPEプロアクティブケア】メーカー推奨／低価格で国内専用窓口の高品質な保守により、システム運用における安心を提供します。</v>
          </cell>
        </row>
        <row r="2609">
          <cell r="A2609" t="str">
            <v>H6FY8E</v>
          </cell>
          <cell r="B2609" t="str">
            <v>HPE 5Y PC 24x7 wDMR 3PAR 8K 4TB+SW SVC</v>
          </cell>
          <cell r="C2609" t="str">
            <v>【HPEプロアクティブケア】メーカー推奨／低価格で国内専用窓口の高品質な保守により、システム運用における安心を提供します。</v>
          </cell>
        </row>
        <row r="2610">
          <cell r="A2610" t="str">
            <v>H6FZ5E</v>
          </cell>
          <cell r="B2610" t="str">
            <v>HPE 3Y PC 24x7 3PAR 8K 6TB+SW HDD SVC</v>
          </cell>
          <cell r="C2610" t="str">
            <v>【HPEプロアクティブケア】メーカー推奨／低価格で国内専用窓口の高品質な保守により、システム運用における安心を提供します。</v>
          </cell>
        </row>
        <row r="2611">
          <cell r="A2611" t="str">
            <v>H6FZ6E</v>
          </cell>
          <cell r="B2611" t="str">
            <v>HPE 3Y PC 24x7 wDMR 3PAR 8K 6TB+SW SVC</v>
          </cell>
          <cell r="C2611" t="str">
            <v>【HPEプロアクティブケア】メーカー推奨／低価格で国内専用窓口の高品質な保守により、システム運用における安心を提供します。</v>
          </cell>
        </row>
        <row r="2612">
          <cell r="A2612" t="str">
            <v>H6FZ9E</v>
          </cell>
          <cell r="B2612" t="str">
            <v>HPE 4Y PC 24x7 3PAR 8K 6TB+SW HDD SVC</v>
          </cell>
          <cell r="C2612" t="str">
            <v>【HPEプロアクティブケア】メーカー推奨／低価格で国内専用窓口の高品質な保守により、システム運用における安心を提供します。</v>
          </cell>
        </row>
        <row r="2613">
          <cell r="A2613" t="str">
            <v>H6GA0E</v>
          </cell>
          <cell r="B2613" t="str">
            <v>HPE 4Y PC 24x7 wDMR 3PAR 8K 6TB+SW SVC</v>
          </cell>
          <cell r="C2613" t="str">
            <v>【HPEプロアクティブケア】メーカー推奨／低価格で国内専用窓口の高品質な保守により、システム運用における安心を提供します。</v>
          </cell>
        </row>
        <row r="2614">
          <cell r="A2614" t="str">
            <v>H6GA3E</v>
          </cell>
          <cell r="B2614" t="str">
            <v>HPE 5Y PC 24x7 3PAR 8K 6TB+SW HDD SVC</v>
          </cell>
          <cell r="C2614" t="str">
            <v>【HPEプロアクティブケア】メーカー推奨／低価格で国内専用窓口の高品質な保守により、システム運用における安心を提供します。</v>
          </cell>
        </row>
        <row r="2615">
          <cell r="A2615" t="str">
            <v>H6GA4E</v>
          </cell>
          <cell r="B2615" t="str">
            <v>HPE 5Y PC 24x7 wDMR 3PAR 8K 6TB+SW SVC</v>
          </cell>
          <cell r="C2615" t="str">
            <v>【HPEプロアクティブケア】メーカー推奨／低価格で国内専用窓口の高品質な保守により、システム運用における安心を提供します。</v>
          </cell>
        </row>
        <row r="2616">
          <cell r="A2616" t="str">
            <v>H6GB1E</v>
          </cell>
          <cell r="B2616" t="str">
            <v>HPE 3Y PC 24x7 3PAR 8K 6TB+SW FE HDD SVC</v>
          </cell>
          <cell r="C2616" t="str">
            <v>【HPEプロアクティブケア】メーカー推奨／低価格で国内専用窓口の高品質な保守により、システム運用における安心を提供します。</v>
          </cell>
        </row>
        <row r="2617">
          <cell r="A2617" t="str">
            <v>H6GB2E</v>
          </cell>
          <cell r="B2617" t="str">
            <v>HPE 3Y PC 24x7 wDMR 3PAR 8K6TB+SWFE SVC</v>
          </cell>
          <cell r="C2617" t="str">
            <v>【HPEプロアクティブケア】メーカー推奨／低価格で国内専用窓口の高品質な保守により、システム運用における安心を提供します。</v>
          </cell>
        </row>
        <row r="2618">
          <cell r="A2618" t="str">
            <v>H6GB5E</v>
          </cell>
          <cell r="B2618" t="str">
            <v>HPE 4Y PC 24x7 3PAR 8K 6TB+SW FE HDD SVC</v>
          </cell>
          <cell r="C2618" t="str">
            <v>【HPEプロアクティブケア】メーカー推奨／低価格で国内専用窓口の高品質な保守により、システム運用における安心を提供します。</v>
          </cell>
        </row>
        <row r="2619">
          <cell r="A2619" t="str">
            <v>H6GB6E</v>
          </cell>
          <cell r="B2619" t="str">
            <v>HPE 4Y PC 24x7 wDMR 3PAR 8K6TB+SWFE SVC</v>
          </cell>
          <cell r="C2619" t="str">
            <v>【HPEプロアクティブケア】メーカー推奨／低価格で国内専用窓口の高品質な保守により、システム運用における安心を提供します。</v>
          </cell>
        </row>
        <row r="2620">
          <cell r="A2620" t="str">
            <v>H6GB9E</v>
          </cell>
          <cell r="B2620" t="str">
            <v>HPE 5Y PC 24x7 3PAR 8K 6TB+SW FE HDD SVC</v>
          </cell>
          <cell r="C2620" t="str">
            <v>【HPEプロアクティブケア】メーカー推奨／低価格で国内専用窓口の高品質な保守により、システム運用における安心を提供します。</v>
          </cell>
        </row>
        <row r="2621">
          <cell r="A2621" t="str">
            <v>H6GC0E</v>
          </cell>
          <cell r="B2621" t="str">
            <v>HPE 5Y PC 24x7 wDMR 3PAR 8K6TB+SWFE SVC</v>
          </cell>
          <cell r="C2621" t="str">
            <v>【HPEプロアクティブケア】メーカー推奨／低価格で国内専用窓口の高品質な保守により、システム運用における安心を提供します。</v>
          </cell>
        </row>
        <row r="2622">
          <cell r="A2622" t="str">
            <v>H6GE3E</v>
          </cell>
          <cell r="B2622" t="str">
            <v>HPE 3Y PC 24x7 3PAR 8K 4TB+SW FE HDD SVC</v>
          </cell>
          <cell r="C2622" t="str">
            <v>【HPEプロアクティブケア】メーカー推奨／低価格で国内専用窓口の高品質な保守により、システム運用における安心を提供します。</v>
          </cell>
        </row>
        <row r="2623">
          <cell r="A2623" t="str">
            <v>H6GE4E</v>
          </cell>
          <cell r="B2623" t="str">
            <v>HPE 3Y PC 24x7 wDMR 3PAR 8K4TB+SWFE SVC</v>
          </cell>
          <cell r="C2623" t="str">
            <v>【HPEプロアクティブケア】メーカー推奨／低価格で国内専用窓口の高品質な保守により、システム運用における安心を提供します。</v>
          </cell>
        </row>
        <row r="2624">
          <cell r="A2624" t="str">
            <v>H6GE7E</v>
          </cell>
          <cell r="B2624" t="str">
            <v>HPE 4Y PC 24x7 3PAR 8K 4TB+SW FE HDD SVC</v>
          </cell>
          <cell r="C2624" t="str">
            <v>【HPEプロアクティブケア】メーカー推奨／低価格で国内専用窓口の高品質な保守により、システム運用における安心を提供します。</v>
          </cell>
        </row>
        <row r="2625">
          <cell r="A2625" t="str">
            <v>H6GE8E</v>
          </cell>
          <cell r="B2625" t="str">
            <v>HPE 4Y PC 24x7 wDMR 3PAR 8K4TB+SWFE SVC</v>
          </cell>
          <cell r="C2625" t="str">
            <v>【HPEプロアクティブケア】メーカー推奨／低価格で国内専用窓口の高品質な保守により、システム運用における安心を提供します。</v>
          </cell>
        </row>
        <row r="2626">
          <cell r="A2626" t="str">
            <v>H6GF1E</v>
          </cell>
          <cell r="B2626" t="str">
            <v>HPE 5Y PC 24x7 3PAR 8K 4TB+SW FE HDD SVC</v>
          </cell>
          <cell r="C2626" t="str">
            <v>【HPEプロアクティブケア】メーカー推奨／低価格で国内専用窓口の高品質な保守により、システム運用における安心を提供します。</v>
          </cell>
        </row>
        <row r="2627">
          <cell r="A2627" t="str">
            <v>H6GF2E</v>
          </cell>
          <cell r="B2627" t="str">
            <v>HPE 5Y PC 24x7 wDMR 3PAR 8K4TB+SWFE SVC</v>
          </cell>
          <cell r="C2627" t="str">
            <v>【HPEプロアクティブケア】メーカー推奨／低価格で国内専用窓口の高品質な保守により、システム運用における安心を提供します。</v>
          </cell>
        </row>
        <row r="2628">
          <cell r="A2628" t="str">
            <v>H6GF9E</v>
          </cell>
          <cell r="B2628" t="str">
            <v>HPE 3Y PC 24x7 3PAR 8K 8TB+SW HDD SVC</v>
          </cell>
          <cell r="C2628" t="str">
            <v>【HPEプロアクティブケア】メーカー推奨／低価格で国内専用窓口の高品質な保守により、システム運用における安心を提供します。</v>
          </cell>
        </row>
        <row r="2629">
          <cell r="A2629" t="str">
            <v>H6GG0E</v>
          </cell>
          <cell r="B2629" t="str">
            <v>HPE 3Y PC 24x7 wDMR 3PAR 8K 8TB+SW SVC</v>
          </cell>
          <cell r="C2629" t="str">
            <v>【HPEプロアクティブケア】メーカー推奨／低価格で国内専用窓口の高品質な保守により、システム運用における安心を提供します。</v>
          </cell>
        </row>
        <row r="2630">
          <cell r="A2630" t="str">
            <v>H6GG3E</v>
          </cell>
          <cell r="B2630" t="str">
            <v>HPE 4Y PC 24x7 3PAR 8K 8TB+SW HDD SVC</v>
          </cell>
          <cell r="C2630" t="str">
            <v>【HPEプロアクティブケア】メーカー推奨／低価格で国内専用窓口の高品質な保守により、システム運用における安心を提供します。</v>
          </cell>
        </row>
        <row r="2631">
          <cell r="A2631" t="str">
            <v>H6GG4E</v>
          </cell>
          <cell r="B2631" t="str">
            <v>HPE 4Y PC 24x7 wDMR 3PAR 8K 8TB+SW SVC</v>
          </cell>
          <cell r="C2631" t="str">
            <v>【HPEプロアクティブケア】メーカー推奨／低価格で国内専用窓口の高品質な保守により、システム運用における安心を提供します。</v>
          </cell>
        </row>
        <row r="2632">
          <cell r="A2632" t="str">
            <v>H6GG7E</v>
          </cell>
          <cell r="B2632" t="str">
            <v>HPE 5Y PC 24x7 3PAR 8K 8TB+SW HDD SVC</v>
          </cell>
          <cell r="C2632" t="str">
            <v>【HPEプロアクティブケア】メーカー推奨／低価格で国内専用窓口の高品質な保守により、システム運用における安心を提供します。</v>
          </cell>
        </row>
        <row r="2633">
          <cell r="A2633" t="str">
            <v>H6GG8E</v>
          </cell>
          <cell r="B2633" t="str">
            <v>HPE 5Y PC 24x7 wDMR 3PAR 8K 8TB+SW SVC</v>
          </cell>
          <cell r="C2633" t="str">
            <v>【HPEプロアクティブケア】メーカー推奨／低価格で国内専用窓口の高品質な保守により、システム運用における安心を提供します。</v>
          </cell>
        </row>
        <row r="2634">
          <cell r="A2634" t="str">
            <v>H6GH5E</v>
          </cell>
          <cell r="B2634" t="str">
            <v>HPE 3Y PC 24x7 3PAR 8K 8TB+SW FE HDD SVC</v>
          </cell>
          <cell r="C2634" t="str">
            <v>【HPEプロアクティブケア】メーカー推奨／低価格で国内専用窓口の高品質な保守により、システム運用における安心を提供します。</v>
          </cell>
        </row>
        <row r="2635">
          <cell r="A2635" t="str">
            <v>H6GH6E</v>
          </cell>
          <cell r="B2635" t="str">
            <v>HPE 3Y PC 24x7 wDMR 3PAR 8K8TB+SWFE SVC</v>
          </cell>
          <cell r="C2635" t="str">
            <v>【HPEプロアクティブケア】メーカー推奨／低価格で国内専用窓口の高品質な保守により、システム運用における安心を提供します。</v>
          </cell>
        </row>
        <row r="2636">
          <cell r="A2636" t="str">
            <v>H6GH9E</v>
          </cell>
          <cell r="B2636" t="str">
            <v>HPE 4Y PC 24x7 3PAR 8K 8TB+SW FE HDD SVC</v>
          </cell>
          <cell r="C2636" t="str">
            <v>【HPEプロアクティブケア】メーカー推奨／低価格で国内専用窓口の高品質な保守により、システム運用における安心を提供します。</v>
          </cell>
        </row>
        <row r="2637">
          <cell r="A2637" t="str">
            <v>H6GJ0E</v>
          </cell>
          <cell r="B2637" t="str">
            <v>HPE 4Y PC 24x7 wDMR 3PAR 8K8TB+SWFE SVC</v>
          </cell>
          <cell r="C2637" t="str">
            <v>【HPEプロアクティブケア】メーカー推奨／低価格で国内専用窓口の高品質な保守により、システム運用における安心を提供します。</v>
          </cell>
        </row>
        <row r="2638">
          <cell r="A2638" t="str">
            <v>H6GJ3E</v>
          </cell>
          <cell r="B2638" t="str">
            <v>HPE 5Y PC 24x7 3PAR 8K 8TB+SW FE HDD SVC</v>
          </cell>
          <cell r="C2638" t="str">
            <v>【HPEプロアクティブケア】メーカー推奨／低価格で国内専用窓口の高品質な保守により、システム運用における安心を提供します。</v>
          </cell>
        </row>
        <row r="2639">
          <cell r="A2639" t="str">
            <v>H6GJ4E</v>
          </cell>
          <cell r="B2639" t="str">
            <v>HPE 5Y PC 24x7 wDMR 3PAR 8K8TB+SWFE SVC</v>
          </cell>
          <cell r="C2639" t="str">
            <v>【HPEプロアクティブケア】メーカー推奨／低価格で国内専用窓口の高品質な保守により、システム運用における安心を提供します。</v>
          </cell>
        </row>
        <row r="2640">
          <cell r="A2640" t="str">
            <v>H6GK1E</v>
          </cell>
          <cell r="B2640" t="str">
            <v>HPE 3Y PC 24x7 3PAR 8K 400GB+SW SSD SVC</v>
          </cell>
          <cell r="C2640" t="str">
            <v>【HPEプロアクティブケア】メーカー推奨／低価格で国内専用窓口の高品質な保守により、システム運用における安心を提供します。</v>
          </cell>
        </row>
        <row r="2641">
          <cell r="A2641" t="str">
            <v>H6GK2E</v>
          </cell>
          <cell r="B2641" t="str">
            <v>HPE 3Y PC 24x7 wDMR 3PAR 8K 400GB+SW SVC</v>
          </cell>
          <cell r="C2641" t="str">
            <v>【HPEプロアクティブケア】メーカー推奨／低価格で国内専用窓口の高品質な保守により、システム運用における安心を提供します。</v>
          </cell>
        </row>
        <row r="2642">
          <cell r="A2642" t="str">
            <v>H6GK5E</v>
          </cell>
          <cell r="B2642" t="str">
            <v>HPE 4Y PC 24x7 3PAR 8K 400GB+SW SSD SVC</v>
          </cell>
          <cell r="C2642" t="str">
            <v>【HPEプロアクティブケア】メーカー推奨／低価格で国内専用窓口の高品質な保守により、システム運用における安心を提供します。</v>
          </cell>
        </row>
        <row r="2643">
          <cell r="A2643" t="str">
            <v>H6GK6E</v>
          </cell>
          <cell r="B2643" t="str">
            <v>HPE 4Y PC 24x7 wDMR 3PAR 8K 400GB+SW SVC</v>
          </cell>
          <cell r="C2643" t="str">
            <v>【HPEプロアクティブケア】メーカー推奨／低価格で国内専用窓口の高品質な保守により、システム運用における安心を提供します。</v>
          </cell>
        </row>
        <row r="2644">
          <cell r="A2644" t="str">
            <v>H6GK9E</v>
          </cell>
          <cell r="B2644" t="str">
            <v>HPE 5Y PC 24x7 3PAR 8K 400GB+SW SSD SVC</v>
          </cell>
          <cell r="C2644" t="str">
            <v>【HPEプロアクティブケア】メーカー推奨／低価格で国内専用窓口の高品質な保守により、システム運用における安心を提供します。</v>
          </cell>
        </row>
        <row r="2645">
          <cell r="A2645" t="str">
            <v>H6GL0E</v>
          </cell>
          <cell r="B2645" t="str">
            <v>HPE 5Y PC 24x7 wDMR 3PAR 8K 400GB+SW SVC</v>
          </cell>
          <cell r="C2645" t="str">
            <v>【HPEプロアクティブケア】メーカー推奨／低価格で国内専用窓口の高品質な保守により、システム運用における安心を提供します。</v>
          </cell>
        </row>
        <row r="2646">
          <cell r="A2646" t="str">
            <v>H6GL7E</v>
          </cell>
          <cell r="B2646" t="str">
            <v>HPE 3Y PC 24x7 3PAR 8K 480GB+SW SSD SVC</v>
          </cell>
          <cell r="C2646" t="str">
            <v>【HPEプロアクティブケア】メーカー推奨／低価格で国内専用窓口の高品質な保守により、システム運用における安心を提供します。</v>
          </cell>
        </row>
        <row r="2647">
          <cell r="A2647" t="str">
            <v>H6GL8E</v>
          </cell>
          <cell r="B2647" t="str">
            <v>HPE 3Y PC 24x7 wDMR 3PAR 8K 480GB+SW SVC</v>
          </cell>
          <cell r="C2647" t="str">
            <v>【HPEプロアクティブケア】メーカー推奨／低価格で国内専用窓口の高品質な保守により、システム運用における安心を提供します。</v>
          </cell>
        </row>
        <row r="2648">
          <cell r="A2648" t="str">
            <v>H6GM1E</v>
          </cell>
          <cell r="B2648" t="str">
            <v>HPE 4Y PC 24x7 3PAR 8K 480GB+SW SSD SVC</v>
          </cell>
          <cell r="C2648" t="str">
            <v>【HPEプロアクティブケア】メーカー推奨／低価格で国内専用窓口の高品質な保守により、システム運用における安心を提供します。</v>
          </cell>
        </row>
        <row r="2649">
          <cell r="A2649" t="str">
            <v>H6GM2E</v>
          </cell>
          <cell r="B2649" t="str">
            <v>HPE 4Y PC 24x7 wDMR 3PAR 8K 480GB+SW SVC</v>
          </cell>
          <cell r="C2649" t="str">
            <v>【HPEプロアクティブケア】メーカー推奨／低価格で国内専用窓口の高品質な保守により、システム運用における安心を提供します。</v>
          </cell>
        </row>
        <row r="2650">
          <cell r="A2650" t="str">
            <v>H6GM5E</v>
          </cell>
          <cell r="B2650" t="str">
            <v>HPE 5Y PC 24x7 3PAR 8K 480GB+SW SSD SVC</v>
          </cell>
          <cell r="C2650" t="str">
            <v>【HPEプロアクティブケア】メーカー推奨／低価格で国内専用窓口の高品質な保守により、システム運用における安心を提供します。</v>
          </cell>
        </row>
        <row r="2651">
          <cell r="A2651" t="str">
            <v>H6GM6E</v>
          </cell>
          <cell r="B2651" t="str">
            <v>HPE 5Y PC 24x7 wDMR 3PAR 8K 480GB+SW SVC</v>
          </cell>
          <cell r="C2651" t="str">
            <v>【HPEプロアクティブケア】メーカー推奨／低価格で国内専用窓口の高品質な保守により、システム運用における安心を提供します。</v>
          </cell>
        </row>
        <row r="2652">
          <cell r="A2652" t="str">
            <v>H6GN3E</v>
          </cell>
          <cell r="B2652" t="str">
            <v>HPE 3Y PC 24x7 3PAR 8K 3.84TB+SW FE  SVC</v>
          </cell>
          <cell r="C2652" t="str">
            <v>【HPEプロアクティブケア】メーカー推奨／低価格で国内専用窓口の高品質な保守により、システム運用における安心を提供します。</v>
          </cell>
        </row>
        <row r="2653">
          <cell r="A2653" t="str">
            <v>H6GN4E</v>
          </cell>
          <cell r="B2653" t="str">
            <v>HPE 3Y PC 24x7 wDMR  8K 3.84TB+SW FE SVC</v>
          </cell>
          <cell r="C2653" t="str">
            <v>【HPEプロアクティブケア】メーカー推奨／低価格で国内専用窓口の高品質な保守により、システム運用における安心を提供します。</v>
          </cell>
        </row>
        <row r="2654">
          <cell r="A2654" t="str">
            <v>H6GN7E</v>
          </cell>
          <cell r="B2654" t="str">
            <v>HPE 4Y PC 24x7 3PAR 8K 3.84TB+SW FE  SVC</v>
          </cell>
          <cell r="C2654" t="str">
            <v>【HPEプロアクティブケア】メーカー推奨／低価格で国内専用窓口の高品質な保守により、システム運用における安心を提供します。</v>
          </cell>
        </row>
        <row r="2655">
          <cell r="A2655" t="str">
            <v>H6GN8E</v>
          </cell>
          <cell r="B2655" t="str">
            <v>HPE 4Y PC 24x7 wDMR  8K 3.84TB+SW FE SVC</v>
          </cell>
          <cell r="C2655" t="str">
            <v>【HPEプロアクティブケア】メーカー推奨／低価格で国内専用窓口の高品質な保守により、システム運用における安心を提供します。</v>
          </cell>
        </row>
        <row r="2656">
          <cell r="A2656" t="str">
            <v>H6GP1E</v>
          </cell>
          <cell r="B2656" t="str">
            <v>HPE 5Y PC 24x7 3PAR 8K 3.84TB+SW FE  SVC</v>
          </cell>
          <cell r="C2656" t="str">
            <v>【HPEプロアクティブケア】メーカー推奨／低価格で国内専用窓口の高品質な保守により、システム運用における安心を提供します。</v>
          </cell>
        </row>
        <row r="2657">
          <cell r="A2657" t="str">
            <v>H6GP2E</v>
          </cell>
          <cell r="B2657" t="str">
            <v>HPE 5Y PC 24x7 wDMR  8K 3.84TB+SW FE SVC</v>
          </cell>
          <cell r="C2657" t="str">
            <v>【HPEプロアクティブケア】メーカー推奨／低価格で国内専用窓口の高品質な保守により、システム運用における安心を提供します。</v>
          </cell>
        </row>
        <row r="2658">
          <cell r="A2658" t="str">
            <v>H6GP9E</v>
          </cell>
          <cell r="B2658" t="str">
            <v>HPE 3Y PC 24x7 3PAR 8K 7.68TB+SW FE  SVC</v>
          </cell>
          <cell r="C2658" t="str">
            <v>【HPEプロアクティブケア】メーカー推奨／低価格で国内専用窓口の高品質な保守により、システム運用における安心を提供します。</v>
          </cell>
        </row>
        <row r="2659">
          <cell r="A2659" t="str">
            <v>H6GQ0E</v>
          </cell>
          <cell r="B2659" t="str">
            <v>HPE 3Y PC 24x7 wDMR  8K 7.68TB+SW FE SVC</v>
          </cell>
          <cell r="C2659" t="str">
            <v>【HPEプロアクティブケア】メーカー推奨／低価格で国内専用窓口の高品質な保守により、システム運用における安心を提供します。</v>
          </cell>
        </row>
        <row r="2660">
          <cell r="A2660" t="str">
            <v>H6GQ3E</v>
          </cell>
          <cell r="B2660" t="str">
            <v>HPE 4Y PC 24x7 3PAR 8K 7.68TB+SW FE  SVC</v>
          </cell>
          <cell r="C2660" t="str">
            <v>【HPEプロアクティブケア】メーカー推奨／低価格で国内専用窓口の高品質な保守により、システム運用における安心を提供します。</v>
          </cell>
        </row>
        <row r="2661">
          <cell r="A2661" t="str">
            <v>H6GQ4E</v>
          </cell>
          <cell r="B2661" t="str">
            <v>HPE 4Y PC 24x7 wDMR  8K 7.68TB+SW FE SVC</v>
          </cell>
          <cell r="C2661" t="str">
            <v>【HPEプロアクティブケア】メーカー推奨／低価格で国内専用窓口の高品質な保守により、システム運用における安心を提供します。</v>
          </cell>
        </row>
        <row r="2662">
          <cell r="A2662" t="str">
            <v>H6GQ7E</v>
          </cell>
          <cell r="B2662" t="str">
            <v>HPE 5Y PC 24x7 3PAR 8K 7.68TB+SW FE  SVC</v>
          </cell>
          <cell r="C2662" t="str">
            <v>【HPEプロアクティブケア】メーカー推奨／低価格で国内専用窓口の高品質な保守により、システム運用における安心を提供します。</v>
          </cell>
        </row>
        <row r="2663">
          <cell r="A2663" t="str">
            <v>H6GQ8E</v>
          </cell>
          <cell r="B2663" t="str">
            <v>HPE 5Y PC 24x7 wDMR  8K 7.68TB+SW FE SVC</v>
          </cell>
          <cell r="C2663" t="str">
            <v>【HPEプロアクティブケア】メーカー推奨／低価格で国内専用窓口の高品質な保守により、システム運用における安心を提供します。</v>
          </cell>
        </row>
        <row r="2664">
          <cell r="A2664" t="str">
            <v>H6GR5E</v>
          </cell>
          <cell r="B2664" t="str">
            <v>HPE 3Y PC 24x7 3PAR 8K 920GB+SW FE  SVC</v>
          </cell>
          <cell r="C2664" t="str">
            <v>【HPEプロアクティブケア】メーカー推奨／低価格で国内専用窓口の高品質な保守により、システム運用における安心を提供します。</v>
          </cell>
        </row>
        <row r="2665">
          <cell r="A2665" t="str">
            <v>H6GR6E</v>
          </cell>
          <cell r="B2665" t="str">
            <v>HPE 3Y PC 24x7 wDMR  8K 920GB+SW FE SVC</v>
          </cell>
          <cell r="C2665" t="str">
            <v>【HPEプロアクティブケア】メーカー推奨／低価格で国内専用窓口の高品質な保守により、システム運用における安心を提供します。</v>
          </cell>
        </row>
        <row r="2666">
          <cell r="A2666" t="str">
            <v>H6GR9E</v>
          </cell>
          <cell r="B2666" t="str">
            <v>HPE 4Y PC 24x7 3PAR 8K 920GB+SW FE  SVC</v>
          </cell>
          <cell r="C2666" t="str">
            <v>【HPEプロアクティブケア】メーカー推奨／低価格で国内専用窓口の高品質な保守により、システム運用における安心を提供します。</v>
          </cell>
        </row>
        <row r="2667">
          <cell r="A2667" t="str">
            <v>H6GS0E</v>
          </cell>
          <cell r="B2667" t="str">
            <v>HPE 4Y PC 24x7 wDMR  8K 920GB+SW FE SVC</v>
          </cell>
          <cell r="C2667" t="str">
            <v>【HPEプロアクティブケア】メーカー推奨／低価格で国内専用窓口の高品質な保守により、システム運用における安心を提供します。</v>
          </cell>
        </row>
        <row r="2668">
          <cell r="A2668" t="str">
            <v>H6GS3E</v>
          </cell>
          <cell r="B2668" t="str">
            <v>HPE 5Y PC 24x7 3PAR 8K 920GB+SW FE  SVC</v>
          </cell>
          <cell r="C2668" t="str">
            <v>【HPEプロアクティブケア】メーカー推奨／低価格で国内専用窓口の高品質な保守により、システム運用における安心を提供します。</v>
          </cell>
        </row>
        <row r="2669">
          <cell r="A2669" t="str">
            <v>H6GS4E</v>
          </cell>
          <cell r="B2669" t="str">
            <v>HPE 5Y PC 24x7 wDMR  8K 920GB+SW FE SVC</v>
          </cell>
          <cell r="C2669" t="str">
            <v>【HPEプロアクティブケア】メーカー推奨／低価格で国内専用窓口の高品質な保守により、システム運用における安心を提供します。</v>
          </cell>
        </row>
        <row r="2670">
          <cell r="A2670" t="str">
            <v>H6GT1E</v>
          </cell>
          <cell r="B2670" t="str">
            <v>HPE 3Y PC 24x7 3PAR 8K 1.92TB+SW SSD SVC</v>
          </cell>
          <cell r="C2670" t="str">
            <v>【HPEプロアクティブケア】メーカー推奨／低価格で国内専用窓口の高品質な保守により、システム運用における安心を提供します。</v>
          </cell>
        </row>
        <row r="2671">
          <cell r="A2671" t="str">
            <v>H6GT2E</v>
          </cell>
          <cell r="B2671" t="str">
            <v>HPE 3Y PC 24x7 wDMR  8K 1.92TB+SW SVC</v>
          </cell>
          <cell r="C2671" t="str">
            <v>【HPEプロアクティブケア】メーカー推奨／低価格で国内専用窓口の高品質な保守により、システム運用における安心を提供します。</v>
          </cell>
        </row>
        <row r="2672">
          <cell r="A2672" t="str">
            <v>H6GT5E</v>
          </cell>
          <cell r="B2672" t="str">
            <v>HPE 4Y PC 24x7 3PAR 8K 1.92TB+SW SSD SVC</v>
          </cell>
          <cell r="C2672" t="str">
            <v>【HPEプロアクティブケア】メーカー推奨／低価格で国内専用窓口の高品質な保守により、システム運用における安心を提供します。</v>
          </cell>
        </row>
        <row r="2673">
          <cell r="A2673" t="str">
            <v>H6GT6E</v>
          </cell>
          <cell r="B2673" t="str">
            <v>HPE 4Y PC 24x7 wDMR  8K 1.92TB+SW SVC</v>
          </cell>
          <cell r="C2673" t="str">
            <v>【HPEプロアクティブケア】メーカー推奨／低価格で国内専用窓口の高品質な保守により、システム運用における安心を提供します。</v>
          </cell>
        </row>
        <row r="2674">
          <cell r="A2674" t="str">
            <v>H6GT9E</v>
          </cell>
          <cell r="B2674" t="str">
            <v>HPE 5Y PC 24x7 3PAR 8K 1.92TB+SW SSD SVC</v>
          </cell>
          <cell r="C2674" t="str">
            <v>【HPEプロアクティブケア】メーカー推奨／低価格で国内専用窓口の高品質な保守により、システム運用における安心を提供します。</v>
          </cell>
        </row>
        <row r="2675">
          <cell r="A2675" t="str">
            <v>H6GU0E</v>
          </cell>
          <cell r="B2675" t="str">
            <v>HPE 5Y PC 24x7 wDMR  8K 1.92TB+SW SVC</v>
          </cell>
          <cell r="C2675" t="str">
            <v>【HPEプロアクティブケア】メーカー推奨／低価格で国内専用窓口の高品質な保守により、システム運用における安心を提供します。</v>
          </cell>
        </row>
        <row r="2676">
          <cell r="A2676" t="str">
            <v>H6GU7E</v>
          </cell>
          <cell r="B2676" t="str">
            <v>HPE 3Y PC 24x7 3PAR 8K 1.92TB+SW FE  SVC</v>
          </cell>
          <cell r="C2676" t="str">
            <v>【HPEプロアクティブケア】メーカー推奨／低価格で国内専用窓口の高品質な保守により、システム運用における安心を提供します。</v>
          </cell>
        </row>
        <row r="2677">
          <cell r="A2677" t="str">
            <v>H6GU8E</v>
          </cell>
          <cell r="B2677" t="str">
            <v>HPE 3Y PC 24x7 wDMR  8K 1.92TB+SW FE SVC</v>
          </cell>
          <cell r="C2677" t="str">
            <v>【HPEプロアクティブケア】メーカー推奨／低価格で国内専用窓口の高品質な保守により、システム運用における安心を提供します。</v>
          </cell>
        </row>
        <row r="2678">
          <cell r="A2678" t="str">
            <v>H6GV1E</v>
          </cell>
          <cell r="B2678" t="str">
            <v>HPE 4Y PC 24x7 3PAR 8K 1.92TB+SW FE  SVC</v>
          </cell>
          <cell r="C2678" t="str">
            <v>【HPEプロアクティブケア】メーカー推奨／低価格で国内専用窓口の高品質な保守により、システム運用における安心を提供します。</v>
          </cell>
        </row>
        <row r="2679">
          <cell r="A2679" t="str">
            <v>H6GV2E</v>
          </cell>
          <cell r="B2679" t="str">
            <v>HPE 4Y PC 24x7 wDMR  8K 1.92TB+SW FE SVC</v>
          </cell>
          <cell r="C2679" t="str">
            <v>【HPEプロアクティブケア】メーカー推奨／低価格で国内専用窓口の高品質な保守により、システム運用における安心を提供します。</v>
          </cell>
        </row>
        <row r="2680">
          <cell r="A2680" t="str">
            <v>H6GV5E</v>
          </cell>
          <cell r="B2680" t="str">
            <v>HPE 5Y PC 24x7 3PAR 8K 1.92TB+SW FE  SVC</v>
          </cell>
          <cell r="C2680" t="str">
            <v>【HPEプロアクティブケア】メーカー推奨／低価格で国内専用窓口の高品質な保守により、システム運用における安心を提供します。</v>
          </cell>
        </row>
        <row r="2681">
          <cell r="A2681" t="str">
            <v>H6GV6E</v>
          </cell>
          <cell r="B2681" t="str">
            <v>HPE 5Y PC 24x7 wDMR  8K 1.92TB+SW FE SVC</v>
          </cell>
          <cell r="C2681" t="str">
            <v>【HPEプロアクティブケア】メーカー推奨／低価格で国内専用窓口の高品質な保守により、システム運用における安心を提供します。</v>
          </cell>
        </row>
        <row r="2682">
          <cell r="A2682" t="str">
            <v>H6GW3E</v>
          </cell>
          <cell r="B2682" t="str">
            <v>HPE 3Y PC 24x7 3PAR 8K 3.84TB+SW SSD SVC</v>
          </cell>
          <cell r="C2682" t="str">
            <v>【HPEプロアクティブケア】メーカー推奨／低価格で国内専用窓口の高品質な保守により、システム運用における安心を提供します。</v>
          </cell>
        </row>
        <row r="2683">
          <cell r="A2683" t="str">
            <v>H6GW4E</v>
          </cell>
          <cell r="B2683" t="str">
            <v>HPE 3Y PC 24x7 wDMR  8K 3.84TB+SW SVC</v>
          </cell>
          <cell r="C2683" t="str">
            <v>【HPEプロアクティブケア】メーカー推奨／低価格で国内専用窓口の高品質な保守により、システム運用における安心を提供します。</v>
          </cell>
        </row>
        <row r="2684">
          <cell r="A2684" t="str">
            <v>H6GW7E</v>
          </cell>
          <cell r="B2684" t="str">
            <v>HPE 4Y PC 24x7 3PAR 8K 3.84TB+SW SSD SVC</v>
          </cell>
          <cell r="C2684" t="str">
            <v>【HPEプロアクティブケア】メーカー推奨／低価格で国内専用窓口の高品質な保守により、システム運用における安心を提供します。</v>
          </cell>
        </row>
        <row r="2685">
          <cell r="A2685" t="str">
            <v>H6GW8E</v>
          </cell>
          <cell r="B2685" t="str">
            <v>HPE 4Y PC 24x7 wDMR  8K 3.84TB+SW SVC</v>
          </cell>
          <cell r="C2685" t="str">
            <v>【HPEプロアクティブケア】メーカー推奨／低価格で国内専用窓口の高品質な保守により、システム運用における安心を提供します。</v>
          </cell>
        </row>
        <row r="2686">
          <cell r="A2686" t="str">
            <v>H6GX1E</v>
          </cell>
          <cell r="B2686" t="str">
            <v>HPE 5Y PC 24x7 3PAR 8K 3.84TB+SW SSD SVC</v>
          </cell>
          <cell r="C2686" t="str">
            <v>【HPEプロアクティブケア】メーカー推奨／低価格で国内専用窓口の高品質な保守により、システム運用における安心を提供します。</v>
          </cell>
        </row>
        <row r="2687">
          <cell r="A2687" t="str">
            <v>H6GX2E</v>
          </cell>
          <cell r="B2687" t="str">
            <v>HPE 5Y PC 24x7 wDMR  8K 3.84TB+SW SVC</v>
          </cell>
          <cell r="C2687" t="str">
            <v>【HPEプロアクティブケア】メーカー推奨／低価格で国内専用窓口の高品質な保守により、システム運用における安心を提供します。</v>
          </cell>
        </row>
        <row r="2688">
          <cell r="A2688" t="str">
            <v>H6HJ2E</v>
          </cell>
          <cell r="B2688" t="str">
            <v>HPE 3Y PC 24x7 3PAR 8K 7.68TB+SW SSD SVC</v>
          </cell>
          <cell r="C2688" t="str">
            <v>【HPEプロアクティブケア】メーカー推奨／低価格で国内専用窓口の高品質な保守により、システム運用における安心を提供します。</v>
          </cell>
        </row>
        <row r="2689">
          <cell r="A2689" t="str">
            <v>H6HJ3E</v>
          </cell>
          <cell r="B2689" t="str">
            <v>HPE 3Y PC 24x7 wDMR  8K 7.68TB+SW SVC</v>
          </cell>
          <cell r="C2689" t="str">
            <v>【HPEプロアクティブケア】メーカー推奨／低価格で国内専用窓口の高品質な保守により、システム運用における安心を提供します。</v>
          </cell>
        </row>
        <row r="2690">
          <cell r="A2690" t="str">
            <v>H6HJ6E</v>
          </cell>
          <cell r="B2690" t="str">
            <v>HPE 4Y PC 24x7 3PAR 8K 7.68TB+SW SSD SVC</v>
          </cell>
          <cell r="C2690" t="str">
            <v>【HPEプロアクティブケア】メーカー推奨／低価格で国内専用窓口の高品質な保守により、システム運用における安心を提供します。</v>
          </cell>
        </row>
        <row r="2691">
          <cell r="A2691" t="str">
            <v>H6HJ7E</v>
          </cell>
          <cell r="B2691" t="str">
            <v>HPE 4Y PC 24x7 wDMR  8K 7.68TB+SW SVC</v>
          </cell>
          <cell r="C2691" t="str">
            <v>【HPEプロアクティブケア】メーカー推奨／低価格で国内専用窓口の高品質な保守により、システム運用における安心を提供します。</v>
          </cell>
        </row>
        <row r="2692">
          <cell r="A2692" t="str">
            <v>H6HK0E</v>
          </cell>
          <cell r="B2692" t="str">
            <v>HPE 5Y PC 24x7 3PAR 8K 7.68TB+SW SSD SVC</v>
          </cell>
          <cell r="C2692" t="str">
            <v>【HPEプロアクティブケア】メーカー推奨／低価格で国内専用窓口の高品質な保守により、システム運用における安心を提供します。</v>
          </cell>
        </row>
        <row r="2693">
          <cell r="A2693" t="str">
            <v>H6HK1E</v>
          </cell>
          <cell r="B2693" t="str">
            <v>HPE 5Y PC 24x7 wDMR  8K 7.68TB+SW SVC</v>
          </cell>
          <cell r="C2693" t="str">
            <v>【HPEプロアクティブケア】メーカー推奨／低価格で国内専用窓口の高品質な保守により、システム運用における安心を提供します。</v>
          </cell>
        </row>
        <row r="2694">
          <cell r="A2694" t="str">
            <v>H6HK8E</v>
          </cell>
          <cell r="B2694" t="str">
            <v>HPE 3Y PC 24x7 3PAR 8K 15.36TB+SW  SVC</v>
          </cell>
          <cell r="C2694" t="str">
            <v>【HPEプロアクティブケア】メーカー推奨／低価格で国内専用窓口の高品質な保守により、システム運用における安心を提供します。</v>
          </cell>
        </row>
        <row r="2695">
          <cell r="A2695" t="str">
            <v>H6HK9E</v>
          </cell>
          <cell r="B2695" t="str">
            <v>HPE 3Y PC 24x7 wDMR  8K 15.36TB+SW SVC</v>
          </cell>
          <cell r="C2695" t="str">
            <v>【HPEプロアクティブケア】メーカー推奨／低価格で国内専用窓口の高品質な保守により、システム運用における安心を提供します。</v>
          </cell>
        </row>
        <row r="2696">
          <cell r="A2696" t="str">
            <v>H6HL2E</v>
          </cell>
          <cell r="B2696" t="str">
            <v>HPE 4Y PC 24x7 3PAR 8K 15.36TB+SW  SVC</v>
          </cell>
          <cell r="C2696" t="str">
            <v>【HPEプロアクティブケア】メーカー推奨／低価格で国内専用窓口の高品質な保守により、システム運用における安心を提供します。</v>
          </cell>
        </row>
        <row r="2697">
          <cell r="A2697" t="str">
            <v>H6HL3E</v>
          </cell>
          <cell r="B2697" t="str">
            <v>HPE 4Y PC 24x7 wDMR  8K 15.36TB+SW SVC</v>
          </cell>
          <cell r="C2697" t="str">
            <v>【HPEプロアクティブケア】メーカー推奨／低価格で国内専用窓口の高品質な保守により、システム運用における安心を提供します。</v>
          </cell>
        </row>
        <row r="2698">
          <cell r="A2698" t="str">
            <v>H6HL6E</v>
          </cell>
          <cell r="B2698" t="str">
            <v>HPE 5Y PC 24x7 3PAR 8K 15.36TB+SW  SVC</v>
          </cell>
          <cell r="C2698" t="str">
            <v>【HPEプロアクティブケア】メーカー推奨／低価格で国内専用窓口の高品質な保守により、システム運用における安心を提供します。</v>
          </cell>
        </row>
        <row r="2699">
          <cell r="A2699" t="str">
            <v>H6HL7E</v>
          </cell>
          <cell r="B2699" t="str">
            <v>HPE 5Y PC 24x7 wDMR  8K 15.36TB+SW SVC</v>
          </cell>
          <cell r="C2699" t="str">
            <v>【HPEプロアクティブケア】メーカー推奨／低価格で国内専用窓口の高品質な保守により、システム運用における安心を提供します。</v>
          </cell>
        </row>
        <row r="2700">
          <cell r="A2700" t="str">
            <v>H6HM4E</v>
          </cell>
          <cell r="B2700" t="str">
            <v>HPE 3Y PC 24x7 3PAR 8K 15.36TB+SW FE SVC</v>
          </cell>
          <cell r="C2700" t="str">
            <v>【HPEプロアクティブケア】メーカー推奨／低価格で国内専用窓口の高品質な保守により、システム運用における安心を提供します。</v>
          </cell>
        </row>
        <row r="2701">
          <cell r="A2701" t="str">
            <v>H6HM5E</v>
          </cell>
          <cell r="B2701" t="str">
            <v>HPE 3Y PC 24x7 wDMR 8K 15.36TB+SWFE SVC</v>
          </cell>
          <cell r="C2701" t="str">
            <v>【HPEプロアクティブケア】メーカー推奨／低価格で国内専用窓口の高品質な保守により、システム運用における安心を提供します。</v>
          </cell>
        </row>
        <row r="2702">
          <cell r="A2702" t="str">
            <v>H6HM8E</v>
          </cell>
          <cell r="B2702" t="str">
            <v>HPE 4Y PC 24x7 3PAR 8K 15.36TB+SW FE SVC</v>
          </cell>
          <cell r="C2702" t="str">
            <v>【HPEプロアクティブケア】メーカー推奨／低価格で国内専用窓口の高品質な保守により、システム運用における安心を提供します。</v>
          </cell>
        </row>
        <row r="2703">
          <cell r="A2703" t="str">
            <v>H6HM9E</v>
          </cell>
          <cell r="B2703" t="str">
            <v>HPE 4Y PC 24x7 wDMR 8K 15.36TB+SWFE SVC</v>
          </cell>
          <cell r="C2703" t="str">
            <v>【HPEプロアクティブケア】メーカー推奨／低価格で国内専用窓口の高品質な保守により、システム運用における安心を提供します。</v>
          </cell>
        </row>
        <row r="2704">
          <cell r="A2704" t="str">
            <v>H6HN2E</v>
          </cell>
          <cell r="B2704" t="str">
            <v>HPE 5Y PC 24x7 3PAR 8K 15.36TB+SW FE SVC</v>
          </cell>
          <cell r="C2704" t="str">
            <v>【HPEプロアクティブケア】メーカー推奨／低価格で国内専用窓口の高品質な保守により、システム運用における安心を提供します。</v>
          </cell>
        </row>
        <row r="2705">
          <cell r="A2705" t="str">
            <v>H6HN3E</v>
          </cell>
          <cell r="B2705" t="str">
            <v>HPE 5Y PC 24x7 wDMR 8K 15.36TB+SWFE SVC</v>
          </cell>
          <cell r="C2705" t="str">
            <v>【HPEプロアクティブケア】メーカー推奨／低価格で国内専用窓口の高品質な保守により、システム運用における安心を提供します。</v>
          </cell>
        </row>
        <row r="2706">
          <cell r="A2706" t="str">
            <v>H6HN9E</v>
          </cell>
          <cell r="B2706" t="str">
            <v>HPE 3Y PC 24x7 3PAR 8000 Trans LTU SVC</v>
          </cell>
          <cell r="C2706" t="str">
            <v>【HPEプロアクティブケア】メーカー推奨／低価格で国内専用窓口の高品質な保守により、システム運用における安心を提供します。</v>
          </cell>
        </row>
        <row r="2707">
          <cell r="A2707" t="str">
            <v>H6HP1E</v>
          </cell>
          <cell r="B2707" t="str">
            <v>HPE 4Y PC 24x7 3PAR 8000 Trans LTU SVC</v>
          </cell>
          <cell r="C2707" t="str">
            <v>【HPEプロアクティブケア】メーカー推奨／低価格で国内専用窓口の高品質な保守により、システム運用における安心を提供します。</v>
          </cell>
        </row>
        <row r="2708">
          <cell r="A2708" t="str">
            <v>H6HP3E</v>
          </cell>
          <cell r="B2708" t="str">
            <v>HPE 5Y PC 24x7 3PAR 8000 Trans LTU SVC</v>
          </cell>
          <cell r="C2708" t="str">
            <v>【HPEプロアクティブケア】メーカー推奨／低価格で国内専用窓口の高品質な保守により、システム運用における安心を提供します。</v>
          </cell>
        </row>
        <row r="2709">
          <cell r="A2709" t="str">
            <v>U2AM5E</v>
          </cell>
          <cell r="B2709" t="str">
            <v>FC 24x7 3年 3PAR 7400 Up Nd用</v>
          </cell>
          <cell r="C2709" t="str">
            <v>【ファウンデーションケア】</v>
          </cell>
        </row>
        <row r="2710">
          <cell r="A2710" t="str">
            <v>U2AP5E</v>
          </cell>
          <cell r="B2710" t="str">
            <v>FC 24x7 3年 3PAR 7000 Adapter用</v>
          </cell>
          <cell r="C2710" t="str">
            <v>【ファウンデーションケア】</v>
          </cell>
        </row>
        <row r="2711">
          <cell r="A2711" t="str">
            <v>U2AP9E</v>
          </cell>
          <cell r="B2711" t="str">
            <v>FC 24x7 3年 3PAR 7K Drive Encl用</v>
          </cell>
          <cell r="C2711" t="str">
            <v>【ファウンデーションケア】</v>
          </cell>
        </row>
        <row r="2712">
          <cell r="A2712" t="str">
            <v>U2AS3E</v>
          </cell>
          <cell r="B2712" t="str">
            <v>FC 24x7 3年 3PAR 7000 HDD under1TB</v>
          </cell>
          <cell r="C2712" t="str">
            <v>【ファウンデーションケア】</v>
          </cell>
        </row>
        <row r="2713">
          <cell r="A2713" t="str">
            <v>U2AS4E</v>
          </cell>
          <cell r="B2713" t="str">
            <v>FC 24x7 HD返却不要 3年3PAR7K HDD undr1TB</v>
          </cell>
          <cell r="C2713" t="str">
            <v>【ファウンデーションケア】</v>
          </cell>
        </row>
        <row r="2714">
          <cell r="A2714" t="str">
            <v>U2AS7E</v>
          </cell>
          <cell r="B2714" t="str">
            <v>FC 24x7 3年 3PAR 7000 HDD over1TB</v>
          </cell>
          <cell r="C2714" t="str">
            <v>【ファウンデーションケア】</v>
          </cell>
        </row>
        <row r="2715">
          <cell r="A2715" t="str">
            <v>U2AS8E</v>
          </cell>
          <cell r="B2715" t="str">
            <v>FC 24x7 HD返却不要 3年3PAR 7K HDD ovr1TB</v>
          </cell>
          <cell r="C2715" t="str">
            <v>【ファウンデーションケア】</v>
          </cell>
        </row>
        <row r="2716">
          <cell r="A2716" t="str">
            <v>U2AT5E</v>
          </cell>
          <cell r="B2716" t="str">
            <v>FC 24x7 3年 3PAR 7200 OS Suite用</v>
          </cell>
          <cell r="C2716" t="str">
            <v>【ファウンデーションケア】</v>
          </cell>
        </row>
        <row r="2717">
          <cell r="A2717" t="str">
            <v>U2AT7E</v>
          </cell>
          <cell r="B2717" t="str">
            <v>FC 24x7 3年 3PAR 7200 ReplSuit用</v>
          </cell>
          <cell r="C2717" t="str">
            <v>【ファウンデーションケア】</v>
          </cell>
        </row>
        <row r="2718">
          <cell r="A2718" t="str">
            <v>U2AU1E</v>
          </cell>
          <cell r="B2718" t="str">
            <v>FC 24x7 3年 3PAR 7200 SectySte用</v>
          </cell>
          <cell r="C2718" t="str">
            <v>【ファウンデーションケア】</v>
          </cell>
        </row>
        <row r="2719">
          <cell r="A2719" t="str">
            <v>U2AU3E</v>
          </cell>
          <cell r="B2719" t="str">
            <v>FC 24x7 3年 3PAR7200 VirtCpy用</v>
          </cell>
          <cell r="C2719" t="str">
            <v>【ファウンデーションケア】</v>
          </cell>
        </row>
        <row r="2720">
          <cell r="A2720" t="str">
            <v>U2AU5E</v>
          </cell>
          <cell r="B2720" t="str">
            <v>FC 24x7 3年 3PAR7200 RemCopy用</v>
          </cell>
          <cell r="C2720" t="str">
            <v>【ファウンデーションケア】</v>
          </cell>
        </row>
        <row r="2721">
          <cell r="A2721" t="str">
            <v>U2AU7E</v>
          </cell>
          <cell r="B2721" t="str">
            <v>FC 24x7 3年 3PAR7200 DynamOpt用</v>
          </cell>
          <cell r="C2721" t="str">
            <v>【ファウンデーションケア】</v>
          </cell>
        </row>
        <row r="2722">
          <cell r="A2722" t="str">
            <v>U2AU9E</v>
          </cell>
          <cell r="B2722" t="str">
            <v>FC 24x7 3年 3PAR 7200 Adap Opt用</v>
          </cell>
          <cell r="C2722" t="str">
            <v>【ファウンデーションケア】</v>
          </cell>
        </row>
        <row r="2723">
          <cell r="A2723" t="str">
            <v>U2AV1E</v>
          </cell>
          <cell r="B2723" t="str">
            <v>FC 24x7 3年 3PAR7200 PeerMotion用</v>
          </cell>
          <cell r="C2723" t="str">
            <v>【ファウンデーションケア】</v>
          </cell>
        </row>
        <row r="2724">
          <cell r="A2724" t="str">
            <v>U2AV3E</v>
          </cell>
          <cell r="B2724" t="str">
            <v>FC 24x7 3年 3PAR 7200 VirtDom用</v>
          </cell>
          <cell r="C2724" t="str">
            <v>【ファウンデーションケア】</v>
          </cell>
        </row>
        <row r="2725">
          <cell r="A2725" t="str">
            <v>U2AV5E</v>
          </cell>
          <cell r="B2725" t="str">
            <v>FC 24x7 3年 3PAR7200 VirtLock用</v>
          </cell>
          <cell r="C2725" t="str">
            <v>【ファウンデーションケア】</v>
          </cell>
        </row>
        <row r="2726">
          <cell r="A2726" t="str">
            <v>U2AV7E</v>
          </cell>
          <cell r="B2726" t="str">
            <v>FC 24x7 3年 3PAR7200 ReportSte用</v>
          </cell>
          <cell r="C2726" t="str">
            <v>【ファウンデーションケア】</v>
          </cell>
        </row>
        <row r="2727">
          <cell r="A2727" t="str">
            <v>U2AV8E</v>
          </cell>
          <cell r="B2727" t="str">
            <v>FC 24x7 3年 3PAR 7200 AppSuite用</v>
          </cell>
          <cell r="C2727" t="str">
            <v>【ファウンデーションケア】</v>
          </cell>
        </row>
        <row r="2728">
          <cell r="A2728" t="str">
            <v>U2AV9E</v>
          </cell>
          <cell r="B2728" t="str">
            <v>FC 24x7 3年 3PAR7200 PeerPrst用</v>
          </cell>
          <cell r="C2728" t="str">
            <v>【ファウンデーションケア】</v>
          </cell>
        </row>
        <row r="2729">
          <cell r="A2729" t="str">
            <v>U2AW1E</v>
          </cell>
          <cell r="B2729" t="str">
            <v>FC 24x7 3年 3PAR7200 AppHyperV用</v>
          </cell>
          <cell r="C2729" t="str">
            <v>【ファウンデーションケア】</v>
          </cell>
        </row>
        <row r="2730">
          <cell r="A2730" t="str">
            <v>U2AW2E</v>
          </cell>
          <cell r="B2730" t="str">
            <v>FC 24x7 3年 3PAR7200 Ol Imp180用</v>
          </cell>
          <cell r="C2730" t="str">
            <v>【ファウンデーションケア】</v>
          </cell>
        </row>
        <row r="2731">
          <cell r="A2731" t="str">
            <v>U2AW3E</v>
          </cell>
          <cell r="B2731" t="str">
            <v>FC 24x7 3年 3PAR7200 PriOpt用</v>
          </cell>
          <cell r="C2731" t="str">
            <v>【ファウンデーションケア】</v>
          </cell>
        </row>
        <row r="2732">
          <cell r="A2732" t="str">
            <v>U2AW5E</v>
          </cell>
          <cell r="B2732" t="str">
            <v>FC 24x7 3年 3PAR7200 DtOpt用</v>
          </cell>
          <cell r="C2732" t="str">
            <v>【ファウンデーションケア】</v>
          </cell>
        </row>
        <row r="2733">
          <cell r="A2733" t="str">
            <v>U2AW7E</v>
          </cell>
          <cell r="B2733" t="str">
            <v>FC 24x7 3年 3PAR 7400 OS Suite用</v>
          </cell>
          <cell r="C2733" t="str">
            <v>【ファウンデーションケア】</v>
          </cell>
        </row>
        <row r="2734">
          <cell r="A2734" t="str">
            <v>U2AW9E</v>
          </cell>
          <cell r="B2734" t="str">
            <v>FC 24x7 3年 3PAR 7400 ReplSuit用</v>
          </cell>
          <cell r="C2734" t="str">
            <v>【ファウンデーションケア】</v>
          </cell>
        </row>
        <row r="2735">
          <cell r="A2735" t="str">
            <v>U2AX3E</v>
          </cell>
          <cell r="B2735" t="str">
            <v>FC 24x7 3年 3PAR 7400 SectySte用</v>
          </cell>
          <cell r="C2735" t="str">
            <v>【ファウンデーションケア】</v>
          </cell>
        </row>
        <row r="2736">
          <cell r="A2736" t="str">
            <v>U2AX5E</v>
          </cell>
          <cell r="B2736" t="str">
            <v>FC 24x7 3年 3PAR7400 VirtCpy用</v>
          </cell>
          <cell r="C2736" t="str">
            <v>【ファウンデーションケア】</v>
          </cell>
        </row>
        <row r="2737">
          <cell r="A2737" t="str">
            <v>U2AX7E</v>
          </cell>
          <cell r="B2737" t="str">
            <v>FC 24x7 3年 3PAR7400 RemCopy用</v>
          </cell>
          <cell r="C2737" t="str">
            <v>【ファウンデーションケア】</v>
          </cell>
        </row>
        <row r="2738">
          <cell r="A2738" t="str">
            <v>U2AX9E</v>
          </cell>
          <cell r="B2738" t="str">
            <v>FC 24x7 3年 3PAR7400 DynamOpt用</v>
          </cell>
          <cell r="C2738" t="str">
            <v>【ファウンデーションケア】</v>
          </cell>
        </row>
        <row r="2739">
          <cell r="A2739" t="str">
            <v>U2AY1E</v>
          </cell>
          <cell r="B2739" t="str">
            <v>FC 24x7 3年 3PAR 7400 Adap Opt用</v>
          </cell>
          <cell r="C2739" t="str">
            <v>【ファウンデーションケア】</v>
          </cell>
        </row>
        <row r="2740">
          <cell r="A2740" t="str">
            <v>U2AY3E</v>
          </cell>
          <cell r="B2740" t="str">
            <v>FC 24x7 3年 3PAR7400 PeerMotion用</v>
          </cell>
          <cell r="C2740" t="str">
            <v>【ファウンデーションケア】</v>
          </cell>
        </row>
        <row r="2741">
          <cell r="A2741" t="str">
            <v>U2AY5E</v>
          </cell>
          <cell r="B2741" t="str">
            <v>FC 24x7 3年 3PAR 7400 VirtDomLTU用</v>
          </cell>
          <cell r="C2741" t="str">
            <v>【ファウンデーションケア】</v>
          </cell>
        </row>
        <row r="2742">
          <cell r="A2742" t="str">
            <v>U2AY7E</v>
          </cell>
          <cell r="B2742" t="str">
            <v>FC 24x7 3年 3PAR7400 VirtLock用</v>
          </cell>
          <cell r="C2742" t="str">
            <v>【ファウンデーションケア】</v>
          </cell>
        </row>
        <row r="2743">
          <cell r="A2743" t="str">
            <v>U2AY9E</v>
          </cell>
          <cell r="B2743" t="str">
            <v>FC 24x7 3年 3PAR7400 ReportSte用</v>
          </cell>
          <cell r="C2743" t="str">
            <v>【ファウンデーションケア】</v>
          </cell>
        </row>
        <row r="2744">
          <cell r="A2744" t="str">
            <v>U2AZ0E</v>
          </cell>
          <cell r="B2744" t="str">
            <v>FC 24x7 3年 3PAR 7400 AppSuite用</v>
          </cell>
          <cell r="C2744" t="str">
            <v>【ファウンデーションケア】</v>
          </cell>
        </row>
        <row r="2745">
          <cell r="A2745" t="str">
            <v>U2AZ1E</v>
          </cell>
          <cell r="B2745" t="str">
            <v>FC 24x7 3年 3PAR7400 PeerPrst用</v>
          </cell>
          <cell r="C2745" t="str">
            <v>【ファウンデーションケア】</v>
          </cell>
        </row>
        <row r="2746">
          <cell r="A2746" t="str">
            <v>U2AZ3E</v>
          </cell>
          <cell r="B2746" t="str">
            <v>FC 24x7 3年 3PAR7400 AppHyperV用</v>
          </cell>
          <cell r="C2746" t="str">
            <v>【ファウンデーションケア】</v>
          </cell>
        </row>
        <row r="2747">
          <cell r="A2747" t="str">
            <v>U2AZ4E</v>
          </cell>
          <cell r="B2747" t="str">
            <v>FC 24x7 3年 3PAR7400 Ol Imp180用</v>
          </cell>
          <cell r="C2747" t="str">
            <v>【ファウンデーションケア】</v>
          </cell>
        </row>
        <row r="2748">
          <cell r="A2748" t="str">
            <v>U2AZ5E</v>
          </cell>
          <cell r="B2748" t="str">
            <v>FC 24x7 3年 3PAR7400 PriOpt用</v>
          </cell>
          <cell r="C2748" t="str">
            <v>【ファウンデーションケア】</v>
          </cell>
        </row>
        <row r="2749">
          <cell r="A2749" t="str">
            <v>U2AZ7E</v>
          </cell>
          <cell r="B2749" t="str">
            <v>FC 24x7 3年 3PAR7400 DtOpt用</v>
          </cell>
          <cell r="C2749" t="str">
            <v>【ファウンデーションケア】</v>
          </cell>
        </row>
        <row r="2750">
          <cell r="A2750" t="str">
            <v>U2BA9E</v>
          </cell>
          <cell r="B2750" t="str">
            <v>FC24x7 3年 3PAR 7440/50 OS LTU</v>
          </cell>
          <cell r="C2750" t="str">
            <v>【ファウンデーションケア】</v>
          </cell>
        </row>
        <row r="2751">
          <cell r="A2751" t="str">
            <v>U2BB0E</v>
          </cell>
          <cell r="B2751" t="str">
            <v>FC24x7 3年 3PAR 7440/50 OS Drv LTU</v>
          </cell>
          <cell r="C2751" t="str">
            <v>【ファウンデーションケア】</v>
          </cell>
        </row>
        <row r="2752">
          <cell r="A2752" t="str">
            <v>U2BB1E</v>
          </cell>
          <cell r="B2752" t="str">
            <v>FC24x7 3年 3PAR 7440/50 Repli LTU</v>
          </cell>
          <cell r="C2752" t="str">
            <v>【ファウンデーションケア】</v>
          </cell>
        </row>
        <row r="2753">
          <cell r="A2753" t="str">
            <v>U2BB2E</v>
          </cell>
          <cell r="B2753" t="str">
            <v>FC24x7 3年 3PAR 7440/50 Repl DrvLTU</v>
          </cell>
          <cell r="C2753" t="str">
            <v>【ファウンデーションケア】</v>
          </cell>
        </row>
        <row r="2754">
          <cell r="A2754" t="str">
            <v>U2BB3E</v>
          </cell>
          <cell r="B2754" t="str">
            <v>FC24x7 3年 3PAR 7440/50 SecSte LTU</v>
          </cell>
          <cell r="C2754" t="str">
            <v>【ファウンデーションケア】</v>
          </cell>
        </row>
        <row r="2755">
          <cell r="A2755" t="str">
            <v>U2BB4E</v>
          </cell>
          <cell r="B2755" t="str">
            <v>FC24x7 3年 3PAR 7440/50 SecStDrvLTU</v>
          </cell>
          <cell r="C2755" t="str">
            <v>【ファウンデーションケア】</v>
          </cell>
        </row>
        <row r="2756">
          <cell r="A2756" t="str">
            <v>U2BB5E</v>
          </cell>
          <cell r="B2756" t="str">
            <v>FC24x7 3年 3PAR 7440/50 VC LTU</v>
          </cell>
          <cell r="C2756" t="str">
            <v>【ファウンデーションケア】</v>
          </cell>
        </row>
        <row r="2757">
          <cell r="A2757" t="str">
            <v>U2BB6E</v>
          </cell>
          <cell r="B2757" t="str">
            <v>FC24x7 3年 3PAR 7440/50 VC Drv LTU</v>
          </cell>
          <cell r="C2757" t="str">
            <v>【ファウンデーションケア】</v>
          </cell>
        </row>
        <row r="2758">
          <cell r="A2758" t="str">
            <v>U2BB7E</v>
          </cell>
          <cell r="B2758" t="str">
            <v>FC24x7 3年 3PAR 7440/50 RC LTU</v>
          </cell>
          <cell r="C2758" t="str">
            <v>【ファウンデーションケア】</v>
          </cell>
        </row>
        <row r="2759">
          <cell r="A2759" t="str">
            <v>U2BB8E</v>
          </cell>
          <cell r="B2759" t="str">
            <v>FC24x7 3年 3PAR 7440/50 RC Drv LTU</v>
          </cell>
          <cell r="C2759" t="str">
            <v>【ファウンデーションケア】</v>
          </cell>
        </row>
        <row r="2760">
          <cell r="A2760" t="str">
            <v>U2BB9E</v>
          </cell>
          <cell r="B2760" t="str">
            <v>FC24x7 3年 3PAR 7440/50 DO LTU</v>
          </cell>
          <cell r="C2760" t="str">
            <v>【ファウンデーションケア】</v>
          </cell>
        </row>
        <row r="2761">
          <cell r="A2761" t="str">
            <v>U2BC0E</v>
          </cell>
          <cell r="B2761" t="str">
            <v>FC24x7 3年 3PAR 7440/50 DO DrvLTU</v>
          </cell>
          <cell r="C2761" t="str">
            <v>【ファウンデーションケア】</v>
          </cell>
        </row>
        <row r="2762">
          <cell r="A2762" t="str">
            <v>U2BC1E</v>
          </cell>
          <cell r="B2762" t="str">
            <v>FC24x7 3年 3PAR 7440/50 AO LTU</v>
          </cell>
          <cell r="C2762" t="str">
            <v>【ファウンデーションケア】</v>
          </cell>
        </row>
        <row r="2763">
          <cell r="A2763" t="str">
            <v>U2BC2E</v>
          </cell>
          <cell r="B2763" t="str">
            <v>FC24x7 3年 3PAR 7440/50 AO DrvLTU</v>
          </cell>
          <cell r="C2763" t="str">
            <v>【ファウンデーションケア】</v>
          </cell>
        </row>
        <row r="2764">
          <cell r="A2764" t="str">
            <v>U2BC3E</v>
          </cell>
          <cell r="B2764" t="str">
            <v>FC24x7 3年 3PAR 7440/50 PM LTU</v>
          </cell>
          <cell r="C2764" t="str">
            <v>【ファウンデーションケア】</v>
          </cell>
        </row>
        <row r="2765">
          <cell r="A2765" t="str">
            <v>U2BC4E</v>
          </cell>
          <cell r="B2765" t="str">
            <v>FC24x7 3年 3PAR 7440/50 PM DrvLTU</v>
          </cell>
          <cell r="C2765" t="str">
            <v>【ファウンデーションケア】</v>
          </cell>
        </row>
        <row r="2766">
          <cell r="A2766" t="str">
            <v>U2BC5E</v>
          </cell>
          <cell r="B2766" t="str">
            <v>FC24x7 3年 3PAR 7440/50 VD LTU</v>
          </cell>
          <cell r="C2766" t="str">
            <v>【ファウンデーションケア】</v>
          </cell>
        </row>
        <row r="2767">
          <cell r="A2767" t="str">
            <v>U2BC6E</v>
          </cell>
          <cell r="B2767" t="str">
            <v>FC24x7 3年 3PAR 7440/50 VD DrvLTU</v>
          </cell>
          <cell r="C2767" t="str">
            <v>【ファウンデーションケア】</v>
          </cell>
        </row>
        <row r="2768">
          <cell r="A2768" t="str">
            <v>U2BC7E</v>
          </cell>
          <cell r="B2768" t="str">
            <v>FC24x7 3年 3PAR 7440/50 VL LTU</v>
          </cell>
          <cell r="C2768" t="str">
            <v>【ファウンデーションケア】</v>
          </cell>
        </row>
        <row r="2769">
          <cell r="A2769" t="str">
            <v>U2BC8E</v>
          </cell>
          <cell r="B2769" t="str">
            <v>FC24x7 3年 3PAR 7440/50 VL DrvLTU</v>
          </cell>
          <cell r="C2769" t="str">
            <v>【ファウンデーションケア】</v>
          </cell>
        </row>
        <row r="2770">
          <cell r="A2770" t="str">
            <v>U2BC9E</v>
          </cell>
          <cell r="B2770" t="str">
            <v>FC24x7 3年 3PAR7440/50 ReportingLTU</v>
          </cell>
          <cell r="C2770" t="str">
            <v>【ファウンデーションケア】</v>
          </cell>
        </row>
        <row r="2771">
          <cell r="A2771" t="str">
            <v>U2BD0E</v>
          </cell>
          <cell r="B2771" t="str">
            <v>FC24x7 3年 3PAR7440/50 AppSte LTU</v>
          </cell>
          <cell r="C2771" t="str">
            <v>【ファウンデーションケア】</v>
          </cell>
        </row>
        <row r="2772">
          <cell r="A2772" t="str">
            <v>U2BD1E</v>
          </cell>
          <cell r="B2772" t="str">
            <v>FC24x7 3年 3PAR 7440/50 PeerP LTU</v>
          </cell>
          <cell r="C2772" t="str">
            <v>【ファウンデーションケア】</v>
          </cell>
        </row>
        <row r="2773">
          <cell r="A2773" t="str">
            <v>U2BD2E</v>
          </cell>
          <cell r="B2773" t="str">
            <v>FC24x7 3年 3PAR 7440/50 PrP DrvLTU</v>
          </cell>
          <cell r="C2773" t="str">
            <v>【ファウンデーションケア】</v>
          </cell>
        </row>
        <row r="2774">
          <cell r="A2774" t="str">
            <v>U2BD3E</v>
          </cell>
          <cell r="B2774" t="str">
            <v>FC24x7 3年 3PAR 7440/50 DataEncrTU</v>
          </cell>
          <cell r="C2774" t="str">
            <v>【ファウンデーションケア】</v>
          </cell>
        </row>
        <row r="2775">
          <cell r="A2775" t="str">
            <v>U2BD4E</v>
          </cell>
          <cell r="B2775" t="str">
            <v>FC 24x7 3年 3PAR7200 DAR用</v>
          </cell>
          <cell r="C2775" t="str">
            <v>【ファウンデーションケア】</v>
          </cell>
        </row>
        <row r="2776">
          <cell r="A2776" t="str">
            <v>U2BD5E</v>
          </cell>
          <cell r="B2776" t="str">
            <v>FC 24x7 3年 3PAR7400 DAR用</v>
          </cell>
          <cell r="C2776" t="str">
            <v>【ファウンデーションケア】</v>
          </cell>
        </row>
        <row r="2777">
          <cell r="A2777" t="str">
            <v>U2BD6E</v>
          </cell>
          <cell r="B2777" t="str">
            <v>FC24x7 3年 3PAR7440/50 AppHyperV LTU</v>
          </cell>
          <cell r="C2777" t="str">
            <v>【ファウンデーションケア】</v>
          </cell>
        </row>
        <row r="2778">
          <cell r="A2778" t="str">
            <v>U2BD7E</v>
          </cell>
          <cell r="B2778" t="str">
            <v>FC24x7 3年 3PAR7440/50 OnlineImpLTU</v>
          </cell>
          <cell r="C2778" t="str">
            <v>【ファウンデーションケア】</v>
          </cell>
        </row>
        <row r="2779">
          <cell r="A2779" t="str">
            <v>U2BD8E</v>
          </cell>
          <cell r="B2779" t="str">
            <v>FC24x7 3年 3PAR 7440/50 PriOpt LTU</v>
          </cell>
          <cell r="C2779" t="str">
            <v>【ファウンデーションケア】</v>
          </cell>
        </row>
        <row r="2780">
          <cell r="A2780" t="str">
            <v>U2BD9E</v>
          </cell>
          <cell r="B2780" t="str">
            <v>FC24x7 3年 3PAR7440/50 PriOptDrvLTU</v>
          </cell>
          <cell r="C2780" t="str">
            <v>【ファウンデーションケア】</v>
          </cell>
        </row>
        <row r="2781">
          <cell r="A2781" t="str">
            <v>U2BE0E</v>
          </cell>
          <cell r="B2781" t="str">
            <v>FC24x7 3年 3PAR 7440/50 DtOPt LTU</v>
          </cell>
          <cell r="C2781" t="str">
            <v>【ファウンデーションケア】</v>
          </cell>
        </row>
        <row r="2782">
          <cell r="A2782" t="str">
            <v>U2BE1E</v>
          </cell>
          <cell r="B2782" t="str">
            <v>FC24x7 3年 3PAR7440/50 DtOPtDrvLTU</v>
          </cell>
          <cell r="C2782" t="str">
            <v>【ファウンデーションケア】</v>
          </cell>
        </row>
        <row r="2783">
          <cell r="A2783" t="str">
            <v>U4Q24E</v>
          </cell>
          <cell r="B2783" t="str">
            <v>ProCare 24x7 3年 3PAR 7000 HDD under1TB</v>
          </cell>
          <cell r="C2783" t="str">
            <v>【HPEプロアクティブケア】メーカー推奨／低価格で国内専用窓口の高品質な保守により、システム運用における安心を提供します。</v>
          </cell>
        </row>
        <row r="2784">
          <cell r="A2784" t="str">
            <v>U4Q25E</v>
          </cell>
          <cell r="B2784" t="str">
            <v>ProCareHD返却不24x7 3年3PAR7KHDD undr1TB</v>
          </cell>
          <cell r="C2784" t="str">
            <v>【HPEプロアクティブケア】メーカー推奨／低価格で国内専用窓口の高品質な保守により、システム運用における安心を提供します。</v>
          </cell>
        </row>
        <row r="2785">
          <cell r="A2785" t="str">
            <v>U4Q26E</v>
          </cell>
          <cell r="B2785" t="str">
            <v>ProCare 24x7 3年 3PAR 7000 HDD over1TB</v>
          </cell>
          <cell r="C2785" t="str">
            <v>【HPEプロアクティブケア】メーカー推奨／低価格で国内専用窓口の高品質な保守により、システム運用における安心を提供します。</v>
          </cell>
        </row>
        <row r="2786">
          <cell r="A2786" t="str">
            <v>U4Q27E</v>
          </cell>
          <cell r="B2786" t="str">
            <v>ProCare HD返却不24x7 3年3PAR7KHDD ovr1TB</v>
          </cell>
          <cell r="C2786" t="str">
            <v>【HPEプロアクティブケア】メーカー推奨／低価格で国内専用窓口の高品質な保守により、システム運用における安心を提供します。</v>
          </cell>
        </row>
        <row r="2787">
          <cell r="A2787" t="str">
            <v>U4Q32E</v>
          </cell>
          <cell r="B2787" t="str">
            <v>ProCare 24x7 3年 3PAR 7000 Enclosure</v>
          </cell>
          <cell r="C2787" t="str">
            <v>【HPEプロアクティブケア】メーカー推奨／低価格で国内専用窓口の高品質な保守により、システム運用における安心を提供します。</v>
          </cell>
        </row>
        <row r="2788">
          <cell r="A2788" t="str">
            <v>U4Q33E</v>
          </cell>
          <cell r="B2788" t="str">
            <v>ProCare 24x7 3年 3PAR 7000 アダプター</v>
          </cell>
          <cell r="C2788" t="str">
            <v>【HPEプロアクティブケア】メーカー推奨／低価格で国内専用窓口の高品質な保守により、システム運用における安心を提供します。</v>
          </cell>
        </row>
        <row r="2789">
          <cell r="A2789" t="str">
            <v>U4Q35E</v>
          </cell>
          <cell r="B2789" t="str">
            <v>ProCare 24x7 3年 3PAR 7400 2Cont Upg</v>
          </cell>
          <cell r="C2789" t="str">
            <v>【HPEプロアクティブケア】メーカー推奨／低価格で国内専用窓口の高品質な保守により、システム運用における安心を提供します。</v>
          </cell>
        </row>
        <row r="2790">
          <cell r="A2790" t="str">
            <v>U4Q38E</v>
          </cell>
          <cell r="B2790" t="str">
            <v>ProCare 24x7 3年 3PAR 7200 OS Suite</v>
          </cell>
          <cell r="C2790" t="str">
            <v>【HPEプロアクティブケア】メーカー推奨／低価格で国内専用窓口の高品質な保守により、システム運用における安心を提供します。</v>
          </cell>
        </row>
        <row r="2791">
          <cell r="A2791" t="str">
            <v>U4Q39E</v>
          </cell>
          <cell r="B2791" t="str">
            <v>ProCare 24x7 3年 3PAR 7200 Repli Suite</v>
          </cell>
          <cell r="C2791" t="str">
            <v>【HPEプロアクティブケア】メーカー推奨／低価格で国内専用窓口の高品質な保守により、システム運用における安心を提供します。</v>
          </cell>
        </row>
        <row r="2792">
          <cell r="A2792" t="str">
            <v>U4Q40E</v>
          </cell>
          <cell r="B2792" t="str">
            <v>ProCare 24x7 3年 3PAR 7200 Remote Copy</v>
          </cell>
          <cell r="C2792" t="str">
            <v>【HPEプロアクティブケア】メーカー推奨／低価格で国内専用窓口の高品質な保守により、システム運用における安心を提供します。</v>
          </cell>
        </row>
        <row r="2793">
          <cell r="A2793" t="str">
            <v>U4Q41E</v>
          </cell>
          <cell r="B2793" t="str">
            <v>ProCare 24x7 3年 3PAR 7200 Virtual Copy</v>
          </cell>
          <cell r="C2793" t="str">
            <v>【HPEプロアクティブケア】メーカー推奨／低価格で国内専用窓口の高品質な保守により、システム運用における安心を提供します。</v>
          </cell>
        </row>
        <row r="2794">
          <cell r="A2794" t="str">
            <v>U4Q43E</v>
          </cell>
          <cell r="B2794" t="str">
            <v>ProCare 24x7 3年 3PAR 7200 Adapt Optim</v>
          </cell>
          <cell r="C2794" t="str">
            <v>【HPEプロアクティブケア】メーカー推奨／低価格で国内専用窓口の高品質な保守により、システム運用における安心を提供します。</v>
          </cell>
        </row>
        <row r="2795">
          <cell r="A2795" t="str">
            <v>U4Q44E</v>
          </cell>
          <cell r="B2795" t="str">
            <v>ProCare 24x7 3年 3PAR 7200 Dynamic Optim</v>
          </cell>
          <cell r="C2795" t="str">
            <v>【HPEプロアクティブケア】メーカー推奨／低価格で国内専用窓口の高品質な保守により、システム運用における安心を提供します。</v>
          </cell>
        </row>
        <row r="2796">
          <cell r="A2796" t="str">
            <v>U4Q45E</v>
          </cell>
          <cell r="B2796" t="str">
            <v>ProCare 24x7 3年 3PAR 7200 Peer Motion</v>
          </cell>
          <cell r="C2796" t="str">
            <v>【HPEプロアクティブケア】メーカー推奨／低価格で国内専用窓口の高品質な保守により、システム運用における安心を提供します。</v>
          </cell>
        </row>
        <row r="2797">
          <cell r="A2797" t="str">
            <v>U4Q46E</v>
          </cell>
          <cell r="B2797" t="str">
            <v>ProCare 24x7 3年 3PAR 7200 Securi Suite</v>
          </cell>
          <cell r="C2797" t="str">
            <v>【HPEプロアクティブケア】メーカー推奨／低価格で国内専用窓口の高品質な保守により、システム運用における安心を提供します。</v>
          </cell>
        </row>
        <row r="2798">
          <cell r="A2798" t="str">
            <v>U4Q47E</v>
          </cell>
          <cell r="B2798" t="str">
            <v>ProCare 24x7 3年 3PAR 7200 Virt Domains</v>
          </cell>
          <cell r="C2798" t="str">
            <v>【HPEプロアクティブケア】メーカー推奨／低価格で国内専用窓口の高品質な保守により、システム運用における安心を提供します。</v>
          </cell>
        </row>
        <row r="2799">
          <cell r="A2799" t="str">
            <v>U4Q48E</v>
          </cell>
          <cell r="B2799" t="str">
            <v>ProCare 24x7 3年 3PAR 7200 Ver Lock</v>
          </cell>
          <cell r="C2799" t="str">
            <v>【HPEプロアクティブケア】メーカー推奨／低価格で国内専用窓口の高品質な保守により、システム運用における安心を提供します。</v>
          </cell>
        </row>
        <row r="2800">
          <cell r="A2800" t="str">
            <v>U4Q49E</v>
          </cell>
          <cell r="B2800" t="str">
            <v>ProCare 24x7 3年 3PAR 7200 Report Suite</v>
          </cell>
          <cell r="C2800" t="str">
            <v>【HPEプロアクティブケア】メーカー推奨／低価格で国内専用窓口の高品質な保守により、システム運用における安心を提供します。</v>
          </cell>
        </row>
        <row r="2801">
          <cell r="A2801" t="str">
            <v>U4Q50E</v>
          </cell>
          <cell r="B2801" t="str">
            <v>ProCare 24x7 3年 3PAR 7200 App Suite</v>
          </cell>
          <cell r="C2801" t="str">
            <v>【HPEプロアクティブケア】メーカー推奨／低価格で国内専用窓口の高品質な保守により、システム運用における安心を提供します。</v>
          </cell>
        </row>
        <row r="2802">
          <cell r="A2802" t="str">
            <v>U4Q51E</v>
          </cell>
          <cell r="B2802" t="str">
            <v>ProCare 24x7 3年 3PAR 7200 Peer Persist</v>
          </cell>
          <cell r="C2802" t="str">
            <v>【HPEプロアクティブケア】メーカー推奨／低価格で国内専用窓口の高品質な保守により、システム運用における安心を提供します。</v>
          </cell>
        </row>
        <row r="2803">
          <cell r="A2803" t="str">
            <v>U4Q52E</v>
          </cell>
          <cell r="B2803" t="str">
            <v>ProCare 24x7 3年 3PAR 7400 OS Suite</v>
          </cell>
          <cell r="C2803" t="str">
            <v>【HPEプロアクティブケア】メーカー推奨／低価格で国内専用窓口の高品質な保守により、システム運用における安心を提供します。</v>
          </cell>
        </row>
        <row r="2804">
          <cell r="A2804" t="str">
            <v>U4Q53E</v>
          </cell>
          <cell r="B2804" t="str">
            <v>ProCare 24x7 3年 3PAR 7400 Repli Suite</v>
          </cell>
          <cell r="C2804" t="str">
            <v>【HPEプロアクティブケア】メーカー推奨／低価格で国内専用窓口の高品質な保守により、システム運用における安心を提供します。</v>
          </cell>
        </row>
        <row r="2805">
          <cell r="A2805" t="str">
            <v>U4Q54E</v>
          </cell>
          <cell r="B2805" t="str">
            <v>ProCare 24x7 3年 3PAR 7400 Remote Copy</v>
          </cell>
          <cell r="C2805" t="str">
            <v>【HPEプロアクティブケア】メーカー推奨／低価格で国内専用窓口の高品質な保守により、システム運用における安心を提供します。</v>
          </cell>
        </row>
        <row r="2806">
          <cell r="A2806" t="str">
            <v>U4Q55E</v>
          </cell>
          <cell r="B2806" t="str">
            <v>ProCare 24x7 3年 3PAR 7400 Virtual Copy</v>
          </cell>
          <cell r="C2806" t="str">
            <v>【HPEプロアクティブケア】メーカー推奨／低価格で国内専用窓口の高品質な保守により、システム運用における安心を提供します。</v>
          </cell>
        </row>
        <row r="2807">
          <cell r="A2807" t="str">
            <v>U4Q57E</v>
          </cell>
          <cell r="B2807" t="str">
            <v>ProCare 24x7 3年 3PAR 7400 Adapt Optim</v>
          </cell>
          <cell r="C2807" t="str">
            <v>【HPEプロアクティブケア】メーカー推奨／低価格で国内専用窓口の高品質な保守により、システム運用における安心を提供します。</v>
          </cell>
        </row>
        <row r="2808">
          <cell r="A2808" t="str">
            <v>U4Q58E</v>
          </cell>
          <cell r="B2808" t="str">
            <v>ProCare 24x7 3年 3PAR 7400 Dynamic Optim</v>
          </cell>
          <cell r="C2808" t="str">
            <v>【HPEプロアクティブケア】メーカー推奨／低価格で国内専用窓口の高品質な保守により、システム運用における安心を提供します。</v>
          </cell>
        </row>
        <row r="2809">
          <cell r="A2809" t="str">
            <v>U4Q59E</v>
          </cell>
          <cell r="B2809" t="str">
            <v>ProCare 24x7 3年 3PAR 7400 Peer Motion</v>
          </cell>
          <cell r="C2809" t="str">
            <v>【HPEプロアクティブケア】メーカー推奨／低価格で国内専用窓口の高品質な保守により、システム運用における安心を提供します。</v>
          </cell>
        </row>
        <row r="2810">
          <cell r="A2810" t="str">
            <v>U4Q60E</v>
          </cell>
          <cell r="B2810" t="str">
            <v>ProCare 24x7 3年 3PAR 7400 Securi Suite</v>
          </cell>
          <cell r="C2810" t="str">
            <v>【HPEプロアクティブケア】メーカー推奨／低価格で国内専用窓口の高品質な保守により、システム運用における安心を提供します。</v>
          </cell>
        </row>
        <row r="2811">
          <cell r="A2811" t="str">
            <v>U4Q61E</v>
          </cell>
          <cell r="B2811" t="str">
            <v>ProCare 24x7 3年 3PAR 7400 Virt Domains</v>
          </cell>
          <cell r="C2811" t="str">
            <v>【HPEプロアクティブケア】メーカー推奨／低価格で国内専用窓口の高品質な保守により、システム運用における安心を提供します。</v>
          </cell>
        </row>
        <row r="2812">
          <cell r="A2812" t="str">
            <v>U4Q62E</v>
          </cell>
          <cell r="B2812" t="str">
            <v>ProCare 24x7 3年 3PAR 7400 Ver Lock</v>
          </cell>
          <cell r="C2812" t="str">
            <v>【HPEプロアクティブケア】メーカー推奨／低価格で国内専用窓口の高品質な保守により、システム運用における安心を提供します。</v>
          </cell>
        </row>
        <row r="2813">
          <cell r="A2813" t="str">
            <v>U4Q63E</v>
          </cell>
          <cell r="B2813" t="str">
            <v>ProCare 24x7 3年 3PAR 7400 Report Suite</v>
          </cell>
          <cell r="C2813" t="str">
            <v>【HPEプロアクティブケア】メーカー推奨／低価格で国内専用窓口の高品質な保守により、システム運用における安心を提供します。</v>
          </cell>
        </row>
        <row r="2814">
          <cell r="A2814" t="str">
            <v>U4Q64E</v>
          </cell>
          <cell r="B2814" t="str">
            <v>ProCare 24x7 3年 3PAR 7400 App Suite</v>
          </cell>
          <cell r="C2814" t="str">
            <v>【HPEプロアクティブケア】メーカー推奨／低価格で国内専用窓口の高品質な保守により、システム運用における安心を提供します。</v>
          </cell>
        </row>
        <row r="2815">
          <cell r="A2815" t="str">
            <v>U4Q65E</v>
          </cell>
          <cell r="B2815" t="str">
            <v>ProCare 24x7 3年 3PAR 7400 Peer Persist</v>
          </cell>
          <cell r="C2815" t="str">
            <v>【HPEプロアクティブケア】メーカー推奨／低価格で国内専用窓口の高品質な保守により、システム運用における安心を提供します。</v>
          </cell>
        </row>
        <row r="2816">
          <cell r="A2816" t="str">
            <v>U4X62E</v>
          </cell>
          <cell r="B2816" t="str">
            <v>ProCare24x7 3年 3PAR 7440/50 OS LTU</v>
          </cell>
          <cell r="C2816" t="str">
            <v>【HPEプロアクティブケア】メーカー推奨／低価格で国内専用窓口の高品質な保守により、システム運用における安心を提供します。</v>
          </cell>
        </row>
        <row r="2817">
          <cell r="A2817" t="str">
            <v>U4X64E</v>
          </cell>
          <cell r="B2817" t="str">
            <v>ProCare24x7 3年 3PAR 7440/50 Repli LTU</v>
          </cell>
          <cell r="C2817" t="str">
            <v>【HPEプロアクティブケア】メーカー推奨／低価格で国内専用窓口の高品質な保守により、システム運用における安心を提供します。</v>
          </cell>
        </row>
        <row r="2818">
          <cell r="A2818" t="str">
            <v>U4X68E</v>
          </cell>
          <cell r="B2818" t="str">
            <v>ProCare24x7 3年 3PAR 7440/50 SecSte LTU</v>
          </cell>
          <cell r="C2818" t="str">
            <v>【HPEプロアクティブケア】メーカー推奨／低価格で国内専用窓口の高品質な保守により、システム運用における安心を提供します。</v>
          </cell>
        </row>
        <row r="2819">
          <cell r="A2819" t="str">
            <v>U4X70E</v>
          </cell>
          <cell r="B2819" t="str">
            <v>ProCare24x7 3年 3PAR 7440/50 VC LTU</v>
          </cell>
          <cell r="C2819" t="str">
            <v>【HPEプロアクティブケア】メーカー推奨／低価格で国内専用窓口の高品質な保守により、システム運用における安心を提供します。</v>
          </cell>
        </row>
        <row r="2820">
          <cell r="A2820" t="str">
            <v>U4X72E</v>
          </cell>
          <cell r="B2820" t="str">
            <v>ProCare24x7 3年 3PAR 7440/50 RC LTU</v>
          </cell>
          <cell r="C2820" t="str">
            <v>【HPEプロアクティブケア】メーカー推奨／低価格で国内専用窓口の高品質な保守により、システム運用における安心を提供します。</v>
          </cell>
        </row>
        <row r="2821">
          <cell r="A2821" t="str">
            <v>U4X74E</v>
          </cell>
          <cell r="B2821" t="str">
            <v>ProCare24x7 3年 3PAR 7440/50 DO LTU</v>
          </cell>
          <cell r="C2821" t="str">
            <v>【HPEプロアクティブケア】メーカー推奨／低価格で国内専用窓口の高品質な保守により、システム運用における安心を提供します。</v>
          </cell>
        </row>
        <row r="2822">
          <cell r="A2822" t="str">
            <v>U4X76E</v>
          </cell>
          <cell r="B2822" t="str">
            <v>ProCare24x7 3年 3PAR 7440/50 AO LTU</v>
          </cell>
          <cell r="C2822" t="str">
            <v>【HPEプロアクティブケア】メーカー推奨／低価格で国内専用窓口の高品質な保守により、システム運用における安心を提供します。</v>
          </cell>
        </row>
        <row r="2823">
          <cell r="A2823" t="str">
            <v>U4X78E</v>
          </cell>
          <cell r="B2823" t="str">
            <v>ProCare24x7 3年 3PAR 7440/50 PM LTU</v>
          </cell>
          <cell r="C2823" t="str">
            <v>【HPEプロアクティブケア】メーカー推奨／低価格で国内専用窓口の高品質な保守により、システム運用における安心を提供します。</v>
          </cell>
        </row>
        <row r="2824">
          <cell r="A2824" t="str">
            <v>U4X80E</v>
          </cell>
          <cell r="B2824" t="str">
            <v>ProCare24x7 3年 3PAR 7440/50 VD LTU</v>
          </cell>
          <cell r="C2824" t="str">
            <v>【HPEプロアクティブケア】メーカー推奨／低価格で国内専用窓口の高品質な保守により、システム運用における安心を提供します。</v>
          </cell>
        </row>
        <row r="2825">
          <cell r="A2825" t="str">
            <v>U4X82E</v>
          </cell>
          <cell r="B2825" t="str">
            <v>ProCare24x7 3年 3PAR 7440/50 VL LTU</v>
          </cell>
          <cell r="C2825" t="str">
            <v>【HPEプロアクティブケア】メーカー推奨／低価格で国内専用窓口の高品質な保守により、システム運用における安心を提供します。</v>
          </cell>
        </row>
        <row r="2826">
          <cell r="A2826" t="str">
            <v>U4X84E</v>
          </cell>
          <cell r="B2826" t="str">
            <v>ProCare24x7 3年 3PAR7440/50ReportingLTU</v>
          </cell>
          <cell r="C2826" t="str">
            <v>【HPEプロアクティブケア】メーカー推奨／低価格で国内専用窓口の高品質な保守により、システム運用における安心を提供します。</v>
          </cell>
        </row>
        <row r="2827">
          <cell r="A2827" t="str">
            <v>U4X86E</v>
          </cell>
          <cell r="B2827" t="str">
            <v>ProCare24x7 3年 3PAR7440/50 AppSte LTU</v>
          </cell>
          <cell r="C2827" t="str">
            <v>【HPEプロアクティブケア】メーカー推奨／低価格で国内専用窓口の高品質な保守により、システム運用における安心を提供します。</v>
          </cell>
        </row>
        <row r="2828">
          <cell r="A2828" t="str">
            <v>U4X88E</v>
          </cell>
          <cell r="B2828" t="str">
            <v>ProCare24x7 3年 3PAR 7440/50 PeerP LTU</v>
          </cell>
          <cell r="C2828" t="str">
            <v>【HPEプロアクティブケア】メーカー推奨／低価格で国内専用窓口の高品質な保守により、システム運用における安心を提供します。</v>
          </cell>
        </row>
        <row r="2829">
          <cell r="A2829" t="str">
            <v>U4Y52E</v>
          </cell>
          <cell r="B2829" t="str">
            <v>ProCare24x7 3年 3PAR7440/50 DataEncrTU</v>
          </cell>
          <cell r="C2829" t="str">
            <v>【HPEプロアクティブケア】メーカー推奨／低価格で国内専用窓口の高品質な保守により、システム運用における安心を提供します。</v>
          </cell>
        </row>
        <row r="2830">
          <cell r="A2830" t="str">
            <v>U4Y54E</v>
          </cell>
          <cell r="B2830" t="str">
            <v>ProCare 24x7 3年3PAR 7200 DataEncryption</v>
          </cell>
          <cell r="C2830" t="str">
            <v>【HPEプロアクティブケア】メーカー推奨／低価格で国内専用窓口の高品質な保守により、システム運用における安心を提供します。</v>
          </cell>
        </row>
        <row r="2831">
          <cell r="A2831" t="str">
            <v>U4Y56E</v>
          </cell>
          <cell r="B2831" t="str">
            <v>ProCare 24x7 3年3PAR 7400 DataEncryption</v>
          </cell>
          <cell r="C2831" t="str">
            <v>【HPEプロアクティブケア】メーカー推奨／低価格で国内専用窓口の高品質な保守により、システム運用における安心を提供します。</v>
          </cell>
        </row>
        <row r="2832">
          <cell r="A2832" t="str">
            <v>U4Z42E</v>
          </cell>
          <cell r="B2832" t="str">
            <v>ProCare 24x7 3年 3PAR 7200 App Hyper-V</v>
          </cell>
          <cell r="C2832" t="str">
            <v>【HPEプロアクティブケア】メーカー推奨／低価格で国内専用窓口の高品質な保守により、システム運用における安心を提供します。</v>
          </cell>
        </row>
        <row r="2833">
          <cell r="A2833" t="str">
            <v>U4Z48E</v>
          </cell>
          <cell r="B2833" t="str">
            <v>ProCare 24x7 3年3PAR 7200 OnlineImp 180d</v>
          </cell>
          <cell r="C2833" t="str">
            <v>【HPEプロアクティブケア】メーカー推奨／低価格で国内専用窓口の高品質な保守により、システム運用における安心を提供します。</v>
          </cell>
        </row>
        <row r="2834">
          <cell r="A2834" t="str">
            <v>U4Z54E</v>
          </cell>
          <cell r="B2834" t="str">
            <v>ProCare 24x7 3年 3PAR7200 Priority Optim</v>
          </cell>
          <cell r="C2834" t="str">
            <v>【HPEプロアクティブケア】メーカー推奨／低価格で国内専用窓口の高品質な保守により、システム運用における安心を提供します。</v>
          </cell>
        </row>
        <row r="2835">
          <cell r="A2835" t="str">
            <v>U4Z66E</v>
          </cell>
          <cell r="B2835" t="str">
            <v>ProCare 24x7 3年3PAR 7200 Adv Data Optim</v>
          </cell>
          <cell r="C2835" t="str">
            <v>【HPEプロアクティブケア】メーカー推奨／低価格で国内専用窓口の高品質な保守により、システム運用における安心を提供します。</v>
          </cell>
        </row>
        <row r="2836">
          <cell r="A2836" t="str">
            <v>U5A50E</v>
          </cell>
          <cell r="B2836" t="str">
            <v>ProCare 24x7 3年 3PAR 7400 App Hyper-V</v>
          </cell>
          <cell r="C2836" t="str">
            <v>【HPEプロアクティブケア】メーカー推奨／低価格で国内専用窓口の高品質な保守により、システム運用における安心を提供します。</v>
          </cell>
        </row>
        <row r="2837">
          <cell r="A2837" t="str">
            <v>U5A56E</v>
          </cell>
          <cell r="B2837" t="str">
            <v>ProCare 24x7 3年3PAR 7400 OnlineImp 180d</v>
          </cell>
          <cell r="C2837" t="str">
            <v>【HPEプロアクティブケア】メーカー推奨／低価格で国内専用窓口の高品質な保守により、システム運用における安心を提供します。</v>
          </cell>
        </row>
        <row r="2838">
          <cell r="A2838" t="str">
            <v>U5A62E</v>
          </cell>
          <cell r="B2838" t="str">
            <v>ProCare 24x7 3年3PAR 7400 Priority Optim</v>
          </cell>
          <cell r="C2838" t="str">
            <v>【HPEプロアクティブケア】メーカー推奨／低価格で国内専用窓口の高品質な保守により、システム運用における安心を提供します。</v>
          </cell>
        </row>
        <row r="2839">
          <cell r="A2839" t="str">
            <v>U5A74E</v>
          </cell>
          <cell r="B2839" t="str">
            <v>ProCare 24x7 3年3PAR 7400 Adv Data Optim</v>
          </cell>
          <cell r="C2839" t="str">
            <v>【HPEプロアクティブケア】メーカー推奨／低価格で国内専用窓口の高品質な保守により、システム運用における安心を提供します。</v>
          </cell>
        </row>
        <row r="2840">
          <cell r="A2840" t="str">
            <v>U5A86E</v>
          </cell>
          <cell r="B2840" t="str">
            <v>ProCare24x7 3年 3PAR 7440/50 OS Drv LTU</v>
          </cell>
          <cell r="C2840" t="str">
            <v>【HPEプロアクティブケア】メーカー推奨／低価格で国内専用窓口の高品質な保守により、システム運用における安心を提供します。</v>
          </cell>
        </row>
        <row r="2841">
          <cell r="A2841" t="str">
            <v>U5A92E</v>
          </cell>
          <cell r="B2841" t="str">
            <v>ProCare24x7 3年 3PAR7440/50 Repl DrvLTU</v>
          </cell>
          <cell r="C2841" t="str">
            <v>【HPEプロアクティブケア】メーカー推奨／低価格で国内専用窓口の高品質な保守により、システム運用における安心を提供します。</v>
          </cell>
        </row>
        <row r="2842">
          <cell r="A2842" t="str">
            <v>U5A98E</v>
          </cell>
          <cell r="B2842" t="str">
            <v>ProCare24x7 3年 3PAR7440/50 SecStDrvLTU</v>
          </cell>
          <cell r="C2842" t="str">
            <v>【HPEプロアクティブケア】メーカー推奨／低価格で国内専用窓口の高品質な保守により、システム運用における安心を提供します。</v>
          </cell>
        </row>
        <row r="2843">
          <cell r="A2843" t="str">
            <v>U5AL2E</v>
          </cell>
          <cell r="B2843" t="str">
            <v>ProCare 24x7 3年 3PAR7K 1.92T cMLCSSD</v>
          </cell>
          <cell r="C2843" t="str">
            <v>【HPEプロアクティブケア】メーカー推奨／低価格で国内専用窓口の高品質な保守により、システム運用における安心を提供します。</v>
          </cell>
        </row>
        <row r="2844">
          <cell r="A2844" t="str">
            <v>U5AL3E</v>
          </cell>
          <cell r="B2844" t="str">
            <v>PC HD返却不要24x7 3年3PAR7K 1.92TcMLCSSD</v>
          </cell>
          <cell r="C2844" t="str">
            <v>【HPEプロアクティブケア】メーカー推奨／低価格で国内専用窓口の高品質な保守により、システム運用における安心を提供します。</v>
          </cell>
        </row>
        <row r="2845">
          <cell r="A2845" t="str">
            <v>U5AL6E</v>
          </cell>
          <cell r="B2845" t="str">
            <v>FC 24x7 3年 3PAR7K 1.92T cMLCSSD</v>
          </cell>
          <cell r="C2845" t="str">
            <v>【ファウンデーションケア】</v>
          </cell>
        </row>
        <row r="2846">
          <cell r="A2846" t="str">
            <v>U5AL7E</v>
          </cell>
          <cell r="B2846" t="str">
            <v>FC24x7HD返却不3年 3PAR7K 1.92TcMLCSSD</v>
          </cell>
          <cell r="C2846" t="str">
            <v>【ファウンデーションケア】</v>
          </cell>
        </row>
        <row r="2847">
          <cell r="A2847" t="str">
            <v>U5B04E</v>
          </cell>
          <cell r="B2847" t="str">
            <v>ProCare24x7 3年 3PAR 7440/50 VC Drv LTU</v>
          </cell>
          <cell r="C2847" t="str">
            <v>【HPEプロアクティブケア】メーカー推奨／低価格で国内専用窓口の高品質な保守により、システム運用における安心を提供します。</v>
          </cell>
        </row>
        <row r="2848">
          <cell r="A2848" t="str">
            <v>U5B10E</v>
          </cell>
          <cell r="B2848" t="str">
            <v>ProCare24x7 3年 3PAR 7440/50 RC Drv LTU</v>
          </cell>
          <cell r="C2848" t="str">
            <v>【HPEプロアクティブケア】メーカー推奨／低価格で国内専用窓口の高品質な保守により、システム運用における安心を提供します。</v>
          </cell>
        </row>
        <row r="2849">
          <cell r="A2849" t="str">
            <v>U5B16E</v>
          </cell>
          <cell r="B2849" t="str">
            <v>ProCare24x7 3年 3PAR 7440/50 DO DrvLTU</v>
          </cell>
          <cell r="C2849" t="str">
            <v>【HPEプロアクティブケア】メーカー推奨／低価格で国内専用窓口の高品質な保守により、システム運用における安心を提供します。</v>
          </cell>
        </row>
        <row r="2850">
          <cell r="A2850" t="str">
            <v>U5B22E</v>
          </cell>
          <cell r="B2850" t="str">
            <v>ProCare24x7 3年 3PAR 7440/50 AO DrvLTU</v>
          </cell>
          <cell r="C2850" t="str">
            <v>【HPEプロアクティブケア】メーカー推奨／低価格で国内専用窓口の高品質な保守により、システム運用における安心を提供します。</v>
          </cell>
        </row>
        <row r="2851">
          <cell r="A2851" t="str">
            <v>U5B28E</v>
          </cell>
          <cell r="B2851" t="str">
            <v>ProCare24x7 3年 3PAR 7440/50 PM DrvLTU</v>
          </cell>
          <cell r="C2851" t="str">
            <v>【HPEプロアクティブケア】メーカー推奨／低価格で国内専用窓口の高品質な保守により、システム運用における安心を提供します。</v>
          </cell>
        </row>
        <row r="2852">
          <cell r="A2852" t="str">
            <v>U5B34E</v>
          </cell>
          <cell r="B2852" t="str">
            <v>ProCare24x7 3年 3PAR 7440/50 VD DrvLTU</v>
          </cell>
          <cell r="C2852" t="str">
            <v>【HPEプロアクティブケア】メーカー推奨／低価格で国内専用窓口の高品質な保守により、システム運用における安心を提供します。</v>
          </cell>
        </row>
        <row r="2853">
          <cell r="A2853" t="str">
            <v>U5B40E</v>
          </cell>
          <cell r="B2853" t="str">
            <v>ProCare24x7 3年 3PAR 7440/50 VL DrvLTU</v>
          </cell>
          <cell r="C2853" t="str">
            <v>【HPEプロアクティブケア】メーカー推奨／低価格で国内専用窓口の高品質な保守により、システム運用における安心を提供します。</v>
          </cell>
        </row>
        <row r="2854">
          <cell r="A2854" t="str">
            <v>U5B46E</v>
          </cell>
          <cell r="B2854" t="str">
            <v>ProCare24x7 3年 3PAR 7440/50 PrP DrvLTU</v>
          </cell>
          <cell r="C2854" t="str">
            <v>【HPEプロアクティブケア】メーカー推奨／低価格で国内専用窓口の高品質な保守により、システム運用における安心を提供します。</v>
          </cell>
        </row>
        <row r="2855">
          <cell r="A2855" t="str">
            <v>U5B52E</v>
          </cell>
          <cell r="B2855" t="str">
            <v>ProCare24x7 3年 3PAR7440/50 ApHyprV LTU</v>
          </cell>
          <cell r="C2855" t="str">
            <v>【HPEプロアクティブケア】メーカー推奨／低価格で国内専用窓口の高品質な保守により、システム運用における安心を提供します。</v>
          </cell>
        </row>
        <row r="2856">
          <cell r="A2856" t="str">
            <v>U5B58E</v>
          </cell>
          <cell r="B2856" t="str">
            <v>ProCare24x7 3年3PAR7440/50 OnlineImpLTU</v>
          </cell>
          <cell r="C2856" t="str">
            <v>【HPEプロアクティブケア】メーカー推奨／低価格で国内専用窓口の高品質な保守により、システム運用における安心を提供します。</v>
          </cell>
        </row>
        <row r="2857">
          <cell r="A2857" t="str">
            <v>U5B64E</v>
          </cell>
          <cell r="B2857" t="str">
            <v>ProCare24x7 3年 3PAR7440/50 PriOpt LTU</v>
          </cell>
          <cell r="C2857" t="str">
            <v>【HPEプロアクティブケア】メーカー推奨／低価格で国内専用窓口の高品質な保守により、システム運用における安心を提供します。</v>
          </cell>
        </row>
        <row r="2858">
          <cell r="A2858" t="str">
            <v>U5B70E</v>
          </cell>
          <cell r="B2858" t="str">
            <v>ProCare24x7 3年3PAR7440/50 PriOptDrvLTU</v>
          </cell>
          <cell r="C2858" t="str">
            <v>【HPEプロアクティブケア】メーカー推奨／低価格で国内専用窓口の高品質な保守により、システム運用における安心を提供します。</v>
          </cell>
        </row>
        <row r="2859">
          <cell r="A2859" t="str">
            <v>U5B76E</v>
          </cell>
          <cell r="B2859" t="str">
            <v>ProCare24x7 3年 3PAR 7440/50 DtOPt LTU</v>
          </cell>
          <cell r="C2859" t="str">
            <v>【HPEプロアクティブケア】メーカー推奨／低価格で国内専用窓口の高品質な保守により、システム運用における安心を提供します。</v>
          </cell>
        </row>
        <row r="2860">
          <cell r="A2860" t="str">
            <v>U5B82E</v>
          </cell>
          <cell r="B2860" t="str">
            <v>ProCare24x7 3年 3PAR7440/50 DtOPtDrvLTU</v>
          </cell>
          <cell r="C2860" t="str">
            <v>【HPEプロアクティブケア】メーカー推奨／低価格で国内専用窓口の高品質な保守により、システム運用における安心を提供します。</v>
          </cell>
        </row>
        <row r="2861">
          <cell r="A2861" t="str">
            <v>U5PT1E</v>
          </cell>
          <cell r="B2861" t="str">
            <v>ProCare 24x7 3年 3PAR 7K 920G 5y MLC SSD</v>
          </cell>
          <cell r="C2861" t="str">
            <v>【HPEプロアクティブケア】メーカー推奨／低価格で国内専用窓口の高品質な保守により、システム運用における安心を提供します。</v>
          </cell>
        </row>
        <row r="2862">
          <cell r="A2862" t="str">
            <v>U5PT2E</v>
          </cell>
          <cell r="B2862" t="str">
            <v>ProCare DMR24x7 3年3PAR7K 920G 5yMLC SSD</v>
          </cell>
          <cell r="C2862" t="str">
            <v>【HPEプロアクティブケア】メーカー推奨／低価格で国内専用窓口の高品質な保守により、システム運用における安心を提供します。</v>
          </cell>
        </row>
        <row r="2863">
          <cell r="A2863" t="str">
            <v>U5PT5E</v>
          </cell>
          <cell r="B2863" t="str">
            <v>FC 24x7 3年 3PAR 7K 920G 5y MLC SSD</v>
          </cell>
          <cell r="C2863" t="str">
            <v>【ファウンデーションケア】</v>
          </cell>
        </row>
        <row r="2864">
          <cell r="A2864" t="str">
            <v>U5PT6E</v>
          </cell>
          <cell r="B2864" t="str">
            <v>FC 24x7 DMR 3年3PAR7K 920G 5y MLC SSD</v>
          </cell>
          <cell r="C2864" t="str">
            <v>【ファウンデーションケア】</v>
          </cell>
        </row>
        <row r="2865">
          <cell r="A2865" t="str">
            <v>U6QS9E</v>
          </cell>
          <cell r="B2865" t="str">
            <v>ProCare24x7 3年 3PAR 7400c Upg Nd</v>
          </cell>
          <cell r="C2865" t="str">
            <v>【HPEプロアクティブケア】メーカー推奨／低価格で国内専用窓口の高品質な保守により、システム運用における安心を提供します。</v>
          </cell>
        </row>
        <row r="2866">
          <cell r="A2866" t="str">
            <v>U6QT3E</v>
          </cell>
          <cell r="B2866" t="str">
            <v>FC24x7 3年 3PAR 7400c Upg Nd</v>
          </cell>
          <cell r="C2866" t="str">
            <v>【ファウンデーションケア】</v>
          </cell>
        </row>
        <row r="2867">
          <cell r="A2867" t="str">
            <v>U6QW9E</v>
          </cell>
          <cell r="B2867" t="str">
            <v>ProCare24x7 3年 3PAR 7440/50c Upg Nd</v>
          </cell>
          <cell r="C2867" t="str">
            <v>【HPEプロアクティブケア】メーカー推奨／低価格で国内専用窓口の高品質な保守により、システム運用における安心を提供します。</v>
          </cell>
        </row>
        <row r="2868">
          <cell r="A2868" t="str">
            <v>U6QX3E</v>
          </cell>
          <cell r="B2868" t="str">
            <v>FC24x7 3年 3PAR 7440/50c Upg Nd</v>
          </cell>
          <cell r="C2868" t="str">
            <v>【ファウンデーションケア】</v>
          </cell>
        </row>
        <row r="2869">
          <cell r="A2869" t="str">
            <v>U6RW9E</v>
          </cell>
          <cell r="B2869" t="str">
            <v>ProCare24x7 3年 3PAR 7000 2PtFC Adapt</v>
          </cell>
          <cell r="C2869" t="str">
            <v>【HPEプロアクティブケア】メーカー推奨／低価格で国内専用窓口の高品質な保守により、システム運用における安心を提供します。</v>
          </cell>
        </row>
        <row r="2870">
          <cell r="A2870" t="str">
            <v>U6RX3E</v>
          </cell>
          <cell r="B2870" t="str">
            <v>FC24x7 3年 3PAR 7000 2PtFC Adapt</v>
          </cell>
          <cell r="C2870" t="str">
            <v>【ファウンデーションケア】</v>
          </cell>
        </row>
        <row r="2871">
          <cell r="A2871" t="str">
            <v>U6SA9E</v>
          </cell>
          <cell r="B2871" t="str">
            <v>ProCare24x7 3年 3PAR 7000 2PtETH Adapt</v>
          </cell>
          <cell r="C2871" t="str">
            <v>【HPEプロアクティブケア】メーカー推奨／低価格で国内専用窓口の高品質な保守により、システム運用における安心を提供します。</v>
          </cell>
        </row>
        <row r="2872">
          <cell r="A2872" t="str">
            <v>U6SB3E</v>
          </cell>
          <cell r="B2872" t="str">
            <v>FC24x7 3年 3PAR 7000 2PtETH Adapt</v>
          </cell>
          <cell r="C2872" t="str">
            <v>【ファウンデーションケア】</v>
          </cell>
        </row>
        <row r="2873">
          <cell r="A2873" t="str">
            <v>U6SE9E</v>
          </cell>
          <cell r="B2873" t="str">
            <v>ProCare24x7 3年 3PAR 7000 4PtETH Adapt</v>
          </cell>
          <cell r="C2873" t="str">
            <v>【HPEプロアクティブケア】メーカー推奨／低価格で国内専用窓口の高品質な保守により、システム運用における安心を提供します。</v>
          </cell>
        </row>
        <row r="2874">
          <cell r="A2874" t="str">
            <v>U6SF3E</v>
          </cell>
          <cell r="B2874" t="str">
            <v>FC24x7 3年 3PAR 7000 4PtETH Adapt</v>
          </cell>
          <cell r="C2874" t="str">
            <v>【ファウンデーションケア】</v>
          </cell>
        </row>
        <row r="2875">
          <cell r="A2875" t="str">
            <v>U7EZ0E</v>
          </cell>
          <cell r="B2875" t="str">
            <v>FC 24x7 3年 StoreFront 3PAR LTU用</v>
          </cell>
          <cell r="C2875" t="str">
            <v>【ファウンデーションケア】</v>
          </cell>
        </row>
        <row r="2876">
          <cell r="A2876" t="str">
            <v>U7EZ3E</v>
          </cell>
          <cell r="B2876" t="str">
            <v>ProCare 24x7 3年 StoreFront 3PAR LTU用</v>
          </cell>
          <cell r="C2876" t="str">
            <v>【HPEプロアクティブケア】メーカー推奨／低価格で国内専用窓口の高品質な保守により、システム運用における安心を提供します。</v>
          </cell>
        </row>
        <row r="2877">
          <cell r="A2877" t="str">
            <v>U7LX9E</v>
          </cell>
          <cell r="B2877" t="str">
            <v>ProCare24x7 3年 3PAR 7000 6TB HDD</v>
          </cell>
          <cell r="C2877" t="str">
            <v>【HPEプロアクティブケア】メーカー推奨／低価格で国内専用窓口の高品質な保守により、システム運用における安心を提供します。</v>
          </cell>
        </row>
        <row r="2878">
          <cell r="A2878" t="str">
            <v>U7LY1E</v>
          </cell>
          <cell r="B2878" t="str">
            <v>ProCareHD返却不24x7 3年3PAR7000 6TB HD用</v>
          </cell>
          <cell r="C2878" t="str">
            <v>【HPEプロアクティブケア】メーカー推奨／低価格で国内専用窓口の高品質な保守により、システム運用における安心を提供します。</v>
          </cell>
        </row>
        <row r="2879">
          <cell r="A2879" t="str">
            <v>U7LY3E</v>
          </cell>
          <cell r="B2879" t="str">
            <v>FC24x7 3年 3PAR 7000 6TB HDD</v>
          </cell>
          <cell r="C2879" t="str">
            <v>【ファウンデーションケア】</v>
          </cell>
        </row>
        <row r="2880">
          <cell r="A2880" t="str">
            <v>U7LY5E</v>
          </cell>
          <cell r="B2880" t="str">
            <v>FC24x7HD返却不要3年3PAR7000 6TB HDD用</v>
          </cell>
          <cell r="C2880" t="str">
            <v>【ファウンデーションケア】</v>
          </cell>
        </row>
        <row r="2881">
          <cell r="A2881" t="str">
            <v>U8GE1E</v>
          </cell>
          <cell r="B2881" t="str">
            <v>FC 24x7 3年 3PAR 7200c FPS用</v>
          </cell>
          <cell r="C2881" t="str">
            <v>【ファウンデーションケア】</v>
          </cell>
        </row>
        <row r="2882">
          <cell r="A2882" t="str">
            <v>U8GE4E</v>
          </cell>
          <cell r="B2882" t="str">
            <v>ProCare 24x7 3年 3PAR 7200c FPS用</v>
          </cell>
          <cell r="C2882" t="str">
            <v>【HPEプロアクティブケア】メーカー推奨／低価格で国内専用窓口の高品質な保守により、システム運用における安心を提供します。</v>
          </cell>
        </row>
        <row r="2883">
          <cell r="A2883" t="str">
            <v>U8GF0E</v>
          </cell>
          <cell r="B2883" t="str">
            <v>FC 24x7 3年 3PAR 7400c FPS用</v>
          </cell>
          <cell r="C2883" t="str">
            <v>【ファウンデーションケア】</v>
          </cell>
        </row>
        <row r="2884">
          <cell r="A2884" t="str">
            <v>U8GF3E</v>
          </cell>
          <cell r="B2884" t="str">
            <v>ProCare 24x7 3年 3PAR 7400c FPS用</v>
          </cell>
          <cell r="C2884" t="str">
            <v>【HPEプロアクティブケア】メーカー推奨／低価格で国内専用窓口の高品質な保守により、システム運用における安心を提供します。</v>
          </cell>
        </row>
        <row r="2885">
          <cell r="A2885" t="str">
            <v>U8GF9E</v>
          </cell>
          <cell r="B2885" t="str">
            <v>FC 24x7 3年 3PAR7440c/50c FPS用</v>
          </cell>
          <cell r="C2885" t="str">
            <v>【ファウンデーションケア】</v>
          </cell>
        </row>
        <row r="2886">
          <cell r="A2886" t="str">
            <v>U8GG2E</v>
          </cell>
          <cell r="B2886" t="str">
            <v>ProCare 24x7 3年 3PAR7440c/50c FPS用</v>
          </cell>
          <cell r="C2886" t="str">
            <v>【HPEプロアクティブケア】メーカー推奨／低価格で国内専用窓口の高品質な保守により、システム運用における安心を提供します。</v>
          </cell>
        </row>
        <row r="2887">
          <cell r="A2887" t="str">
            <v>U8GG8E</v>
          </cell>
          <cell r="B2887" t="str">
            <v>ProCare 24x7 3年 3PAR 7K 1.92TB SSD用</v>
          </cell>
          <cell r="C2887" t="str">
            <v>【HPEプロアクティブケア】メーカー推奨／低価格で国内専用窓口の高品質な保守により、システム運用における安心を提供します。</v>
          </cell>
        </row>
        <row r="2888">
          <cell r="A2888" t="str">
            <v>U8GH0E</v>
          </cell>
          <cell r="B2888" t="str">
            <v>ProCareHD返却不24x7 3年3PAR7K1.92T SSD用</v>
          </cell>
          <cell r="C2888" t="str">
            <v>【HPEプロアクティブケア】メーカー推奨／低価格で国内専用窓口の高品質な保守により、システム運用における安心を提供します。</v>
          </cell>
        </row>
        <row r="2889">
          <cell r="A2889" t="str">
            <v>U8GH2E</v>
          </cell>
          <cell r="B2889" t="str">
            <v>FC 24x7 3年 3PAR 7K 1.92TB SSD用</v>
          </cell>
          <cell r="C2889" t="str">
            <v>【ファウンデーションケア】</v>
          </cell>
        </row>
        <row r="2890">
          <cell r="A2890" t="str">
            <v>U8GH4E</v>
          </cell>
          <cell r="B2890" t="str">
            <v>FC 24x7HD返却不要3年3PAR7K1.92T SSD用</v>
          </cell>
          <cell r="C2890" t="str">
            <v>【ファウンデーションケア】</v>
          </cell>
        </row>
        <row r="2891">
          <cell r="A2891" t="str">
            <v>U8GL8E</v>
          </cell>
          <cell r="B2891" t="str">
            <v>ProCare 24x7 3年 3PAR 7K 3.84TB SSD用</v>
          </cell>
          <cell r="C2891" t="str">
            <v>【HPEプロアクティブケア】メーカー推奨／低価格で国内専用窓口の高品質な保守により、システム運用における安心を提供します。</v>
          </cell>
        </row>
        <row r="2892">
          <cell r="A2892" t="str">
            <v>U8GM0E</v>
          </cell>
          <cell r="B2892" t="str">
            <v>ProCareHD返却不24x7 3年3PAR7K3.84T SSD用</v>
          </cell>
          <cell r="C2892" t="str">
            <v>【HPEプロアクティブケア】メーカー推奨／低価格で国内専用窓口の高品質な保守により、システム運用における安心を提供します。</v>
          </cell>
        </row>
        <row r="2893">
          <cell r="A2893" t="str">
            <v>U8GM2E</v>
          </cell>
          <cell r="B2893" t="str">
            <v>FC 24x7 3年 3PAR 7K 3.84TB SSD用</v>
          </cell>
          <cell r="C2893" t="str">
            <v>【ファウンデーションケア】</v>
          </cell>
        </row>
        <row r="2894">
          <cell r="A2894" t="str">
            <v>U8GM4E</v>
          </cell>
          <cell r="B2894" t="str">
            <v>FC 24x7HD返却不要3年3PAR7K3.84T SSD用</v>
          </cell>
          <cell r="C2894" t="str">
            <v>【ファウンデーションケア】</v>
          </cell>
        </row>
        <row r="2895">
          <cell r="A2895" t="str">
            <v>U8VA5E</v>
          </cell>
          <cell r="B2895" t="str">
            <v>ProCare 24x7 3年 3PAR8200DataEncrypti用</v>
          </cell>
          <cell r="C2895" t="str">
            <v>【HPEプロアクティブケア】メーカー推奨／低価格で国内専用窓口の高品質な保守により、システム運用における安心を提供します。</v>
          </cell>
        </row>
        <row r="2896">
          <cell r="A2896" t="str">
            <v>U8VA7E</v>
          </cell>
          <cell r="B2896" t="str">
            <v>ProCare 24x7 4年 3PAR8200DataEncrypti用</v>
          </cell>
          <cell r="C2896" t="str">
            <v>【HPEプロアクティブケア】メーカー推奨／低価格で国内専用窓口の高品質な保守により、システム運用における安心を提供します。</v>
          </cell>
        </row>
        <row r="2897">
          <cell r="A2897" t="str">
            <v>U8VA9E</v>
          </cell>
          <cell r="B2897" t="str">
            <v>ProCare 24x7 5年 3PAR8200DataEncrypti用</v>
          </cell>
          <cell r="C2897" t="str">
            <v>【HPEプロアクティブケア】メーカー推奨／低価格で国内専用窓口の高品質な保守により、システム運用における安心を提供します。</v>
          </cell>
        </row>
        <row r="2898">
          <cell r="A2898" t="str">
            <v>U8VS1E</v>
          </cell>
          <cell r="B2898" t="str">
            <v>ProCare 24x7 3年 3PAR8400DataEncrypti用</v>
          </cell>
          <cell r="C2898" t="str">
            <v>【HPEプロアクティブケア】メーカー推奨／低価格で国内専用窓口の高品質な保守により、システム運用における安心を提供します。</v>
          </cell>
        </row>
        <row r="2899">
          <cell r="A2899" t="str">
            <v>U8VS3E</v>
          </cell>
          <cell r="B2899" t="str">
            <v>ProCare 24x7 4年 3PAR8400DataEncrypti用</v>
          </cell>
          <cell r="C2899" t="str">
            <v>【HPEプロアクティブケア】メーカー推奨／低価格で国内専用窓口の高品質な保守により、システム運用における安心を提供します。</v>
          </cell>
        </row>
        <row r="2900">
          <cell r="A2900" t="str">
            <v>U8VS5E</v>
          </cell>
          <cell r="B2900" t="str">
            <v>ProCare 24x7 5年 3PAR8400DataEncrypti用</v>
          </cell>
          <cell r="C2900" t="str">
            <v>【HPEプロアクティブケア】メーカー推奨／低価格で国内専用窓口の高品質な保守により、システム運用における安心を提供します。</v>
          </cell>
        </row>
        <row r="2901">
          <cell r="A2901" t="str">
            <v>U8WH7E</v>
          </cell>
          <cell r="B2901" t="str">
            <v>ProCare 24x7 3年 3PAR8440DataEncry用</v>
          </cell>
          <cell r="C2901" t="str">
            <v>【HPEプロアクティブケア】メーカー推奨／低価格で国内専用窓口の高品質な保守により、システム運用における安心を提供します。</v>
          </cell>
        </row>
        <row r="2902">
          <cell r="A2902" t="str">
            <v>U8WH9E</v>
          </cell>
          <cell r="B2902" t="str">
            <v>ProCare 24x7 4年 3PAR8440DataEncry用</v>
          </cell>
          <cell r="C2902" t="str">
            <v>【HPEプロアクティブケア】メーカー推奨／低価格で国内専用窓口の高品質な保守により、システム運用における安心を提供します。</v>
          </cell>
        </row>
        <row r="2903">
          <cell r="A2903" t="str">
            <v>U8WJ1E</v>
          </cell>
          <cell r="B2903" t="str">
            <v>ProCare 24x7 5年 3PAR8440DataEncry用</v>
          </cell>
          <cell r="C2903" t="str">
            <v>【HPEプロアクティブケア】メーカー推奨／低価格で国内専用窓口の高品質な保守により、システム運用における安心を提供します。</v>
          </cell>
        </row>
        <row r="2904">
          <cell r="A2904" t="str">
            <v>U8WZ3E</v>
          </cell>
          <cell r="B2904" t="str">
            <v>ProCare 24x7 3年 3PAR8450DataEncry用</v>
          </cell>
          <cell r="C2904" t="str">
            <v>【HPEプロアクティブケア】メーカー推奨／低価格で国内専用窓口の高品質な保守により、システム運用における安心を提供します。</v>
          </cell>
        </row>
        <row r="2905">
          <cell r="A2905" t="str">
            <v>U8WZ5E</v>
          </cell>
          <cell r="B2905" t="str">
            <v>ProCare 24x7 4年 3PAR8450DataEncry用</v>
          </cell>
          <cell r="C2905" t="str">
            <v>【HPEプロアクティブケア】メーカー推奨／低価格で国内専用窓口の高品質な保守により、システム運用における安心を提供します。</v>
          </cell>
        </row>
        <row r="2906">
          <cell r="A2906" t="str">
            <v>U8WZ7E</v>
          </cell>
          <cell r="B2906" t="str">
            <v>ProCare 24x7 5年 3PAR8450DataEncry用</v>
          </cell>
          <cell r="C2906" t="str">
            <v>【HPEプロアクティブケア】メーカー推奨／低価格で国内専用窓口の高品質な保守により、システム運用における安心を提供します。</v>
          </cell>
        </row>
        <row r="2907">
          <cell r="A2907" t="str">
            <v>U8XK7E</v>
          </cell>
          <cell r="B2907" t="str">
            <v>ProCare 24x7 3年 3PAR8k Drive Encl用</v>
          </cell>
          <cell r="C2907" t="str">
            <v>【HPEプロアクティブケア】メーカー推奨／低価格で国内専用窓口の高品質な保守により、システム運用における安心を提供します。</v>
          </cell>
        </row>
        <row r="2908">
          <cell r="A2908" t="str">
            <v>U8XK9E</v>
          </cell>
          <cell r="B2908" t="str">
            <v>ProCare 24x7 4年 3PAR8k Drive Encl用</v>
          </cell>
          <cell r="C2908" t="str">
            <v>【HPEプロアクティブケア】メーカー推奨／低価格で国内専用窓口の高品質な保守により、システム運用における安心を提供します。</v>
          </cell>
        </row>
        <row r="2909">
          <cell r="A2909" t="str">
            <v>U8XL1E</v>
          </cell>
          <cell r="B2909" t="str">
            <v>ProCare 24x7 5年 3PAR8k Drive Encl用</v>
          </cell>
          <cell r="C2909" t="str">
            <v>【HPEプロアクティブケア】メーカー推奨／低価格で国内専用窓口の高品質な保守により、システム運用における安心を提供します。</v>
          </cell>
        </row>
        <row r="2910">
          <cell r="A2910" t="str">
            <v>U8XL5E</v>
          </cell>
          <cell r="B2910" t="str">
            <v>ProCare 24x7 3年 3PAR8k 4p16GbFCAd用</v>
          </cell>
          <cell r="C2910" t="str">
            <v>【HPEプロアクティブケア】メーカー推奨／低価格で国内専用窓口の高品質な保守により、システム運用における安心を提供します。</v>
          </cell>
        </row>
        <row r="2911">
          <cell r="A2911" t="str">
            <v>U8XL7E</v>
          </cell>
          <cell r="B2911" t="str">
            <v>ProCare 24x7 4年 3PAR8k 4p16GbFCAd用</v>
          </cell>
          <cell r="C2911" t="str">
            <v>【HPEプロアクティブケア】メーカー推奨／低価格で国内専用窓口の高品質な保守により、システム運用における安心を提供します。</v>
          </cell>
        </row>
        <row r="2912">
          <cell r="A2912" t="str">
            <v>U8XL9E</v>
          </cell>
          <cell r="B2912" t="str">
            <v>ProCare 24x7 5年 3PAR8k 4p16GbFCAd用</v>
          </cell>
          <cell r="C2912" t="str">
            <v>【HPEプロアクティブケア】メーカー推奨／低価格で国内専用窓口の高品質な保守により、システム運用における安心を提供します。</v>
          </cell>
        </row>
        <row r="2913">
          <cell r="A2913" t="str">
            <v>U8XM3E</v>
          </cell>
          <cell r="B2913" t="str">
            <v>ProCare 24x7 3年 3PAR8k 4p1GbEthAd用</v>
          </cell>
          <cell r="C2913" t="str">
            <v>【HPEプロアクティブケア】メーカー推奨／低価格で国内専用窓口の高品質な保守により、システム運用における安心を提供します。</v>
          </cell>
        </row>
        <row r="2914">
          <cell r="A2914" t="str">
            <v>U8XM5E</v>
          </cell>
          <cell r="B2914" t="str">
            <v>ProCare 24x7 4年 3PAR8k 4p1GbEthAd用</v>
          </cell>
          <cell r="C2914" t="str">
            <v>【HPEプロアクティブケア】メーカー推奨／低価格で国内専用窓口の高品質な保守により、システム運用における安心を提供します。</v>
          </cell>
        </row>
        <row r="2915">
          <cell r="A2915" t="str">
            <v>U8XM7E</v>
          </cell>
          <cell r="B2915" t="str">
            <v>ProCare 24x7 5年 3PAR8k 4p1GbEthAd用</v>
          </cell>
          <cell r="C2915" t="str">
            <v>【HPEプロアクティブケア】メーカー推奨／低価格で国内専用窓口の高品質な保守により、システム運用における安心を提供します。</v>
          </cell>
        </row>
        <row r="2916">
          <cell r="A2916" t="str">
            <v>U8XN1E</v>
          </cell>
          <cell r="B2916" t="str">
            <v>ProCare 24x7 3年 3PAR8k 2p10GiS/FAd用</v>
          </cell>
          <cell r="C2916" t="str">
            <v>【HPEプロアクティブケア】メーカー推奨／低価格で国内専用窓口の高品質な保守により、システム運用における安心を提供します。</v>
          </cell>
        </row>
        <row r="2917">
          <cell r="A2917" t="str">
            <v>U8XN3E</v>
          </cell>
          <cell r="B2917" t="str">
            <v>ProCare 24x7 4年 3PAR8k 2p10GiS/FAd用</v>
          </cell>
          <cell r="C2917" t="str">
            <v>【HPEプロアクティブケア】メーカー推奨／低価格で国内専用窓口の高品質な保守により、システム運用における安心を提供します。</v>
          </cell>
        </row>
        <row r="2918">
          <cell r="A2918" t="str">
            <v>U8XN5E</v>
          </cell>
          <cell r="B2918" t="str">
            <v>ProCare 24x7 5年 3PAR8k 2p10GiS/FAd用</v>
          </cell>
          <cell r="C2918" t="str">
            <v>【HPEプロアクティブケア】メーカー推奨／低価格で国内専用窓口の高品質な保守により、システム運用における安心を提供します。</v>
          </cell>
        </row>
        <row r="2919">
          <cell r="A2919" t="str">
            <v>U8XN9E</v>
          </cell>
          <cell r="B2919" t="str">
            <v>ProCare 24x7 3年 3PAR8k 2pt10GEAd用</v>
          </cell>
          <cell r="C2919" t="str">
            <v>【HPEプロアクティブケア】メーカー推奨／低価格で国内専用窓口の高品質な保守により、システム運用における安心を提供します。</v>
          </cell>
        </row>
        <row r="2920">
          <cell r="A2920" t="str">
            <v>U8XP1E</v>
          </cell>
          <cell r="B2920" t="str">
            <v>ProCare 24x7 4年 3PAR8k 2pt10GEAd用</v>
          </cell>
          <cell r="C2920" t="str">
            <v>【HPEプロアクティブケア】メーカー推奨／低価格で国内専用窓口の高品質な保守により、システム運用における安心を提供します。</v>
          </cell>
        </row>
        <row r="2921">
          <cell r="A2921" t="str">
            <v>U8XP3E</v>
          </cell>
          <cell r="B2921" t="str">
            <v>ProCare 24x7 5年 3PAR8k 2pt10GEAd用</v>
          </cell>
          <cell r="C2921" t="str">
            <v>【HPEプロアクティブケア】メーカー推奨／低価格で国内専用窓口の高品質な保守により、システム運用における安心を提供します。</v>
          </cell>
        </row>
        <row r="2922">
          <cell r="A2922" t="str">
            <v>U8XP7E</v>
          </cell>
          <cell r="B2922" t="str">
            <v>ProCare 24x7 3年 3PAR SPS SP用</v>
          </cell>
          <cell r="C2922" t="str">
            <v>【HPEプロアクティブケア】メーカー推奨／低価格で国内専用窓口の高品質な保守により、システム運用における安心を提供します。</v>
          </cell>
        </row>
        <row r="2923">
          <cell r="A2923" t="str">
            <v>U8XP9E</v>
          </cell>
          <cell r="B2923" t="str">
            <v>ProCare 24x7 4年 3PAR SPS SP用</v>
          </cell>
          <cell r="C2923" t="str">
            <v>【HPEプロアクティブケア】メーカー推奨／低価格で国内専用窓口の高品質な保守により、システム運用における安心を提供します。</v>
          </cell>
        </row>
        <row r="2924">
          <cell r="A2924" t="str">
            <v>U8XQ1E</v>
          </cell>
          <cell r="B2924" t="str">
            <v>ProCare 24x7 5年 3PAR SPS SP用</v>
          </cell>
          <cell r="C2924" t="str">
            <v>【HPEプロアクティブケア】メーカー推奨／低価格で国内専用窓口の高品質な保守により、システム運用における安心を提供します。</v>
          </cell>
        </row>
        <row r="2925">
          <cell r="A2925" t="str">
            <v>U8YW8E</v>
          </cell>
          <cell r="B2925" t="str">
            <v>FC 24x7 3年 3PAR 7xxx SmartSan用</v>
          </cell>
          <cell r="C2925" t="str">
            <v>【ファウンデーションケア】</v>
          </cell>
        </row>
        <row r="2926">
          <cell r="A2926" t="str">
            <v>U8YX1E</v>
          </cell>
          <cell r="B2926" t="str">
            <v>ProCare 24x7 3年 3PAR 7xxx SmartSan用</v>
          </cell>
          <cell r="C2926" t="str">
            <v>【HPEプロアクティブケア】メーカー推奨／低価格で国内専用窓口の高品質な保守により、システム運用における安心を提供します。</v>
          </cell>
        </row>
        <row r="2927">
          <cell r="A2927" t="str">
            <v>U8YX8E</v>
          </cell>
          <cell r="B2927" t="str">
            <v>ProCare 24x7 3年 3PAR 8xxx SmartSan用</v>
          </cell>
          <cell r="C2927" t="str">
            <v>【HPEプロアクティブケア】メーカー推奨／低価格で国内専用窓口の高品質な保守により、システム運用における安心を提供します。</v>
          </cell>
        </row>
        <row r="2928">
          <cell r="A2928" t="str">
            <v>U8YY0E</v>
          </cell>
          <cell r="B2928" t="str">
            <v>ProCare 24x7 4年 3PAR 8xxx SmartSan用</v>
          </cell>
          <cell r="C2928" t="str">
            <v>【HPEプロアクティブケア】メーカー推奨／低価格で国内専用窓口の高品質な保守により、システム運用における安心を提供します。</v>
          </cell>
        </row>
        <row r="2929">
          <cell r="A2929" t="str">
            <v>U8YY2E</v>
          </cell>
          <cell r="B2929" t="str">
            <v>ProCare 24x7 5年 3PAR 8xxx SmartSan用</v>
          </cell>
          <cell r="C2929" t="str">
            <v>【HPEプロアクティブケア】メーカー推奨／低価格で国内専用窓口の高品質な保守により、システム運用における安心を提供します。</v>
          </cell>
        </row>
        <row r="2930">
          <cell r="A2930" t="str">
            <v>H2VP3E</v>
          </cell>
          <cell r="B2930" t="str">
            <v>FC 24x7 1年 Aruba LIC-650-PEFV Lic用</v>
          </cell>
          <cell r="C2930" t="str">
            <v>【ファウンデーションケア】</v>
          </cell>
        </row>
        <row r="2931">
          <cell r="A2931" t="str">
            <v>H2VP4E</v>
          </cell>
          <cell r="B2931" t="str">
            <v>FC 24x7 3年 Aruba LIC-650-PEFV Lic用</v>
          </cell>
          <cell r="C2931" t="str">
            <v>【ファウンデーションケア】</v>
          </cell>
        </row>
        <row r="2932">
          <cell r="A2932" t="str">
            <v>H2VP7E</v>
          </cell>
          <cell r="B2932" t="str">
            <v>FC 24x7 4年 Aruba LIC-650-PEFV Lic用</v>
          </cell>
          <cell r="C2932" t="str">
            <v>【ファウンデーションケア】</v>
          </cell>
        </row>
        <row r="2933">
          <cell r="A2933" t="str">
            <v>H2VQ0E</v>
          </cell>
          <cell r="B2933" t="str">
            <v>FC 24x7 5年 Aruba LIC-650-PEFV Lic用</v>
          </cell>
          <cell r="C2933" t="str">
            <v>【ファウンデーションケア】</v>
          </cell>
        </row>
        <row r="2934">
          <cell r="A2934" t="str">
            <v>H2VQ3E</v>
          </cell>
          <cell r="B2934" t="str">
            <v>FC 24x7 1年 Aruba LIC-651-PEFV Lic用</v>
          </cell>
          <cell r="C2934" t="str">
            <v>【ファウンデーションケア】</v>
          </cell>
        </row>
        <row r="2935">
          <cell r="A2935" t="str">
            <v>H2VQ4E</v>
          </cell>
          <cell r="B2935" t="str">
            <v>FC 24x7 3年 Aruba LIC-651-PEFV Lic用</v>
          </cell>
          <cell r="C2935" t="str">
            <v>【ファウンデーションケア】</v>
          </cell>
        </row>
        <row r="2936">
          <cell r="A2936" t="str">
            <v>H2VQ7E</v>
          </cell>
          <cell r="B2936" t="str">
            <v>FC 24x7 4年 Aruba LIC-651-PEFV Lic用</v>
          </cell>
          <cell r="C2936" t="str">
            <v>【ファウンデーションケア】</v>
          </cell>
        </row>
        <row r="2937">
          <cell r="A2937" t="str">
            <v>H2VR0E</v>
          </cell>
          <cell r="B2937" t="str">
            <v>FC 24x7 5年 Aruba LIC-651-PEFV Lic用</v>
          </cell>
          <cell r="C2937" t="str">
            <v>【ファウンデーションケア】</v>
          </cell>
        </row>
        <row r="2938">
          <cell r="A2938" t="str">
            <v>H2VR3E</v>
          </cell>
          <cell r="B2938" t="str">
            <v>FC 24x7 1年 Aruba LIC-7005-PEFV Lic用</v>
          </cell>
          <cell r="C2938" t="str">
            <v>【ファウンデーションケア】</v>
          </cell>
        </row>
        <row r="2939">
          <cell r="A2939" t="str">
            <v>H2VR4E</v>
          </cell>
          <cell r="B2939" t="str">
            <v>FC 24x7 3年 Aruba LIC-7005-PEFV Lic用</v>
          </cell>
          <cell r="C2939" t="str">
            <v>【ファウンデーションケア】</v>
          </cell>
        </row>
        <row r="2940">
          <cell r="A2940" t="str">
            <v>H2VR7E</v>
          </cell>
          <cell r="B2940" t="str">
            <v>FC 24x7 4年 Aruba LIC-7005-PEFV Lic用</v>
          </cell>
          <cell r="C2940" t="str">
            <v>【ファウンデーションケア】</v>
          </cell>
        </row>
        <row r="2941">
          <cell r="A2941" t="str">
            <v>H2VS0E</v>
          </cell>
          <cell r="B2941" t="str">
            <v>FC 24x7 5年 Aruba LIC-7005-PEFV Lic用</v>
          </cell>
          <cell r="C2941" t="str">
            <v>【ファウンデーションケア】</v>
          </cell>
        </row>
        <row r="2942">
          <cell r="A2942" t="str">
            <v>H2VS3E</v>
          </cell>
          <cell r="B2942" t="str">
            <v>FC 24x7 1年 Aruba LIC-7010-PEFV Lic用</v>
          </cell>
          <cell r="C2942" t="str">
            <v>【ファウンデーションケア】</v>
          </cell>
        </row>
        <row r="2943">
          <cell r="A2943" t="str">
            <v>H2VS4E</v>
          </cell>
          <cell r="B2943" t="str">
            <v>FC 24x7 3年 Aruba LIC-7010-PEFV Lic用</v>
          </cell>
          <cell r="C2943" t="str">
            <v>【ファウンデーションケア】</v>
          </cell>
        </row>
        <row r="2944">
          <cell r="A2944" t="str">
            <v>H2VS7E</v>
          </cell>
          <cell r="B2944" t="str">
            <v>FC 24x7 4年 Aruba LIC-7010-PEFV Lic用</v>
          </cell>
          <cell r="C2944" t="str">
            <v>【ファウンデーションケア】</v>
          </cell>
        </row>
        <row r="2945">
          <cell r="A2945" t="str">
            <v>H2VT0E</v>
          </cell>
          <cell r="B2945" t="str">
            <v>FC 24x7 5年 Aruba LIC-7010-PEFV Lic用</v>
          </cell>
          <cell r="C2945" t="str">
            <v>【ファウンデーションケア】</v>
          </cell>
        </row>
        <row r="2946">
          <cell r="A2946" t="str">
            <v>H2VT3E</v>
          </cell>
          <cell r="B2946" t="str">
            <v>FC 24x7 1年 Aruba LIC-7024-PEFV Lic用</v>
          </cell>
          <cell r="C2946" t="str">
            <v>【ファウンデーションケア】</v>
          </cell>
        </row>
        <row r="2947">
          <cell r="A2947" t="str">
            <v>H2VT4E</v>
          </cell>
          <cell r="B2947" t="str">
            <v>FC 24x7 3年 Aruba LIC-7024-PEFV Lic用</v>
          </cell>
          <cell r="C2947" t="str">
            <v>【ファウンデーションケア】</v>
          </cell>
        </row>
        <row r="2948">
          <cell r="A2948" t="str">
            <v>H2VT7E</v>
          </cell>
          <cell r="B2948" t="str">
            <v>FC 24x7 4年 Aruba LIC-7024-PEFV Lic用</v>
          </cell>
          <cell r="C2948" t="str">
            <v>【ファウンデーションケア】</v>
          </cell>
        </row>
        <row r="2949">
          <cell r="A2949" t="str">
            <v>H2VU0E</v>
          </cell>
          <cell r="B2949" t="str">
            <v>FC 24x7 5年 Aruba LIC-7024-PEFV Lic用</v>
          </cell>
          <cell r="C2949" t="str">
            <v>【ファウンデーションケア】</v>
          </cell>
        </row>
        <row r="2950">
          <cell r="A2950" t="str">
            <v>H2VU3E</v>
          </cell>
          <cell r="B2950" t="str">
            <v>FC 24x7 1年 Aruba LIC-7030-PEFV Lic用</v>
          </cell>
          <cell r="C2950" t="str">
            <v>【ファウンデーションケア】</v>
          </cell>
        </row>
        <row r="2951">
          <cell r="A2951" t="str">
            <v>H2VU4E</v>
          </cell>
          <cell r="B2951" t="str">
            <v>FC 24x7 3年 Aruba LIC-7030-PEFV Lic用</v>
          </cell>
          <cell r="C2951" t="str">
            <v>【ファウンデーションケア】</v>
          </cell>
        </row>
        <row r="2952">
          <cell r="A2952" t="str">
            <v>H2VU7E</v>
          </cell>
          <cell r="B2952" t="str">
            <v>FC 24x7 4年 Aruba LIC-7030-PEFV Lic用</v>
          </cell>
          <cell r="C2952" t="str">
            <v>【ファウンデーションケア】</v>
          </cell>
        </row>
        <row r="2953">
          <cell r="A2953" t="str">
            <v>H2VV0E</v>
          </cell>
          <cell r="B2953" t="str">
            <v>FC 24x7 5年 Aruba LIC-7030-PEFV Lic用</v>
          </cell>
          <cell r="C2953" t="str">
            <v>【ファウンデーションケア】</v>
          </cell>
        </row>
        <row r="2954">
          <cell r="A2954" t="str">
            <v>H2VV3E</v>
          </cell>
          <cell r="B2954" t="str">
            <v>FC 24x7 1年 Aruba LIC-7025-PEFV Lic用</v>
          </cell>
          <cell r="C2954" t="str">
            <v>【ファウンデーションケア】</v>
          </cell>
        </row>
        <row r="2955">
          <cell r="A2955" t="str">
            <v>H2VV4E</v>
          </cell>
          <cell r="B2955" t="str">
            <v>FC 24x7 3年 Aruba LIC-7025-PEFV Lic用</v>
          </cell>
          <cell r="C2955" t="str">
            <v>【ファウンデーションケア】</v>
          </cell>
        </row>
        <row r="2956">
          <cell r="A2956" t="str">
            <v>H2VV7E</v>
          </cell>
          <cell r="B2956" t="str">
            <v>FC 24x7 4年 Aruba LIC-7025-PEFV Lic用</v>
          </cell>
          <cell r="C2956" t="str">
            <v>【ファウンデーションケア】</v>
          </cell>
        </row>
        <row r="2957">
          <cell r="A2957" t="str">
            <v>H2VW0E</v>
          </cell>
          <cell r="B2957" t="str">
            <v>FC 24x7 5年 Aruba LIC-7025-PEFV Lic用</v>
          </cell>
          <cell r="C2957" t="str">
            <v>【ファウンデーションケア】</v>
          </cell>
        </row>
        <row r="2958">
          <cell r="A2958" t="str">
            <v>H2VW3E</v>
          </cell>
          <cell r="B2958" t="str">
            <v>FC 24x7 1年 Aruba LIC-7210-PEFV Lic用</v>
          </cell>
          <cell r="C2958" t="str">
            <v>【ファウンデーションケア】</v>
          </cell>
        </row>
        <row r="2959">
          <cell r="A2959" t="str">
            <v>H2VW4E</v>
          </cell>
          <cell r="B2959" t="str">
            <v>FC 24x7 3年 Aruba LIC-7210-PEFV Lic用</v>
          </cell>
          <cell r="C2959" t="str">
            <v>【ファウンデーションケア】</v>
          </cell>
        </row>
        <row r="2960">
          <cell r="A2960" t="str">
            <v>H2VW7E</v>
          </cell>
          <cell r="B2960" t="str">
            <v>FC 24x7 4年 Aruba LIC-7210-PEFV Lic用</v>
          </cell>
          <cell r="C2960" t="str">
            <v>【ファウンデーションケア】</v>
          </cell>
        </row>
        <row r="2961">
          <cell r="A2961" t="str">
            <v>H2VX0E</v>
          </cell>
          <cell r="B2961" t="str">
            <v>FC 24x7 5年 Aruba LIC-7210-PEFV Lic用</v>
          </cell>
          <cell r="C2961" t="str">
            <v>【ファウンデーションケア】</v>
          </cell>
        </row>
        <row r="2962">
          <cell r="A2962" t="str">
            <v>H2VX3E</v>
          </cell>
          <cell r="B2962" t="str">
            <v>FC 24x7 1年 Aruba LIC-7220-PEFV Lic用</v>
          </cell>
          <cell r="C2962" t="str">
            <v>【ファウンデーションケア】</v>
          </cell>
        </row>
        <row r="2963">
          <cell r="A2963" t="str">
            <v>H2VX4E</v>
          </cell>
          <cell r="B2963" t="str">
            <v>FC 24x7 3年 Aruba LIC-7220-PEFV Lic用</v>
          </cell>
          <cell r="C2963" t="str">
            <v>【ファウンデーションケア】</v>
          </cell>
        </row>
        <row r="2964">
          <cell r="A2964" t="str">
            <v>H2VX7E</v>
          </cell>
          <cell r="B2964" t="str">
            <v>FC 24x7 4年 Aruba LIC-7220-PEFV Lic用</v>
          </cell>
          <cell r="C2964" t="str">
            <v>【ファウンデーションケア】</v>
          </cell>
        </row>
        <row r="2965">
          <cell r="A2965" t="str">
            <v>H2VY0E</v>
          </cell>
          <cell r="B2965" t="str">
            <v>FC 24x7 5年 Aruba LIC-7220-PEFV Lic用</v>
          </cell>
          <cell r="C2965" t="str">
            <v>【ファウンデーションケア】</v>
          </cell>
        </row>
        <row r="2966">
          <cell r="A2966" t="str">
            <v>H2VY3E</v>
          </cell>
          <cell r="B2966" t="str">
            <v>FC 24x7 1年 Aruba LIC-7240-PEFV Lic用</v>
          </cell>
          <cell r="C2966" t="str">
            <v>【ファウンデーションケア】</v>
          </cell>
        </row>
        <row r="2967">
          <cell r="A2967" t="str">
            <v>H2VY4E</v>
          </cell>
          <cell r="B2967" t="str">
            <v>FC 24x7 3年 Aruba LIC-7240-PEFV Lic用</v>
          </cell>
          <cell r="C2967" t="str">
            <v>【ファウンデーションケア】</v>
          </cell>
        </row>
        <row r="2968">
          <cell r="A2968" t="str">
            <v>H2VY7E</v>
          </cell>
          <cell r="B2968" t="str">
            <v>FC 24x7 4年 Aruba LIC-7240-PEFV Lic用</v>
          </cell>
          <cell r="C2968" t="str">
            <v>【ファウンデーションケア】</v>
          </cell>
        </row>
        <row r="2969">
          <cell r="A2969" t="str">
            <v>H2VZ0E</v>
          </cell>
          <cell r="B2969" t="str">
            <v>FC 24x7 5年 Aruba LIC-7240-PEFV Lic用</v>
          </cell>
          <cell r="C2969" t="str">
            <v>【ファウンデーションケア】</v>
          </cell>
        </row>
        <row r="2970">
          <cell r="A2970" t="str">
            <v>H2XV3E</v>
          </cell>
          <cell r="B2970" t="str">
            <v>FC 24x7 1年 Aruba LIC-RFP Lic用</v>
          </cell>
          <cell r="C2970" t="str">
            <v>【ファウンデーションケア】</v>
          </cell>
        </row>
        <row r="2971">
          <cell r="A2971" t="str">
            <v>H2XV4E</v>
          </cell>
          <cell r="B2971" t="str">
            <v>FC 24x7 3年 Aruba LIC-RFP Lic用</v>
          </cell>
          <cell r="C2971" t="str">
            <v>【ファウンデーションケア】</v>
          </cell>
        </row>
        <row r="2972">
          <cell r="A2972" t="str">
            <v>H2XV7E</v>
          </cell>
          <cell r="B2972" t="str">
            <v>FC 24x7 4年 Aruba LIC-RFP Lic用</v>
          </cell>
          <cell r="C2972" t="str">
            <v>【ファウンデーションケア】</v>
          </cell>
        </row>
        <row r="2973">
          <cell r="A2973" t="str">
            <v>H2XW0E</v>
          </cell>
          <cell r="B2973" t="str">
            <v>FC 24x7 5年 Aruba LIC-RFP Lic用</v>
          </cell>
          <cell r="C2973" t="str">
            <v>【ファウンデーションケア】</v>
          </cell>
        </row>
        <row r="2974">
          <cell r="A2974" t="str">
            <v>H2XW3E</v>
          </cell>
          <cell r="B2974" t="str">
            <v>FC 24x7 1年 Aruba LIC-ENT Lic用</v>
          </cell>
          <cell r="C2974" t="str">
            <v>【ファウンデーションケア】</v>
          </cell>
        </row>
        <row r="2975">
          <cell r="A2975" t="str">
            <v>H2XW4E</v>
          </cell>
          <cell r="B2975" t="str">
            <v>FC 24x7 3年 Aruba LIC-ENT Lic用</v>
          </cell>
          <cell r="C2975" t="str">
            <v>【ファウンデーションケア】</v>
          </cell>
        </row>
        <row r="2976">
          <cell r="A2976" t="str">
            <v>H2XW7E</v>
          </cell>
          <cell r="B2976" t="str">
            <v>FC 24x7 4年 Aruba LIC-ENT Lic用</v>
          </cell>
          <cell r="C2976" t="str">
            <v>【ファウンデーションケア】</v>
          </cell>
        </row>
        <row r="2977">
          <cell r="A2977" t="str">
            <v>H2XX0E</v>
          </cell>
          <cell r="B2977" t="str">
            <v>FC 24x7 5年 Aruba LIC-ENT Lic用</v>
          </cell>
          <cell r="C2977" t="str">
            <v>【ファウンデーションケア】</v>
          </cell>
        </row>
        <row r="2978">
          <cell r="A2978" t="str">
            <v>H2XX3E</v>
          </cell>
          <cell r="B2978" t="str">
            <v>FC 24x7 1年 Aruba LIC-PEF Lic用</v>
          </cell>
          <cell r="C2978" t="str">
            <v>【ファウンデーションケア】</v>
          </cell>
        </row>
        <row r="2979">
          <cell r="A2979" t="str">
            <v>H2XX4E</v>
          </cell>
          <cell r="B2979" t="str">
            <v>FC 24x7 3年 Aruba LIC-PEF Lic用</v>
          </cell>
          <cell r="C2979" t="str">
            <v>【ファウンデーションケア】</v>
          </cell>
        </row>
        <row r="2980">
          <cell r="A2980" t="str">
            <v>H2XX7E</v>
          </cell>
          <cell r="B2980" t="str">
            <v>FC 24x7 4年 Aruba LIC-PEF Lic用</v>
          </cell>
          <cell r="C2980" t="str">
            <v>【ファウンデーションケア】</v>
          </cell>
        </row>
        <row r="2981">
          <cell r="A2981" t="str">
            <v>H2XY0E</v>
          </cell>
          <cell r="B2981" t="str">
            <v>FC 24x7 5年 Aruba LIC-PEF Lic用</v>
          </cell>
          <cell r="C2981" t="str">
            <v>【ファウンデーションケア】</v>
          </cell>
        </row>
        <row r="2982">
          <cell r="A2982" t="str">
            <v>H2XY3E</v>
          </cell>
          <cell r="B2982" t="str">
            <v>FC 24x7 1年 Aruba LIC-M3-PEFV Lic用</v>
          </cell>
          <cell r="C2982" t="str">
            <v>【ファウンデーションケア】</v>
          </cell>
        </row>
        <row r="2983">
          <cell r="A2983" t="str">
            <v>H2XY4E</v>
          </cell>
          <cell r="B2983" t="str">
            <v>FC 24x7 3年 Aruba LIC-M3-PEFV Lic用</v>
          </cell>
          <cell r="C2983" t="str">
            <v>【ファウンデーションケア】</v>
          </cell>
        </row>
        <row r="2984">
          <cell r="A2984" t="str">
            <v>H2XY7E</v>
          </cell>
          <cell r="B2984" t="str">
            <v>FC 24x7 4年 Aruba LIC-M3-PEFV Lic用</v>
          </cell>
          <cell r="C2984" t="str">
            <v>【ファウンデーションケア】</v>
          </cell>
        </row>
        <row r="2985">
          <cell r="A2985" t="str">
            <v>H2XZ0E</v>
          </cell>
          <cell r="B2985" t="str">
            <v>FC 24x7 5年 Aruba LIC-M3-PEFV Lic用</v>
          </cell>
          <cell r="C2985" t="str">
            <v>【ファウンデーションケア】</v>
          </cell>
        </row>
        <row r="2986">
          <cell r="A2986" t="str">
            <v>H2YB3E</v>
          </cell>
          <cell r="B2986" t="str">
            <v>FC 24x7 1年 Aruba LIC-620-PEFV Lic用</v>
          </cell>
          <cell r="C2986" t="str">
            <v>【ファウンデーションケア】</v>
          </cell>
        </row>
        <row r="2987">
          <cell r="A2987" t="str">
            <v>H2YB4E</v>
          </cell>
          <cell r="B2987" t="str">
            <v>FC 24x7 3年 Aruba LIC-620-PEFV Lic用</v>
          </cell>
          <cell r="C2987" t="str">
            <v>【ファウンデーションケア】</v>
          </cell>
        </row>
        <row r="2988">
          <cell r="A2988" t="str">
            <v>H2YB7E</v>
          </cell>
          <cell r="B2988" t="str">
            <v>FC 24x7 4年 Aruba LIC-620-PEFV Lic用</v>
          </cell>
          <cell r="C2988" t="str">
            <v>【ファウンデーションケア】</v>
          </cell>
        </row>
        <row r="2989">
          <cell r="A2989" t="str">
            <v>H2YC0E</v>
          </cell>
          <cell r="B2989" t="str">
            <v>FC 24x7 5年 Aruba LIC-620-PEFV Lic用</v>
          </cell>
          <cell r="C2989" t="str">
            <v>【ファウンデーションケア】</v>
          </cell>
        </row>
        <row r="2990">
          <cell r="A2990" t="str">
            <v>H2YC3E</v>
          </cell>
          <cell r="B2990" t="str">
            <v>FC 24x7 1年 Aruba LIC-3200-PEFV Lic用</v>
          </cell>
          <cell r="C2990" t="str">
            <v>【ファウンデーションケア】</v>
          </cell>
        </row>
        <row r="2991">
          <cell r="A2991" t="str">
            <v>H2YC4E</v>
          </cell>
          <cell r="B2991" t="str">
            <v>FC 24x7 3年 Aruba LIC-3200-PEFV Lic用</v>
          </cell>
          <cell r="C2991" t="str">
            <v>【ファウンデーションケア】</v>
          </cell>
        </row>
        <row r="2992">
          <cell r="A2992" t="str">
            <v>H2YC7E</v>
          </cell>
          <cell r="B2992" t="str">
            <v>FC 24x7 4年 Aruba LIC-3200-PEFV Lic用</v>
          </cell>
          <cell r="C2992" t="str">
            <v>【ファウンデーションケア】</v>
          </cell>
        </row>
        <row r="2993">
          <cell r="A2993" t="str">
            <v>H2YD0E</v>
          </cell>
          <cell r="B2993" t="str">
            <v>FC 24x7 5年 Aruba LIC-3200-PEFV Lic用</v>
          </cell>
          <cell r="C2993" t="str">
            <v>【ファウンデーションケア】</v>
          </cell>
        </row>
        <row r="2994">
          <cell r="A2994" t="str">
            <v>H2YD3E</v>
          </cell>
          <cell r="B2994" t="str">
            <v>FC 24x7 1年 Aruba LIC-3400-PEFV Lic用</v>
          </cell>
          <cell r="C2994" t="str">
            <v>【ファウンデーションケア】</v>
          </cell>
        </row>
        <row r="2995">
          <cell r="A2995" t="str">
            <v>H2YD4E</v>
          </cell>
          <cell r="B2995" t="str">
            <v>FC 24x7 3年 Aruba LIC-3400-PEFV Lic用</v>
          </cell>
          <cell r="C2995" t="str">
            <v>【ファウンデーションケア】</v>
          </cell>
        </row>
        <row r="2996">
          <cell r="A2996" t="str">
            <v>H2YD7E</v>
          </cell>
          <cell r="B2996" t="str">
            <v>FC 24x7 4年 Aruba LIC-3400-PEFV Lic用</v>
          </cell>
          <cell r="C2996" t="str">
            <v>【ファウンデーションケア】</v>
          </cell>
        </row>
        <row r="2997">
          <cell r="A2997" t="str">
            <v>H2YE0E</v>
          </cell>
          <cell r="B2997" t="str">
            <v>FC 24x7 5年 Aruba LIC-3400-PEFV Lic用</v>
          </cell>
          <cell r="C2997" t="str">
            <v>【ファウンデーションケア】</v>
          </cell>
        </row>
        <row r="2998">
          <cell r="A2998" t="str">
            <v>H2YE3E</v>
          </cell>
          <cell r="B2998" t="str">
            <v>FC 24x7 1年 Aruba LIC-3600-PEFV Lic用</v>
          </cell>
          <cell r="C2998" t="str">
            <v>【ファウンデーションケア】</v>
          </cell>
        </row>
        <row r="2999">
          <cell r="A2999" t="str">
            <v>H2YE4E</v>
          </cell>
          <cell r="B2999" t="str">
            <v>FC 24x7 3年 Aruba LIC-3600-PEFV Lic用</v>
          </cell>
          <cell r="C2999" t="str">
            <v>【ファウンデーションケア】</v>
          </cell>
        </row>
        <row r="3000">
          <cell r="A3000" t="str">
            <v>H2YE7E</v>
          </cell>
          <cell r="B3000" t="str">
            <v>FC 24x7 4年 Aruba LIC-3600-PEFV Lic用</v>
          </cell>
          <cell r="C3000" t="str">
            <v>【ファウンデーションケア】</v>
          </cell>
        </row>
        <row r="3001">
          <cell r="A3001" t="str">
            <v>H2YF0E</v>
          </cell>
          <cell r="B3001" t="str">
            <v>FC 24x7 5年 Aruba LIC-3600-PEFV Lic用</v>
          </cell>
          <cell r="C3001" t="str">
            <v>【ファウンデーションケア】</v>
          </cell>
        </row>
        <row r="3002">
          <cell r="A3002" t="str">
            <v>H2YL3E</v>
          </cell>
          <cell r="B3002" t="str">
            <v>FC 24x7 1年 Aruba Adv Crypto 1024 Lic用</v>
          </cell>
          <cell r="C3002" t="str">
            <v>【ファウンデーションケア】</v>
          </cell>
        </row>
        <row r="3003">
          <cell r="A3003" t="str">
            <v>H2YL4E</v>
          </cell>
          <cell r="B3003" t="str">
            <v>FC 24x7 3年 Aruba Adv Crypto 1024 Lic用</v>
          </cell>
          <cell r="C3003" t="str">
            <v>【ファウンデーションケア】</v>
          </cell>
        </row>
        <row r="3004">
          <cell r="A3004" t="str">
            <v>H2YL7E</v>
          </cell>
          <cell r="B3004" t="str">
            <v>FC 24x7 4年 Aruba Adv Crypto 1024 Lic用</v>
          </cell>
          <cell r="C3004" t="str">
            <v>【ファウンデーションケア】</v>
          </cell>
        </row>
        <row r="3005">
          <cell r="A3005" t="str">
            <v>H2YM0E</v>
          </cell>
          <cell r="B3005" t="str">
            <v>FC 24x7 5年 Aruba Adv Crypto 1024 Lic用</v>
          </cell>
          <cell r="C3005" t="str">
            <v>【ファウンデーションケア】</v>
          </cell>
        </row>
        <row r="3006">
          <cell r="A3006" t="str">
            <v>H2YM3E</v>
          </cell>
          <cell r="B3006" t="str">
            <v>FC 24x7 1年 Aruba Adv Crypto 128 Lic用</v>
          </cell>
          <cell r="C3006" t="str">
            <v>【ファウンデーションケア】</v>
          </cell>
        </row>
        <row r="3007">
          <cell r="A3007" t="str">
            <v>H2YM4E</v>
          </cell>
          <cell r="B3007" t="str">
            <v>FC 24x7 3年 Aruba Adv Crypto 128 Lic用</v>
          </cell>
          <cell r="C3007" t="str">
            <v>【ファウンデーションケア】</v>
          </cell>
        </row>
        <row r="3008">
          <cell r="A3008" t="str">
            <v>H2YM7E</v>
          </cell>
          <cell r="B3008" t="str">
            <v>FC 24x7 4年 Aruba Adv Crypto 128 Lic用</v>
          </cell>
          <cell r="C3008" t="str">
            <v>【ファウンデーションケア】</v>
          </cell>
        </row>
        <row r="3009">
          <cell r="A3009" t="str">
            <v>H2YN0E</v>
          </cell>
          <cell r="B3009" t="str">
            <v>FC 24x7 5年 Aruba Adv Crypto 128 Lic用</v>
          </cell>
          <cell r="C3009" t="str">
            <v>【ファウンデーションケア】</v>
          </cell>
        </row>
        <row r="3010">
          <cell r="A3010" t="str">
            <v>H2YN3E</v>
          </cell>
          <cell r="B3010" t="str">
            <v>FC 24x7 1年 Aruba Adv Crypto 256 Lic用</v>
          </cell>
          <cell r="C3010" t="str">
            <v>【ファウンデーションケア】</v>
          </cell>
        </row>
        <row r="3011">
          <cell r="A3011" t="str">
            <v>H2YN4E</v>
          </cell>
          <cell r="B3011" t="str">
            <v>FC 24x7 3年 Aruba Adv Crypto 256 Lic用</v>
          </cell>
          <cell r="C3011" t="str">
            <v>【ファウンデーションケア】</v>
          </cell>
        </row>
        <row r="3012">
          <cell r="A3012" t="str">
            <v>H2YN7E</v>
          </cell>
          <cell r="B3012" t="str">
            <v>FC 24x7 4年 Aruba Adv Crypto 256 Lic用</v>
          </cell>
          <cell r="C3012" t="str">
            <v>【ファウンデーションケア】</v>
          </cell>
        </row>
        <row r="3013">
          <cell r="A3013" t="str">
            <v>H2YP0E</v>
          </cell>
          <cell r="B3013" t="str">
            <v>FC 24x7 5年 Aruba Adv Crypto 256 Lic用</v>
          </cell>
          <cell r="C3013" t="str">
            <v>【ファウンデーションケア】</v>
          </cell>
        </row>
        <row r="3014">
          <cell r="A3014" t="str">
            <v>H2YP3E</v>
          </cell>
          <cell r="B3014" t="str">
            <v>FC 24x7 1年 Aruba Adv Crypto 32 Lic用</v>
          </cell>
          <cell r="C3014" t="str">
            <v>【ファウンデーションケア】</v>
          </cell>
        </row>
        <row r="3015">
          <cell r="A3015" t="str">
            <v>H2YP4E</v>
          </cell>
          <cell r="B3015" t="str">
            <v>FC 24x7 3年 Aruba Adv Crypto 32 Lic用</v>
          </cell>
          <cell r="C3015" t="str">
            <v>【ファウンデーションケア】</v>
          </cell>
        </row>
        <row r="3016">
          <cell r="A3016" t="str">
            <v>H2YP7E</v>
          </cell>
          <cell r="B3016" t="str">
            <v>FC 24x7 4年 Aruba Adv Crypto 32 Lic用</v>
          </cell>
          <cell r="C3016" t="str">
            <v>【ファウンデーションケア】</v>
          </cell>
        </row>
        <row r="3017">
          <cell r="A3017" t="str">
            <v>H2YQ0E</v>
          </cell>
          <cell r="B3017" t="str">
            <v>FC 24x7 5年 Aruba Adv Crypto 32 Lic用</v>
          </cell>
          <cell r="C3017" t="str">
            <v>【ファウンデーションケア】</v>
          </cell>
        </row>
        <row r="3018">
          <cell r="A3018" t="str">
            <v>H2YQ3E</v>
          </cell>
          <cell r="B3018" t="str">
            <v>FC 24x7 1年 Aruba Adv Crypto 512 Lic用</v>
          </cell>
          <cell r="C3018" t="str">
            <v>【ファウンデーションケア】</v>
          </cell>
        </row>
        <row r="3019">
          <cell r="A3019" t="str">
            <v>H2YQ4E</v>
          </cell>
          <cell r="B3019" t="str">
            <v>FC 24x7 3年 Aruba Adv Crypto 512 Lic用</v>
          </cell>
          <cell r="C3019" t="str">
            <v>【ファウンデーションケア】</v>
          </cell>
        </row>
        <row r="3020">
          <cell r="A3020" t="str">
            <v>H2YQ7E</v>
          </cell>
          <cell r="B3020" t="str">
            <v>FC 24x7 4年 Aruba Adv Crypto 512 Lic用</v>
          </cell>
          <cell r="C3020" t="str">
            <v>【ファウンデーションケア】</v>
          </cell>
        </row>
        <row r="3021">
          <cell r="A3021" t="str">
            <v>H2YR0E</v>
          </cell>
          <cell r="B3021" t="str">
            <v>FC 24x7 5年 Aruba Adv Crypto 512 Lic用</v>
          </cell>
          <cell r="C3021" t="str">
            <v>【ファウンデーションケア】</v>
          </cell>
        </row>
        <row r="3022">
          <cell r="A3022" t="str">
            <v>H2YR3E</v>
          </cell>
          <cell r="B3022" t="str">
            <v>FC 24x7 1年 Aruba Adv Crypto 64 Lic用</v>
          </cell>
          <cell r="C3022" t="str">
            <v>【ファウンデーションケア】</v>
          </cell>
        </row>
        <row r="3023">
          <cell r="A3023" t="str">
            <v>H2YR4E</v>
          </cell>
          <cell r="B3023" t="str">
            <v>FC 24x7 3年 Aruba Adv Crypto 64 Lic用</v>
          </cell>
          <cell r="C3023" t="str">
            <v>【ファウンデーションケア】</v>
          </cell>
        </row>
        <row r="3024">
          <cell r="A3024" t="str">
            <v>H2YR7E</v>
          </cell>
          <cell r="B3024" t="str">
            <v>FC 24x7 4年 Aruba Adv Crypto 64 Lic用</v>
          </cell>
          <cell r="C3024" t="str">
            <v>【ファウンデーションケア】</v>
          </cell>
        </row>
        <row r="3025">
          <cell r="A3025" t="str">
            <v>H2YS0E</v>
          </cell>
          <cell r="B3025" t="str">
            <v>FC 24x7 5年 Aruba Adv Crypto 64 Lic用</v>
          </cell>
          <cell r="C3025" t="str">
            <v>【ファウンデーションケア】</v>
          </cell>
        </row>
        <row r="3026">
          <cell r="A3026" t="str">
            <v>H2YS3E</v>
          </cell>
          <cell r="B3026" t="str">
            <v>FC 24x7 1年 Aruba Adv Crypto 8 Lic用</v>
          </cell>
          <cell r="C3026" t="str">
            <v>【ファウンデーションケア】</v>
          </cell>
        </row>
        <row r="3027">
          <cell r="A3027" t="str">
            <v>H2YS4E</v>
          </cell>
          <cell r="B3027" t="str">
            <v>FC 24x7 3年 Aruba Adv Crypto 8 Lic用</v>
          </cell>
          <cell r="C3027" t="str">
            <v>【ファウンデーションケア】</v>
          </cell>
        </row>
        <row r="3028">
          <cell r="A3028" t="str">
            <v>H2YS7E</v>
          </cell>
          <cell r="B3028" t="str">
            <v>FC 24x7 4年 Aruba Adv Crypto 8 Lic用</v>
          </cell>
          <cell r="C3028" t="str">
            <v>【ファウンデーションケア】</v>
          </cell>
        </row>
        <row r="3029">
          <cell r="A3029" t="str">
            <v>H2YT0E</v>
          </cell>
          <cell r="B3029" t="str">
            <v>FC 24x7 5年 Aruba Adv Crypto 8 Lic用</v>
          </cell>
          <cell r="C3029" t="str">
            <v>【ファウンデーションケア】</v>
          </cell>
        </row>
        <row r="3030">
          <cell r="A3030" t="str">
            <v>H2YU3E</v>
          </cell>
          <cell r="B3030" t="str">
            <v>FC 24x7 1年 Aruba LIC-AP Lic用</v>
          </cell>
          <cell r="C3030" t="str">
            <v>【ファウンデーションケア】</v>
          </cell>
        </row>
        <row r="3031">
          <cell r="A3031" t="str">
            <v>H2YU4E</v>
          </cell>
          <cell r="B3031" t="str">
            <v>FC 24x7 3年 Aruba LIC-AP Lic用</v>
          </cell>
          <cell r="C3031" t="str">
            <v>【ファウンデーションケア】</v>
          </cell>
        </row>
        <row r="3032">
          <cell r="A3032" t="str">
            <v>H2YU7E</v>
          </cell>
          <cell r="B3032" t="str">
            <v>FC 24x7 4年 Aruba LIC-AP Lic用</v>
          </cell>
          <cell r="C3032" t="str">
            <v>【ファウンデーションケア】</v>
          </cell>
        </row>
        <row r="3033">
          <cell r="A3033" t="str">
            <v>H2YV0E</v>
          </cell>
          <cell r="B3033" t="str">
            <v>FC 24x7 5年 Aruba LIC-AP Lic用</v>
          </cell>
          <cell r="C3033" t="str">
            <v>【ファウンデーションケア】</v>
          </cell>
        </row>
        <row r="3034">
          <cell r="A3034" t="str">
            <v>H2ZT1E</v>
          </cell>
          <cell r="B3034" t="str">
            <v>FC Exchange 1年 7005 Controller用</v>
          </cell>
          <cell r="C3034" t="str">
            <v>【ファウンデーションケア】</v>
          </cell>
        </row>
        <row r="3035">
          <cell r="A3035" t="str">
            <v>H2ZT3E</v>
          </cell>
          <cell r="B3035" t="str">
            <v>FC 翌日 1年 7005 Controller用</v>
          </cell>
          <cell r="C3035" t="str">
            <v>【ファウンデーションケア】</v>
          </cell>
        </row>
        <row r="3036">
          <cell r="A3036" t="str">
            <v>H2ZT5E</v>
          </cell>
          <cell r="B3036" t="str">
            <v>FC 24x7 1年 7005 Controller用</v>
          </cell>
          <cell r="C3036" t="str">
            <v>【ファウンデーションケア】</v>
          </cell>
        </row>
        <row r="3037">
          <cell r="A3037" t="str">
            <v>H2ZT9E</v>
          </cell>
          <cell r="B3037" t="str">
            <v>FC Exchange 3年 7005 Controller用</v>
          </cell>
          <cell r="C3037" t="str">
            <v>【ファウンデーションケア】</v>
          </cell>
        </row>
        <row r="3038">
          <cell r="A3038" t="str">
            <v>H2ZU3E</v>
          </cell>
          <cell r="B3038" t="str">
            <v>FC 翌日 3年 7005 Controller用</v>
          </cell>
          <cell r="C3038" t="str">
            <v>【ファウンデーションケア】</v>
          </cell>
        </row>
        <row r="3039">
          <cell r="A3039" t="str">
            <v>H2ZU5E</v>
          </cell>
          <cell r="B3039" t="str">
            <v>FC 9x5 3年 7005 Controller用</v>
          </cell>
          <cell r="C3039" t="str">
            <v>【ファウンデーションケア】</v>
          </cell>
        </row>
        <row r="3040">
          <cell r="A3040" t="str">
            <v>H2ZV0E</v>
          </cell>
          <cell r="B3040" t="str">
            <v>FC 24x7 3年 7005 Controller用</v>
          </cell>
          <cell r="C3040" t="str">
            <v>【ファウンデーションケア】</v>
          </cell>
        </row>
        <row r="3041">
          <cell r="A3041" t="str">
            <v>H2ZW2E</v>
          </cell>
          <cell r="B3041" t="str">
            <v>FC Exchange 4年 7005 Controller用</v>
          </cell>
          <cell r="C3041" t="str">
            <v>【ファウンデーションケア】</v>
          </cell>
        </row>
        <row r="3042">
          <cell r="A3042" t="str">
            <v>H2ZW6E</v>
          </cell>
          <cell r="B3042" t="str">
            <v>FC 翌日 4年 7005 Controller用</v>
          </cell>
          <cell r="C3042" t="str">
            <v>【ファウンデーションケア】</v>
          </cell>
        </row>
        <row r="3043">
          <cell r="A3043" t="str">
            <v>H2ZW8E</v>
          </cell>
          <cell r="B3043" t="str">
            <v>FC 9x5 4年 7005 Controller用</v>
          </cell>
          <cell r="C3043" t="str">
            <v>【ファウンデーションケア】</v>
          </cell>
        </row>
        <row r="3044">
          <cell r="A3044" t="str">
            <v>H2ZX3E</v>
          </cell>
          <cell r="B3044" t="str">
            <v>FC 24x7 4年 7005 Controller用</v>
          </cell>
          <cell r="C3044" t="str">
            <v>【ファウンデーションケア】</v>
          </cell>
        </row>
        <row r="3045">
          <cell r="A3045" t="str">
            <v>H2ZY5E</v>
          </cell>
          <cell r="B3045" t="str">
            <v>FC Exchange 5年 7005 Controller用</v>
          </cell>
          <cell r="C3045" t="str">
            <v>【ファウンデーションケア】</v>
          </cell>
        </row>
        <row r="3046">
          <cell r="A3046" t="str">
            <v>H2ZY9E</v>
          </cell>
          <cell r="B3046" t="str">
            <v>FC 翌日 5年 7005 Controller用</v>
          </cell>
          <cell r="C3046" t="str">
            <v>【ファウンデーションケア】</v>
          </cell>
        </row>
        <row r="3047">
          <cell r="A3047" t="str">
            <v>H2ZZ1E</v>
          </cell>
          <cell r="B3047" t="str">
            <v>FC 9x5 5年 7005 Controller用</v>
          </cell>
          <cell r="C3047" t="str">
            <v>【ファウンデーションケア】</v>
          </cell>
        </row>
        <row r="3048">
          <cell r="A3048" t="str">
            <v>H2ZZ6E</v>
          </cell>
          <cell r="B3048" t="str">
            <v>FC 24x7 5年 7005 Controller用</v>
          </cell>
          <cell r="C3048" t="str">
            <v>【ファウンデーションケア】</v>
          </cell>
        </row>
        <row r="3049">
          <cell r="A3049" t="str">
            <v>H3AA8PE</v>
          </cell>
          <cell r="B3049" t="str">
            <v>PW FC Exch 1年 7005 Controller用</v>
          </cell>
          <cell r="C3049" t="str">
            <v>【ファウンデーションケア】</v>
          </cell>
        </row>
        <row r="3050">
          <cell r="A3050" t="str">
            <v>H3AB2PE</v>
          </cell>
          <cell r="B3050" t="str">
            <v>PW FC 翌日 1年 7005 Controller用</v>
          </cell>
          <cell r="C3050" t="str">
            <v>【ファウンデーションケア】</v>
          </cell>
        </row>
        <row r="3051">
          <cell r="A3051" t="str">
            <v>H3AB4PE</v>
          </cell>
          <cell r="B3051" t="str">
            <v>PW FC 9x5 1年 7005 Controller用</v>
          </cell>
          <cell r="C3051" t="str">
            <v>【ファウンデーションケア】</v>
          </cell>
        </row>
        <row r="3052">
          <cell r="A3052" t="str">
            <v>H3AB7PE</v>
          </cell>
          <cell r="B3052" t="str">
            <v>PW FC 24x7 1年 7005 Controller用</v>
          </cell>
          <cell r="C3052" t="str">
            <v>【ファウンデーションケア】</v>
          </cell>
        </row>
        <row r="3053">
          <cell r="A3053" t="str">
            <v>H3AC5E</v>
          </cell>
          <cell r="B3053" t="str">
            <v>FC Exchange 1年 7005 Controller TAA用</v>
          </cell>
          <cell r="C3053" t="str">
            <v>【ファウンデーションケア】</v>
          </cell>
        </row>
        <row r="3054">
          <cell r="A3054" t="str">
            <v>H3AC7E</v>
          </cell>
          <cell r="B3054" t="str">
            <v>FC 翌日 1年 7005 Controller TAA用</v>
          </cell>
          <cell r="C3054" t="str">
            <v>【ファウンデーションケア】</v>
          </cell>
        </row>
        <row r="3055">
          <cell r="A3055" t="str">
            <v>H3AC9E</v>
          </cell>
          <cell r="B3055" t="str">
            <v>FC 24x7 1年 7005 Controller TAA用</v>
          </cell>
          <cell r="C3055" t="str">
            <v>【ファウンデーションケア】</v>
          </cell>
        </row>
        <row r="3056">
          <cell r="A3056" t="str">
            <v>H3AD3E</v>
          </cell>
          <cell r="B3056" t="str">
            <v>FC Exchange 3年 7005 Controller TAA用</v>
          </cell>
          <cell r="C3056" t="str">
            <v>【ファウンデーションケア】</v>
          </cell>
        </row>
        <row r="3057">
          <cell r="A3057" t="str">
            <v>H3AD7E</v>
          </cell>
          <cell r="B3057" t="str">
            <v>FC 翌日 3年 7005 Controller TAA用</v>
          </cell>
          <cell r="C3057" t="str">
            <v>【ファウンデーションケア】</v>
          </cell>
        </row>
        <row r="3058">
          <cell r="A3058" t="str">
            <v>H3AD9E</v>
          </cell>
          <cell r="B3058" t="str">
            <v>FC 9x5 3年 7005 Controller TAA用</v>
          </cell>
          <cell r="C3058" t="str">
            <v>【ファウンデーションケア】</v>
          </cell>
        </row>
        <row r="3059">
          <cell r="A3059" t="str">
            <v>H3AE4E</v>
          </cell>
          <cell r="B3059" t="str">
            <v>FC 24x7 3年 7005 Controller TAA用</v>
          </cell>
          <cell r="C3059" t="str">
            <v>【ファウンデーションケア】</v>
          </cell>
        </row>
        <row r="3060">
          <cell r="A3060" t="str">
            <v>H3AF6E</v>
          </cell>
          <cell r="B3060" t="str">
            <v>FC Exchange 4年 7005 Controller TAA用</v>
          </cell>
          <cell r="C3060" t="str">
            <v>【ファウンデーションケア】</v>
          </cell>
        </row>
        <row r="3061">
          <cell r="A3061" t="str">
            <v>H3AG0E</v>
          </cell>
          <cell r="B3061" t="str">
            <v>FC 翌日 4年 7005 Controller TAA用</v>
          </cell>
          <cell r="C3061" t="str">
            <v>【ファウンデーションケア】</v>
          </cell>
        </row>
        <row r="3062">
          <cell r="A3062" t="str">
            <v>H3AG2E</v>
          </cell>
          <cell r="B3062" t="str">
            <v>FC 9x5 4年 7005 Controller TAA用</v>
          </cell>
          <cell r="C3062" t="str">
            <v>【ファウンデーションケア】</v>
          </cell>
        </row>
        <row r="3063">
          <cell r="A3063" t="str">
            <v>H3AG7E</v>
          </cell>
          <cell r="B3063" t="str">
            <v>FC 24x7 4年 7005 Controller TAA用</v>
          </cell>
          <cell r="C3063" t="str">
            <v>【ファウンデーションケア】</v>
          </cell>
        </row>
        <row r="3064">
          <cell r="A3064" t="str">
            <v>H3AH9E</v>
          </cell>
          <cell r="B3064" t="str">
            <v>FC Exchange 5年 7005 Controller TAA用</v>
          </cell>
          <cell r="C3064" t="str">
            <v>【ファウンデーションケア】</v>
          </cell>
        </row>
        <row r="3065">
          <cell r="A3065" t="str">
            <v>H3AJ3E</v>
          </cell>
          <cell r="B3065" t="str">
            <v>FC 翌日 5年 7005 Controller TAA用</v>
          </cell>
          <cell r="C3065" t="str">
            <v>【ファウンデーションケア】</v>
          </cell>
        </row>
        <row r="3066">
          <cell r="A3066" t="str">
            <v>H3AJ5E</v>
          </cell>
          <cell r="B3066" t="str">
            <v>FC 9x5 5年 7005 Controller TAA用</v>
          </cell>
          <cell r="C3066" t="str">
            <v>【ファウンデーションケア】</v>
          </cell>
        </row>
        <row r="3067">
          <cell r="A3067" t="str">
            <v>H3AK0E</v>
          </cell>
          <cell r="B3067" t="str">
            <v>FC 24x7 5年 7005 Controller TAA用</v>
          </cell>
          <cell r="C3067" t="str">
            <v>【ファウンデーションケア】</v>
          </cell>
        </row>
        <row r="3068">
          <cell r="A3068" t="str">
            <v>H3AL2PE</v>
          </cell>
          <cell r="B3068" t="str">
            <v>PW FC Exch 1年 7005 Controller TAA用</v>
          </cell>
          <cell r="C3068" t="str">
            <v>【ファウンデーションケア】</v>
          </cell>
        </row>
        <row r="3069">
          <cell r="A3069" t="str">
            <v>H3AM9E</v>
          </cell>
          <cell r="B3069" t="str">
            <v>FC Exchange 1年 7010 Controller用</v>
          </cell>
          <cell r="C3069" t="str">
            <v>【ファウンデーションケア】</v>
          </cell>
        </row>
        <row r="3070">
          <cell r="A3070" t="str">
            <v>H3AN1E</v>
          </cell>
          <cell r="B3070" t="str">
            <v>FC 翌日 1年 7010 Controller用</v>
          </cell>
          <cell r="C3070" t="str">
            <v>【ファウンデーションケア】</v>
          </cell>
        </row>
        <row r="3071">
          <cell r="A3071" t="str">
            <v>H3AN3E</v>
          </cell>
          <cell r="B3071" t="str">
            <v>FC 24x7 1年 7010 Controller用</v>
          </cell>
          <cell r="C3071" t="str">
            <v>【ファウンデーションケア】</v>
          </cell>
        </row>
        <row r="3072">
          <cell r="A3072" t="str">
            <v>H3AN7E</v>
          </cell>
          <cell r="B3072" t="str">
            <v>FC Exchange 3年 7010 Controller用</v>
          </cell>
          <cell r="C3072" t="str">
            <v>【ファウンデーションケア】</v>
          </cell>
        </row>
        <row r="3073">
          <cell r="A3073" t="str">
            <v>H3AP1E</v>
          </cell>
          <cell r="B3073" t="str">
            <v>FC 翌日 3年 7010 Controller用</v>
          </cell>
          <cell r="C3073" t="str">
            <v>【ファウンデーションケア】</v>
          </cell>
        </row>
        <row r="3074">
          <cell r="A3074" t="str">
            <v>H3AP3E</v>
          </cell>
          <cell r="B3074" t="str">
            <v>FC 9x5 3年 7010 Controller用</v>
          </cell>
          <cell r="C3074" t="str">
            <v>【ファウンデーションケア】</v>
          </cell>
        </row>
        <row r="3075">
          <cell r="A3075" t="str">
            <v>H3AP8E</v>
          </cell>
          <cell r="B3075" t="str">
            <v>FC 24x7 3年 7010 Controller用</v>
          </cell>
          <cell r="C3075" t="str">
            <v>【ファウンデーションケア】</v>
          </cell>
        </row>
        <row r="3076">
          <cell r="A3076" t="str">
            <v>H3AR0E</v>
          </cell>
          <cell r="B3076" t="str">
            <v>FC Exchange 4年 7010 Controller用</v>
          </cell>
          <cell r="C3076" t="str">
            <v>【ファウンデーションケア】</v>
          </cell>
        </row>
        <row r="3077">
          <cell r="A3077" t="str">
            <v>H3AR4E</v>
          </cell>
          <cell r="B3077" t="str">
            <v>FC 翌日 4年 7010 Controller用</v>
          </cell>
          <cell r="C3077" t="str">
            <v>【ファウンデーションケア】</v>
          </cell>
        </row>
        <row r="3078">
          <cell r="A3078" t="str">
            <v>H3AR6E</v>
          </cell>
          <cell r="B3078" t="str">
            <v>FC 9x5 4年 7010 Controller用</v>
          </cell>
          <cell r="C3078" t="str">
            <v>【ファウンデーションケア】</v>
          </cell>
        </row>
        <row r="3079">
          <cell r="A3079" t="str">
            <v>H3AS1E</v>
          </cell>
          <cell r="B3079" t="str">
            <v>FC 24x7 4年 7010 Controller用</v>
          </cell>
          <cell r="C3079" t="str">
            <v>【ファウンデーションケア】</v>
          </cell>
        </row>
        <row r="3080">
          <cell r="A3080" t="str">
            <v>H3AT3E</v>
          </cell>
          <cell r="B3080" t="str">
            <v>FC Exchange 5年 7010 Controller用</v>
          </cell>
          <cell r="C3080" t="str">
            <v>【ファウンデーションケア】</v>
          </cell>
        </row>
        <row r="3081">
          <cell r="A3081" t="str">
            <v>H3AT7E</v>
          </cell>
          <cell r="B3081" t="str">
            <v>FC 翌日 5年 7010 Controller用</v>
          </cell>
          <cell r="C3081" t="str">
            <v>【ファウンデーションケア】</v>
          </cell>
        </row>
        <row r="3082">
          <cell r="A3082" t="str">
            <v>H3AT9E</v>
          </cell>
          <cell r="B3082" t="str">
            <v>FC 9x5 5年 7010 Controller用</v>
          </cell>
          <cell r="C3082" t="str">
            <v>【ファウンデーションケア】</v>
          </cell>
        </row>
        <row r="3083">
          <cell r="A3083" t="str">
            <v>H3AU4E</v>
          </cell>
          <cell r="B3083" t="str">
            <v>FC 24x7 5年 7010 Controller用</v>
          </cell>
          <cell r="C3083" t="str">
            <v>【ファウンデーションケア】</v>
          </cell>
        </row>
        <row r="3084">
          <cell r="A3084" t="str">
            <v>H3AV6PE</v>
          </cell>
          <cell r="B3084" t="str">
            <v>PW FC Exch 1年 7010 Controller用</v>
          </cell>
          <cell r="C3084" t="str">
            <v>【ファウンデーションケア】</v>
          </cell>
        </row>
        <row r="3085">
          <cell r="A3085" t="str">
            <v>H3AW0PE</v>
          </cell>
          <cell r="B3085" t="str">
            <v>PW FC 翌日 1年 7010 Controller用</v>
          </cell>
          <cell r="C3085" t="str">
            <v>【ファウンデーションケア】</v>
          </cell>
        </row>
        <row r="3086">
          <cell r="A3086" t="str">
            <v>H3AW2PE</v>
          </cell>
          <cell r="B3086" t="str">
            <v>PW FC 9x5 1年 7010 Controller用</v>
          </cell>
          <cell r="C3086" t="str">
            <v>【ファウンデーションケア】</v>
          </cell>
        </row>
        <row r="3087">
          <cell r="A3087" t="str">
            <v>H3AW5PE</v>
          </cell>
          <cell r="B3087" t="str">
            <v>PW FC 24x7 1年 7010 Controller用</v>
          </cell>
          <cell r="C3087" t="str">
            <v>【ファウンデーションケア】</v>
          </cell>
        </row>
        <row r="3088">
          <cell r="A3088" t="str">
            <v>H3AX3E</v>
          </cell>
          <cell r="B3088" t="str">
            <v>FC Exchange 1年 7010 Controller TAA用</v>
          </cell>
          <cell r="C3088" t="str">
            <v>【ファウンデーションケア】</v>
          </cell>
        </row>
        <row r="3089">
          <cell r="A3089" t="str">
            <v>H3AX5E</v>
          </cell>
          <cell r="B3089" t="str">
            <v>FC 翌日 1年 7010 Controller TAA用</v>
          </cell>
          <cell r="C3089" t="str">
            <v>【ファウンデーションケア】</v>
          </cell>
        </row>
        <row r="3090">
          <cell r="A3090" t="str">
            <v>H3AX7E</v>
          </cell>
          <cell r="B3090" t="str">
            <v>FC 24x7 1年 7010 Controller TAA用</v>
          </cell>
          <cell r="C3090" t="str">
            <v>【ファウンデーションケア】</v>
          </cell>
        </row>
        <row r="3091">
          <cell r="A3091" t="str">
            <v>H3AY1E</v>
          </cell>
          <cell r="B3091" t="str">
            <v>FC Exchange 3年 7010 Controller TAA用</v>
          </cell>
          <cell r="C3091" t="str">
            <v>【ファウンデーションケア】</v>
          </cell>
        </row>
        <row r="3092">
          <cell r="A3092" t="str">
            <v>H3AY5E</v>
          </cell>
          <cell r="B3092" t="str">
            <v>FC 翌日 3年 7010 Controller TAA用</v>
          </cell>
          <cell r="C3092" t="str">
            <v>【ファウンデーションケア】</v>
          </cell>
        </row>
        <row r="3093">
          <cell r="A3093" t="str">
            <v>H3AY7E</v>
          </cell>
          <cell r="B3093" t="str">
            <v>FC 9x5 3年 7010 Controller TAA用</v>
          </cell>
          <cell r="C3093" t="str">
            <v>【ファウンデーションケア】</v>
          </cell>
        </row>
        <row r="3094">
          <cell r="A3094" t="str">
            <v>H3AZ2E</v>
          </cell>
          <cell r="B3094" t="str">
            <v>FC 24x7 3年 7010 Controller TAA用</v>
          </cell>
          <cell r="C3094" t="str">
            <v>【ファウンデーションケア】</v>
          </cell>
        </row>
        <row r="3095">
          <cell r="A3095" t="str">
            <v>H3BA4E</v>
          </cell>
          <cell r="B3095" t="str">
            <v>FC Exchange 4年 7010 Controller TAA用</v>
          </cell>
          <cell r="C3095" t="str">
            <v>【ファウンデーションケア】</v>
          </cell>
        </row>
        <row r="3096">
          <cell r="A3096" t="str">
            <v>H3BA8E</v>
          </cell>
          <cell r="B3096" t="str">
            <v>FC 翌日 4年 7010 Controller TAA用</v>
          </cell>
          <cell r="C3096" t="str">
            <v>【ファウンデーションケア】</v>
          </cell>
        </row>
        <row r="3097">
          <cell r="A3097" t="str">
            <v>H3BB0E</v>
          </cell>
          <cell r="B3097" t="str">
            <v>FC 9x5 4年 7010 Controller TAA用</v>
          </cell>
          <cell r="C3097" t="str">
            <v>【ファウンデーションケア】</v>
          </cell>
        </row>
        <row r="3098">
          <cell r="A3098" t="str">
            <v>H3BB5E</v>
          </cell>
          <cell r="B3098" t="str">
            <v>FC 24x7 4年 7010 Controller TAA用</v>
          </cell>
          <cell r="C3098" t="str">
            <v>【ファウンデーションケア】</v>
          </cell>
        </row>
        <row r="3099">
          <cell r="A3099" t="str">
            <v>H3BC7E</v>
          </cell>
          <cell r="B3099" t="str">
            <v>FC Exchange 5年 7010 Controller TAA用</v>
          </cell>
          <cell r="C3099" t="str">
            <v>【ファウンデーションケア】</v>
          </cell>
        </row>
        <row r="3100">
          <cell r="A3100" t="str">
            <v>H3BD1E</v>
          </cell>
          <cell r="B3100" t="str">
            <v>FC 翌日 5年 7010 Controller TAA用</v>
          </cell>
          <cell r="C3100" t="str">
            <v>【ファウンデーションケア】</v>
          </cell>
        </row>
        <row r="3101">
          <cell r="A3101" t="str">
            <v>H3BD3E</v>
          </cell>
          <cell r="B3101" t="str">
            <v>FC 9x5 5年 7010 Controller TAA用</v>
          </cell>
          <cell r="C3101" t="str">
            <v>【ファウンデーションケア】</v>
          </cell>
        </row>
        <row r="3102">
          <cell r="A3102" t="str">
            <v>H3BD8E</v>
          </cell>
          <cell r="B3102" t="str">
            <v>FC 24x7 5年 7010 Controller TAA用</v>
          </cell>
          <cell r="C3102" t="str">
            <v>【ファウンデーションケア】</v>
          </cell>
        </row>
        <row r="3103">
          <cell r="A3103" t="str">
            <v>H3BF0PE</v>
          </cell>
          <cell r="B3103" t="str">
            <v>PW FC Exch 1年 7010 Controller TAA用</v>
          </cell>
          <cell r="C3103" t="str">
            <v>【ファウンデーションケア】</v>
          </cell>
        </row>
        <row r="3104">
          <cell r="A3104" t="str">
            <v>H3BG7E</v>
          </cell>
          <cell r="B3104" t="str">
            <v>FC Exchange 1年 7204 Controller用</v>
          </cell>
          <cell r="C3104" t="str">
            <v>【ファウンデーションケア】</v>
          </cell>
        </row>
        <row r="3105">
          <cell r="A3105" t="str">
            <v>H3BG9E</v>
          </cell>
          <cell r="B3105" t="str">
            <v>FC 翌日 1年 7204 Controller用</v>
          </cell>
          <cell r="C3105" t="str">
            <v>【ファウンデーションケア】</v>
          </cell>
        </row>
        <row r="3106">
          <cell r="A3106" t="str">
            <v>H3BH1E</v>
          </cell>
          <cell r="B3106" t="str">
            <v>FC 24x7 1年 7204 Controller用</v>
          </cell>
          <cell r="C3106" t="str">
            <v>【ファウンデーションケア】</v>
          </cell>
        </row>
        <row r="3107">
          <cell r="A3107" t="str">
            <v>H3BH5E</v>
          </cell>
          <cell r="B3107" t="str">
            <v>FC Exchange 3年 7204 Controller用</v>
          </cell>
          <cell r="C3107" t="str">
            <v>【ファウンデーションケア】</v>
          </cell>
        </row>
        <row r="3108">
          <cell r="A3108" t="str">
            <v>H3BH9E</v>
          </cell>
          <cell r="B3108" t="str">
            <v>FC 翌日 3年 7204 Controller用</v>
          </cell>
          <cell r="C3108" t="str">
            <v>【ファウンデーションケア】</v>
          </cell>
        </row>
        <row r="3109">
          <cell r="A3109" t="str">
            <v>H3BJ1E</v>
          </cell>
          <cell r="B3109" t="str">
            <v>FC 9x5 3年 7204 Controller用</v>
          </cell>
          <cell r="C3109" t="str">
            <v>【ファウンデーションケア】</v>
          </cell>
        </row>
        <row r="3110">
          <cell r="A3110" t="str">
            <v>H3BJ6E</v>
          </cell>
          <cell r="B3110" t="str">
            <v>FC 24x7 3年 7204 Controller用</v>
          </cell>
          <cell r="C3110" t="str">
            <v>【ファウンデーションケア】</v>
          </cell>
        </row>
        <row r="3111">
          <cell r="A3111" t="str">
            <v>H3BK8E</v>
          </cell>
          <cell r="B3111" t="str">
            <v>FC Exchange 4年 7204 Controller用</v>
          </cell>
          <cell r="C3111" t="str">
            <v>【ファウンデーションケア】</v>
          </cell>
        </row>
        <row r="3112">
          <cell r="A3112" t="str">
            <v>H3BL2E</v>
          </cell>
          <cell r="B3112" t="str">
            <v>FC 翌日 4年 7204 Controller用</v>
          </cell>
          <cell r="C3112" t="str">
            <v>【ファウンデーションケア】</v>
          </cell>
        </row>
        <row r="3113">
          <cell r="A3113" t="str">
            <v>H3BL4E</v>
          </cell>
          <cell r="B3113" t="str">
            <v>FC 9x5 4年 7204 Controller用</v>
          </cell>
          <cell r="C3113" t="str">
            <v>【ファウンデーションケア】</v>
          </cell>
        </row>
        <row r="3114">
          <cell r="A3114" t="str">
            <v>H3BL9E</v>
          </cell>
          <cell r="B3114" t="str">
            <v>FC 24x7 4年 7204 Controller用</v>
          </cell>
          <cell r="C3114" t="str">
            <v>【ファウンデーションケア】</v>
          </cell>
        </row>
        <row r="3115">
          <cell r="A3115" t="str">
            <v>H3BN1E</v>
          </cell>
          <cell r="B3115" t="str">
            <v>FC Exchange 5年 7204 Controller用</v>
          </cell>
          <cell r="C3115" t="str">
            <v>【ファウンデーションケア】</v>
          </cell>
        </row>
        <row r="3116">
          <cell r="A3116" t="str">
            <v>H3BN5E</v>
          </cell>
          <cell r="B3116" t="str">
            <v>FC 翌日 5年 7204 Controller用</v>
          </cell>
          <cell r="C3116" t="str">
            <v>【ファウンデーションケア】</v>
          </cell>
        </row>
        <row r="3117">
          <cell r="A3117" t="str">
            <v>H3BN7E</v>
          </cell>
          <cell r="B3117" t="str">
            <v>FC 9x5 5年 7204 Controller用</v>
          </cell>
          <cell r="C3117" t="str">
            <v>【ファウンデーションケア】</v>
          </cell>
        </row>
        <row r="3118">
          <cell r="A3118" t="str">
            <v>H3BP2E</v>
          </cell>
          <cell r="B3118" t="str">
            <v>FC 24x7 5年 7204 Controller用</v>
          </cell>
          <cell r="C3118" t="str">
            <v>【ファウンデーションケア】</v>
          </cell>
        </row>
        <row r="3119">
          <cell r="A3119" t="str">
            <v>H3BQ4PE</v>
          </cell>
          <cell r="B3119" t="str">
            <v>PW FC Exch 1年 7204 Controller用</v>
          </cell>
          <cell r="C3119" t="str">
            <v>【ファウンデーションケア】</v>
          </cell>
        </row>
        <row r="3120">
          <cell r="A3120" t="str">
            <v>H3BS1E</v>
          </cell>
          <cell r="B3120" t="str">
            <v>FC Exchange 1年 7204 Controller TAA用</v>
          </cell>
          <cell r="C3120" t="str">
            <v>【ファウンデーションケア】</v>
          </cell>
        </row>
        <row r="3121">
          <cell r="A3121" t="str">
            <v>H3BS3E</v>
          </cell>
          <cell r="B3121" t="str">
            <v>FC 翌日 1年 7204 Controller TAA用</v>
          </cell>
          <cell r="C3121" t="str">
            <v>【ファウンデーションケア】</v>
          </cell>
        </row>
        <row r="3122">
          <cell r="A3122" t="str">
            <v>H3BS5E</v>
          </cell>
          <cell r="B3122" t="str">
            <v>FC 24x7 1年 7204 Controller TAA用</v>
          </cell>
          <cell r="C3122" t="str">
            <v>【ファウンデーションケア】</v>
          </cell>
        </row>
        <row r="3123">
          <cell r="A3123" t="str">
            <v>H3BS9E</v>
          </cell>
          <cell r="B3123" t="str">
            <v>FC Exchange 3年 7204 Controller TAA用</v>
          </cell>
          <cell r="C3123" t="str">
            <v>【ファウンデーションケア】</v>
          </cell>
        </row>
        <row r="3124">
          <cell r="A3124" t="str">
            <v>H3BT3E</v>
          </cell>
          <cell r="B3124" t="str">
            <v>FC 翌日 3年 7204 Controller TAA用</v>
          </cell>
          <cell r="C3124" t="str">
            <v>【ファウンデーションケア】</v>
          </cell>
        </row>
        <row r="3125">
          <cell r="A3125" t="str">
            <v>H3BT5E</v>
          </cell>
          <cell r="B3125" t="str">
            <v>FC 9x5 3年 7204 Controller TAA用</v>
          </cell>
          <cell r="C3125" t="str">
            <v>【ファウンデーションケア】</v>
          </cell>
        </row>
        <row r="3126">
          <cell r="A3126" t="str">
            <v>H3BU0E</v>
          </cell>
          <cell r="B3126" t="str">
            <v>FC 24x7 3年 7204 Controller TAA用</v>
          </cell>
          <cell r="C3126" t="str">
            <v>【ファウンデーションケア】</v>
          </cell>
        </row>
        <row r="3127">
          <cell r="A3127" t="str">
            <v>H3BV2E</v>
          </cell>
          <cell r="B3127" t="str">
            <v>FC Exchange 4年 7204 Controller TAA用</v>
          </cell>
          <cell r="C3127" t="str">
            <v>【ファウンデーションケア】</v>
          </cell>
        </row>
        <row r="3128">
          <cell r="A3128" t="str">
            <v>H3BV6E</v>
          </cell>
          <cell r="B3128" t="str">
            <v>FC 翌日 4年 7204 Controller TAA用</v>
          </cell>
          <cell r="C3128" t="str">
            <v>【ファウンデーションケア】</v>
          </cell>
        </row>
        <row r="3129">
          <cell r="A3129" t="str">
            <v>H3BV8E</v>
          </cell>
          <cell r="B3129" t="str">
            <v>FC 9x5 4年 7204 Controller TAA用</v>
          </cell>
          <cell r="C3129" t="str">
            <v>【ファウンデーションケア】</v>
          </cell>
        </row>
        <row r="3130">
          <cell r="A3130" t="str">
            <v>H3BW3E</v>
          </cell>
          <cell r="B3130" t="str">
            <v>FC 24x7 4年 7204 Controller TAA用</v>
          </cell>
          <cell r="C3130" t="str">
            <v>【ファウンデーションケア】</v>
          </cell>
        </row>
        <row r="3131">
          <cell r="A3131" t="str">
            <v>H3BX5E</v>
          </cell>
          <cell r="B3131" t="str">
            <v>FC Exchange 5年 7204 Controller TAA用</v>
          </cell>
          <cell r="C3131" t="str">
            <v>【ファウンデーションケア】</v>
          </cell>
        </row>
        <row r="3132">
          <cell r="A3132" t="str">
            <v>H3BX9E</v>
          </cell>
          <cell r="B3132" t="str">
            <v>FC 翌日 5年 7204 Controller TAA用</v>
          </cell>
          <cell r="C3132" t="str">
            <v>【ファウンデーションケア】</v>
          </cell>
        </row>
        <row r="3133">
          <cell r="A3133" t="str">
            <v>H3BY1E</v>
          </cell>
          <cell r="B3133" t="str">
            <v>FC 9x5 5年 7204 Controller TAA用</v>
          </cell>
          <cell r="C3133" t="str">
            <v>【ファウンデーションケア】</v>
          </cell>
        </row>
        <row r="3134">
          <cell r="A3134" t="str">
            <v>H3BY6E</v>
          </cell>
          <cell r="B3134" t="str">
            <v>FC 24x7 5年 7204 Controller TAA用</v>
          </cell>
          <cell r="C3134" t="str">
            <v>【ファウンデーションケア】</v>
          </cell>
        </row>
        <row r="3135">
          <cell r="A3135" t="str">
            <v>H3BZ8PE</v>
          </cell>
          <cell r="B3135" t="str">
            <v>PW FC Exch 1年 7204 Controller TAA用</v>
          </cell>
          <cell r="C3135" t="str">
            <v>【ファウンデーションケア】</v>
          </cell>
        </row>
        <row r="3136">
          <cell r="A3136" t="str">
            <v>H3CB5E</v>
          </cell>
          <cell r="B3136" t="str">
            <v>FC Exchange 1年 7030 Controller用</v>
          </cell>
          <cell r="C3136" t="str">
            <v>【ファウンデーションケア】</v>
          </cell>
        </row>
        <row r="3137">
          <cell r="A3137" t="str">
            <v>H3CB7E</v>
          </cell>
          <cell r="B3137" t="str">
            <v>FC 翌日 1年 7030 Controller用</v>
          </cell>
          <cell r="C3137" t="str">
            <v>【ファウンデーションケア】</v>
          </cell>
        </row>
        <row r="3138">
          <cell r="A3138" t="str">
            <v>H3CB9E</v>
          </cell>
          <cell r="B3138" t="str">
            <v>FC 24x7 1年 7030 Controller用</v>
          </cell>
          <cell r="C3138" t="str">
            <v>【ファウンデーションケア】</v>
          </cell>
        </row>
        <row r="3139">
          <cell r="A3139" t="str">
            <v>H3CC3E</v>
          </cell>
          <cell r="B3139" t="str">
            <v>FC Exchange 3年 7030 Controller用</v>
          </cell>
          <cell r="C3139" t="str">
            <v>【ファウンデーションケア】</v>
          </cell>
        </row>
        <row r="3140">
          <cell r="A3140" t="str">
            <v>H3CC7E</v>
          </cell>
          <cell r="B3140" t="str">
            <v>FC 翌日 3年 7030 Controller用</v>
          </cell>
          <cell r="C3140" t="str">
            <v>【ファウンデーションケア】</v>
          </cell>
        </row>
        <row r="3141">
          <cell r="A3141" t="str">
            <v>H3CC9E</v>
          </cell>
          <cell r="B3141" t="str">
            <v>FC 9x5 3年 7030 Controller用</v>
          </cell>
          <cell r="C3141" t="str">
            <v>【ファウンデーションケア】</v>
          </cell>
        </row>
        <row r="3142">
          <cell r="A3142" t="str">
            <v>H3CD4E</v>
          </cell>
          <cell r="B3142" t="str">
            <v>FC 24x7 3年 7030 Controller用</v>
          </cell>
          <cell r="C3142" t="str">
            <v>【ファウンデーションケア】</v>
          </cell>
        </row>
        <row r="3143">
          <cell r="A3143" t="str">
            <v>H3CE6E</v>
          </cell>
          <cell r="B3143" t="str">
            <v>FC Exchange 4年 7030 Controller用</v>
          </cell>
          <cell r="C3143" t="str">
            <v>【ファウンデーションケア】</v>
          </cell>
        </row>
        <row r="3144">
          <cell r="A3144" t="str">
            <v>H3CF0E</v>
          </cell>
          <cell r="B3144" t="str">
            <v>FC 翌日 4年 7030 Controller用</v>
          </cell>
          <cell r="C3144" t="str">
            <v>【ファウンデーションケア】</v>
          </cell>
        </row>
        <row r="3145">
          <cell r="A3145" t="str">
            <v>H3CF2E</v>
          </cell>
          <cell r="B3145" t="str">
            <v>FC 9x5 4年 7030 Controller用</v>
          </cell>
          <cell r="C3145" t="str">
            <v>【ファウンデーションケア】</v>
          </cell>
        </row>
        <row r="3146">
          <cell r="A3146" t="str">
            <v>H3CF7E</v>
          </cell>
          <cell r="B3146" t="str">
            <v>FC 24x7 4年 7030 Controller用</v>
          </cell>
          <cell r="C3146" t="str">
            <v>【ファウンデーションケア】</v>
          </cell>
        </row>
        <row r="3147">
          <cell r="A3147" t="str">
            <v>H3CG9E</v>
          </cell>
          <cell r="B3147" t="str">
            <v>FC Exchange 5年 7030 Controller用</v>
          </cell>
          <cell r="C3147" t="str">
            <v>【ファウンデーションケア】</v>
          </cell>
        </row>
        <row r="3148">
          <cell r="A3148" t="str">
            <v>H3CH3E</v>
          </cell>
          <cell r="B3148" t="str">
            <v>FC 翌日 5年 7030 Controller用</v>
          </cell>
          <cell r="C3148" t="str">
            <v>【ファウンデーションケア】</v>
          </cell>
        </row>
        <row r="3149">
          <cell r="A3149" t="str">
            <v>H3CH5E</v>
          </cell>
          <cell r="B3149" t="str">
            <v>FC 9x5 5年 7030 Controller用</v>
          </cell>
          <cell r="C3149" t="str">
            <v>【ファウンデーションケア】</v>
          </cell>
        </row>
        <row r="3150">
          <cell r="A3150" t="str">
            <v>H3CJ0E</v>
          </cell>
          <cell r="B3150" t="str">
            <v>FC 24x7 5年 7030 Controller用</v>
          </cell>
          <cell r="C3150" t="str">
            <v>【ファウンデーションケア】</v>
          </cell>
        </row>
        <row r="3151">
          <cell r="A3151" t="str">
            <v>H3CK2PE</v>
          </cell>
          <cell r="B3151" t="str">
            <v>PW FC Exch 1年 7030 Controller用</v>
          </cell>
          <cell r="C3151" t="str">
            <v>【ファウンデーションケア】</v>
          </cell>
        </row>
        <row r="3152">
          <cell r="A3152" t="str">
            <v>H3CK6PE</v>
          </cell>
          <cell r="B3152" t="str">
            <v>PW FC 翌日 1年 7030 Controller用</v>
          </cell>
          <cell r="C3152" t="str">
            <v>【ファウンデーションケア】</v>
          </cell>
        </row>
        <row r="3153">
          <cell r="A3153" t="str">
            <v>H3CK8PE</v>
          </cell>
          <cell r="B3153" t="str">
            <v>PW FC 9x5 1年 7030 Controller用</v>
          </cell>
          <cell r="C3153" t="str">
            <v>【ファウンデーションケア】</v>
          </cell>
        </row>
        <row r="3154">
          <cell r="A3154" t="str">
            <v>H3CL1PE</v>
          </cell>
          <cell r="B3154" t="str">
            <v>PW FC 24x7 1年 7030 Controller用</v>
          </cell>
          <cell r="C3154" t="str">
            <v>【ファウンデーションケア】</v>
          </cell>
        </row>
        <row r="3155">
          <cell r="A3155" t="str">
            <v>H3CL9E</v>
          </cell>
          <cell r="B3155" t="str">
            <v>FC Exchange 1年 7030 Controller TAA用</v>
          </cell>
          <cell r="C3155" t="str">
            <v>【ファウンデーションケア】</v>
          </cell>
        </row>
        <row r="3156">
          <cell r="A3156" t="str">
            <v>H3CM1E</v>
          </cell>
          <cell r="B3156" t="str">
            <v>FC 翌日 1年 7030 Controller TAA用</v>
          </cell>
          <cell r="C3156" t="str">
            <v>【ファウンデーションケア】</v>
          </cell>
        </row>
        <row r="3157">
          <cell r="A3157" t="str">
            <v>H3CM3E</v>
          </cell>
          <cell r="B3157" t="str">
            <v>FC 24x7 1年 7030 Controller TAA用</v>
          </cell>
          <cell r="C3157" t="str">
            <v>【ファウンデーションケア】</v>
          </cell>
        </row>
        <row r="3158">
          <cell r="A3158" t="str">
            <v>H3CM7E</v>
          </cell>
          <cell r="B3158" t="str">
            <v>FC Exchange 3年 7030 Controller TAA用</v>
          </cell>
          <cell r="C3158" t="str">
            <v>【ファウンデーションケア】</v>
          </cell>
        </row>
        <row r="3159">
          <cell r="A3159" t="str">
            <v>H3CN1E</v>
          </cell>
          <cell r="B3159" t="str">
            <v>FC 翌日 3年 7030 Controller TAA用</v>
          </cell>
          <cell r="C3159" t="str">
            <v>【ファウンデーションケア】</v>
          </cell>
        </row>
        <row r="3160">
          <cell r="A3160" t="str">
            <v>H3CN3E</v>
          </cell>
          <cell r="B3160" t="str">
            <v>FC 9x5 3年 7030 Controller TAA用</v>
          </cell>
          <cell r="C3160" t="str">
            <v>【ファウンデーションケア】</v>
          </cell>
        </row>
        <row r="3161">
          <cell r="A3161" t="str">
            <v>H3CN8E</v>
          </cell>
          <cell r="B3161" t="str">
            <v>FC 24x7 3年 7030 Controller TAA用</v>
          </cell>
          <cell r="C3161" t="str">
            <v>【ファウンデーションケア】</v>
          </cell>
        </row>
        <row r="3162">
          <cell r="A3162" t="str">
            <v>H3CQ0E</v>
          </cell>
          <cell r="B3162" t="str">
            <v>FC Exchange 4年 7030 Controller TAA用</v>
          </cell>
          <cell r="C3162" t="str">
            <v>【ファウンデーションケア】</v>
          </cell>
        </row>
        <row r="3163">
          <cell r="A3163" t="str">
            <v>H3CQ4E</v>
          </cell>
          <cell r="B3163" t="str">
            <v>FC 翌日 4年 7030 Controller TAA用</v>
          </cell>
          <cell r="C3163" t="str">
            <v>【ファウンデーションケア】</v>
          </cell>
        </row>
        <row r="3164">
          <cell r="A3164" t="str">
            <v>H3CQ6E</v>
          </cell>
          <cell r="B3164" t="str">
            <v>FC 9x5 4年 7030 Controller TAA用</v>
          </cell>
          <cell r="C3164" t="str">
            <v>【ファウンデーションケア】</v>
          </cell>
        </row>
        <row r="3165">
          <cell r="A3165" t="str">
            <v>H3CR1E</v>
          </cell>
          <cell r="B3165" t="str">
            <v>FC 24x7 4年 7030 Controller TAA用</v>
          </cell>
          <cell r="C3165" t="str">
            <v>【ファウンデーションケア】</v>
          </cell>
        </row>
        <row r="3166">
          <cell r="A3166" t="str">
            <v>H3CS3E</v>
          </cell>
          <cell r="B3166" t="str">
            <v>FC Exchange 5年 7030 Controller TAA用</v>
          </cell>
          <cell r="C3166" t="str">
            <v>【ファウンデーションケア】</v>
          </cell>
        </row>
        <row r="3167">
          <cell r="A3167" t="str">
            <v>H3CS7E</v>
          </cell>
          <cell r="B3167" t="str">
            <v>FC 翌日 5年 7030 Controller TAA用</v>
          </cell>
          <cell r="C3167" t="str">
            <v>【ファウンデーションケア】</v>
          </cell>
        </row>
        <row r="3168">
          <cell r="A3168" t="str">
            <v>H3CS9E</v>
          </cell>
          <cell r="B3168" t="str">
            <v>FC 9x5 5年 7030 Controller TAA用</v>
          </cell>
          <cell r="C3168" t="str">
            <v>【ファウンデーションケア】</v>
          </cell>
        </row>
        <row r="3169">
          <cell r="A3169" t="str">
            <v>H3CT4E</v>
          </cell>
          <cell r="B3169" t="str">
            <v>FC 24x7 5年 7030 Controller TAA用</v>
          </cell>
          <cell r="C3169" t="str">
            <v>【ファウンデーションケア】</v>
          </cell>
        </row>
        <row r="3170">
          <cell r="A3170" t="str">
            <v>H3CU6PE</v>
          </cell>
          <cell r="B3170" t="str">
            <v>PW FC Exch 1年 7030 Controller TAA用</v>
          </cell>
          <cell r="C3170" t="str">
            <v>【ファウンデーションケア】</v>
          </cell>
        </row>
        <row r="3171">
          <cell r="A3171" t="str">
            <v>H3CW3E</v>
          </cell>
          <cell r="B3171" t="str">
            <v>FC Exchange 1年 7205 Controller用</v>
          </cell>
          <cell r="C3171" t="str">
            <v>【ファウンデーションケア】</v>
          </cell>
        </row>
        <row r="3172">
          <cell r="A3172" t="str">
            <v>H3CW5E</v>
          </cell>
          <cell r="B3172" t="str">
            <v>FC 翌日 1年 7205 Controller用</v>
          </cell>
          <cell r="C3172" t="str">
            <v>【ファウンデーションケア】</v>
          </cell>
        </row>
        <row r="3173">
          <cell r="A3173" t="str">
            <v>H3CW7E</v>
          </cell>
          <cell r="B3173" t="str">
            <v>FC 24x7 1年 7205 Controller用</v>
          </cell>
          <cell r="C3173" t="str">
            <v>【ファウンデーションケア】</v>
          </cell>
        </row>
        <row r="3174">
          <cell r="A3174" t="str">
            <v>H3CX1E</v>
          </cell>
          <cell r="B3174" t="str">
            <v>FC Exchange 3年 7205 Controller用</v>
          </cell>
          <cell r="C3174" t="str">
            <v>【ファウンデーションケア】</v>
          </cell>
        </row>
        <row r="3175">
          <cell r="A3175" t="str">
            <v>H3CX5E</v>
          </cell>
          <cell r="B3175" t="str">
            <v>FC 翌日 3年 7205 Controller用</v>
          </cell>
          <cell r="C3175" t="str">
            <v>【ファウンデーションケア】</v>
          </cell>
        </row>
        <row r="3176">
          <cell r="A3176" t="str">
            <v>H3CX7E</v>
          </cell>
          <cell r="B3176" t="str">
            <v>FC 9x5 3年 7205 Controller用</v>
          </cell>
          <cell r="C3176" t="str">
            <v>【ファウンデーションケア】</v>
          </cell>
        </row>
        <row r="3177">
          <cell r="A3177" t="str">
            <v>H3CY2E</v>
          </cell>
          <cell r="B3177" t="str">
            <v>FC 24x7 3年 7205 Controller用</v>
          </cell>
          <cell r="C3177" t="str">
            <v>【ファウンデーションケア】</v>
          </cell>
        </row>
        <row r="3178">
          <cell r="A3178" t="str">
            <v>H3CZ4E</v>
          </cell>
          <cell r="B3178" t="str">
            <v>FC Exchange 4年 7205 Controller用</v>
          </cell>
          <cell r="C3178" t="str">
            <v>【ファウンデーションケア】</v>
          </cell>
        </row>
        <row r="3179">
          <cell r="A3179" t="str">
            <v>H3CZ8E</v>
          </cell>
          <cell r="B3179" t="str">
            <v>FC 翌日 4年 7205 Controller用</v>
          </cell>
          <cell r="C3179" t="str">
            <v>【ファウンデーションケア】</v>
          </cell>
        </row>
        <row r="3180">
          <cell r="A3180" t="str">
            <v>H3DA0E</v>
          </cell>
          <cell r="B3180" t="str">
            <v>FC 9x5 4年 7205 Controller用</v>
          </cell>
          <cell r="C3180" t="str">
            <v>【ファウンデーションケア】</v>
          </cell>
        </row>
        <row r="3181">
          <cell r="A3181" t="str">
            <v>H3DA5E</v>
          </cell>
          <cell r="B3181" t="str">
            <v>FC 24x7 4年 7205 Controller用</v>
          </cell>
          <cell r="C3181" t="str">
            <v>【ファウンデーションケア】</v>
          </cell>
        </row>
        <row r="3182">
          <cell r="A3182" t="str">
            <v>H3DB7E</v>
          </cell>
          <cell r="B3182" t="str">
            <v>FC Exchange 5年 7205 Controller用</v>
          </cell>
          <cell r="C3182" t="str">
            <v>【ファウンデーションケア】</v>
          </cell>
        </row>
        <row r="3183">
          <cell r="A3183" t="str">
            <v>H3DC1E</v>
          </cell>
          <cell r="B3183" t="str">
            <v>FC 翌日 5年 7205 Controller用</v>
          </cell>
          <cell r="C3183" t="str">
            <v>【ファウンデーションケア】</v>
          </cell>
        </row>
        <row r="3184">
          <cell r="A3184" t="str">
            <v>H3DC3E</v>
          </cell>
          <cell r="B3184" t="str">
            <v>FC 9x5 5年 7205 Controller用</v>
          </cell>
          <cell r="C3184" t="str">
            <v>【ファウンデーションケア】</v>
          </cell>
        </row>
        <row r="3185">
          <cell r="A3185" t="str">
            <v>H3DC8E</v>
          </cell>
          <cell r="B3185" t="str">
            <v>FC 24x7 5年 7205 Controller用</v>
          </cell>
          <cell r="C3185" t="str">
            <v>【ファウンデーションケア】</v>
          </cell>
        </row>
        <row r="3186">
          <cell r="A3186" t="str">
            <v>H3DE0PE</v>
          </cell>
          <cell r="B3186" t="str">
            <v>PW FC Exch 1年 7205 Controller用</v>
          </cell>
          <cell r="C3186" t="str">
            <v>【ファウンデーションケア】</v>
          </cell>
        </row>
        <row r="3187">
          <cell r="A3187" t="str">
            <v>H3DF7E</v>
          </cell>
          <cell r="B3187" t="str">
            <v>FC Exchange 1年 7205 Controller TAA用</v>
          </cell>
          <cell r="C3187" t="str">
            <v>【ファウンデーションケア】</v>
          </cell>
        </row>
        <row r="3188">
          <cell r="A3188" t="str">
            <v>H3DF9E</v>
          </cell>
          <cell r="B3188" t="str">
            <v>FC 翌日 1年 7205 Controller TAA用</v>
          </cell>
          <cell r="C3188" t="str">
            <v>【ファウンデーションケア】</v>
          </cell>
        </row>
        <row r="3189">
          <cell r="A3189" t="str">
            <v>H3DG1E</v>
          </cell>
          <cell r="B3189" t="str">
            <v>FC 24x7 1年 7205 Controller TAA用</v>
          </cell>
          <cell r="C3189" t="str">
            <v>【ファウンデーションケア】</v>
          </cell>
        </row>
        <row r="3190">
          <cell r="A3190" t="str">
            <v>H3DG5E</v>
          </cell>
          <cell r="B3190" t="str">
            <v>FC Exchange 3年 7205 Controller TAA用</v>
          </cell>
          <cell r="C3190" t="str">
            <v>【ファウンデーションケア】</v>
          </cell>
        </row>
        <row r="3191">
          <cell r="A3191" t="str">
            <v>H3DG9E</v>
          </cell>
          <cell r="B3191" t="str">
            <v>FC 翌日 3年 7205 Controller TAA用</v>
          </cell>
          <cell r="C3191" t="str">
            <v>【ファウンデーションケア】</v>
          </cell>
        </row>
        <row r="3192">
          <cell r="A3192" t="str">
            <v>H3DH1E</v>
          </cell>
          <cell r="B3192" t="str">
            <v>FC 9x5 3年 7205 Controller TAA用</v>
          </cell>
          <cell r="C3192" t="str">
            <v>【ファウンデーションケア】</v>
          </cell>
        </row>
        <row r="3193">
          <cell r="A3193" t="str">
            <v>H3DH6E</v>
          </cell>
          <cell r="B3193" t="str">
            <v>FC 24x7 3年 7205 Controller TAA用</v>
          </cell>
          <cell r="C3193" t="str">
            <v>【ファウンデーションケア】</v>
          </cell>
        </row>
        <row r="3194">
          <cell r="A3194" t="str">
            <v>H3DJ8E</v>
          </cell>
          <cell r="B3194" t="str">
            <v>FC Exchange 4年 7205 Controller TAA用</v>
          </cell>
          <cell r="C3194" t="str">
            <v>【ファウンデーションケア】</v>
          </cell>
        </row>
        <row r="3195">
          <cell r="A3195" t="str">
            <v>H3DK2E</v>
          </cell>
          <cell r="B3195" t="str">
            <v>FC 翌日 4年 7205 Controller TAA用</v>
          </cell>
          <cell r="C3195" t="str">
            <v>【ファウンデーションケア】</v>
          </cell>
        </row>
        <row r="3196">
          <cell r="A3196" t="str">
            <v>H3DK4E</v>
          </cell>
          <cell r="B3196" t="str">
            <v>FC 9x5 4年 7205 Controller TAA用</v>
          </cell>
          <cell r="C3196" t="str">
            <v>【ファウンデーションケア】</v>
          </cell>
        </row>
        <row r="3197">
          <cell r="A3197" t="str">
            <v>H3DK9E</v>
          </cell>
          <cell r="B3197" t="str">
            <v>FC 24x7 4年 7205 Controller TAA用</v>
          </cell>
          <cell r="C3197" t="str">
            <v>【ファウンデーションケア】</v>
          </cell>
        </row>
        <row r="3198">
          <cell r="A3198" t="str">
            <v>H3DM1E</v>
          </cell>
          <cell r="B3198" t="str">
            <v>FC Exchange 5年 7205 Controller TAA用</v>
          </cell>
          <cell r="C3198" t="str">
            <v>【ファウンデーションケア】</v>
          </cell>
        </row>
        <row r="3199">
          <cell r="A3199" t="str">
            <v>H3DM5E</v>
          </cell>
          <cell r="B3199" t="str">
            <v>FC 翌日 5年 7205 Controller TAA用</v>
          </cell>
          <cell r="C3199" t="str">
            <v>【ファウンデーションケア】</v>
          </cell>
        </row>
        <row r="3200">
          <cell r="A3200" t="str">
            <v>H3DM7E</v>
          </cell>
          <cell r="B3200" t="str">
            <v>FC 9x5 5年 7205 Controller TAA用</v>
          </cell>
          <cell r="C3200" t="str">
            <v>【ファウンデーションケア】</v>
          </cell>
        </row>
        <row r="3201">
          <cell r="A3201" t="str">
            <v>H3DN2E</v>
          </cell>
          <cell r="B3201" t="str">
            <v>FC 24x7 5年 7205 Controller TAA用</v>
          </cell>
          <cell r="C3201" t="str">
            <v>【ファウンデーションケア】</v>
          </cell>
        </row>
        <row r="3202">
          <cell r="A3202" t="str">
            <v>H3DP4PE</v>
          </cell>
          <cell r="B3202" t="str">
            <v>PW FC Exch 1年 7205 Controller TAA用</v>
          </cell>
          <cell r="C3202" t="str">
            <v>【ファウンデーションケア】</v>
          </cell>
        </row>
        <row r="3203">
          <cell r="A3203" t="str">
            <v>H3DR1E</v>
          </cell>
          <cell r="B3203" t="str">
            <v>FC Exchange 1年 7210 Controller用</v>
          </cell>
          <cell r="C3203" t="str">
            <v>【ファウンデーションケア】</v>
          </cell>
        </row>
        <row r="3204">
          <cell r="A3204" t="str">
            <v>H3DR3E</v>
          </cell>
          <cell r="B3204" t="str">
            <v>FC 翌日 1年 7210 Controller用</v>
          </cell>
          <cell r="C3204" t="str">
            <v>【ファウンデーションケア】</v>
          </cell>
        </row>
        <row r="3205">
          <cell r="A3205" t="str">
            <v>H3DR5E</v>
          </cell>
          <cell r="B3205" t="str">
            <v>FC 24x7 1年 7210 Controller用</v>
          </cell>
          <cell r="C3205" t="str">
            <v>【ファウンデーションケア】</v>
          </cell>
        </row>
        <row r="3206">
          <cell r="A3206" t="str">
            <v>H3DR9E</v>
          </cell>
          <cell r="B3206" t="str">
            <v>FC Exchange 3年 7210 Controller用</v>
          </cell>
          <cell r="C3206" t="str">
            <v>【ファウンデーションケア】</v>
          </cell>
        </row>
        <row r="3207">
          <cell r="A3207" t="str">
            <v>H3DS3E</v>
          </cell>
          <cell r="B3207" t="str">
            <v>FC 翌日 3年 7210 Controller用</v>
          </cell>
          <cell r="C3207" t="str">
            <v>【ファウンデーションケア】</v>
          </cell>
        </row>
        <row r="3208">
          <cell r="A3208" t="str">
            <v>H3DS5E</v>
          </cell>
          <cell r="B3208" t="str">
            <v>FC 9x5 3年 7210 Controller用</v>
          </cell>
          <cell r="C3208" t="str">
            <v>【ファウンデーションケア】</v>
          </cell>
        </row>
        <row r="3209">
          <cell r="A3209" t="str">
            <v>H3DT0E</v>
          </cell>
          <cell r="B3209" t="str">
            <v>FC 24x7 3年 7210 Controller用</v>
          </cell>
          <cell r="C3209" t="str">
            <v>【ファウンデーションケア】</v>
          </cell>
        </row>
        <row r="3210">
          <cell r="A3210" t="str">
            <v>H3DU2E</v>
          </cell>
          <cell r="B3210" t="str">
            <v>FC Exchange 4年 7210 Controller用</v>
          </cell>
          <cell r="C3210" t="str">
            <v>【ファウンデーションケア】</v>
          </cell>
        </row>
        <row r="3211">
          <cell r="A3211" t="str">
            <v>H3DU6E</v>
          </cell>
          <cell r="B3211" t="str">
            <v>FC 翌日 4年 7210 Controller用</v>
          </cell>
          <cell r="C3211" t="str">
            <v>【ファウンデーションケア】</v>
          </cell>
        </row>
        <row r="3212">
          <cell r="A3212" t="str">
            <v>H3DU8E</v>
          </cell>
          <cell r="B3212" t="str">
            <v>FC 9x5 4年 7210 Controller用</v>
          </cell>
          <cell r="C3212" t="str">
            <v>【ファウンデーションケア】</v>
          </cell>
        </row>
        <row r="3213">
          <cell r="A3213" t="str">
            <v>H3DV3E</v>
          </cell>
          <cell r="B3213" t="str">
            <v>FC 24x7 4年 7210 Controller用</v>
          </cell>
          <cell r="C3213" t="str">
            <v>【ファウンデーションケア】</v>
          </cell>
        </row>
        <row r="3214">
          <cell r="A3214" t="str">
            <v>H3DW5E</v>
          </cell>
          <cell r="B3214" t="str">
            <v>FC Exchange 5年 7210 Controller用</v>
          </cell>
          <cell r="C3214" t="str">
            <v>【ファウンデーションケア】</v>
          </cell>
        </row>
        <row r="3215">
          <cell r="A3215" t="str">
            <v>H3DW9E</v>
          </cell>
          <cell r="B3215" t="str">
            <v>FC 翌日 5年 7210 Controller用</v>
          </cell>
          <cell r="C3215" t="str">
            <v>【ファウンデーションケア】</v>
          </cell>
        </row>
        <row r="3216">
          <cell r="A3216" t="str">
            <v>H3DX1E</v>
          </cell>
          <cell r="B3216" t="str">
            <v>FC 9x5 5年 7210 Controller用</v>
          </cell>
          <cell r="C3216" t="str">
            <v>【ファウンデーションケア】</v>
          </cell>
        </row>
        <row r="3217">
          <cell r="A3217" t="str">
            <v>H3DX6E</v>
          </cell>
          <cell r="B3217" t="str">
            <v>FC 24x7 5年 7210 Controller用</v>
          </cell>
          <cell r="C3217" t="str">
            <v>【ファウンデーションケア】</v>
          </cell>
        </row>
        <row r="3218">
          <cell r="A3218" t="str">
            <v>H3DY8PE</v>
          </cell>
          <cell r="B3218" t="str">
            <v>PW FC Exch 1年 7210 Controller用</v>
          </cell>
          <cell r="C3218" t="str">
            <v>【ファウンデーションケア】</v>
          </cell>
        </row>
        <row r="3219">
          <cell r="A3219" t="str">
            <v>H3DZ2PE</v>
          </cell>
          <cell r="B3219" t="str">
            <v>PW FC 翌日 1年 7210 Controller用</v>
          </cell>
          <cell r="C3219" t="str">
            <v>【ファウンデーションケア】</v>
          </cell>
        </row>
        <row r="3220">
          <cell r="A3220" t="str">
            <v>H3DZ4PE</v>
          </cell>
          <cell r="B3220" t="str">
            <v>PW FC 9x5 1年 7210 Controller用</v>
          </cell>
          <cell r="C3220" t="str">
            <v>【ファウンデーションケア】</v>
          </cell>
        </row>
        <row r="3221">
          <cell r="A3221" t="str">
            <v>H3DZ7PE</v>
          </cell>
          <cell r="B3221" t="str">
            <v>PW FC 24x7 1年 7210 Controller用</v>
          </cell>
          <cell r="C3221" t="str">
            <v>【ファウンデーションケア】</v>
          </cell>
        </row>
        <row r="3222">
          <cell r="A3222" t="str">
            <v>H3EA5E</v>
          </cell>
          <cell r="B3222" t="str">
            <v>FC Exchange 1年 7210 Controller TAA用</v>
          </cell>
          <cell r="C3222" t="str">
            <v>【ファウンデーションケア】</v>
          </cell>
        </row>
        <row r="3223">
          <cell r="A3223" t="str">
            <v>H3EA7E</v>
          </cell>
          <cell r="B3223" t="str">
            <v>FC 翌日 1年 7210 Controller TAA用</v>
          </cell>
          <cell r="C3223" t="str">
            <v>【ファウンデーションケア】</v>
          </cell>
        </row>
        <row r="3224">
          <cell r="A3224" t="str">
            <v>H3EA9E</v>
          </cell>
          <cell r="B3224" t="str">
            <v>FC 24x7 1年 7210 Controller TAA用</v>
          </cell>
          <cell r="C3224" t="str">
            <v>【ファウンデーションケア】</v>
          </cell>
        </row>
        <row r="3225">
          <cell r="A3225" t="str">
            <v>H3EB3E</v>
          </cell>
          <cell r="B3225" t="str">
            <v>FC Exchange 3年 7210 Controller TAA用</v>
          </cell>
          <cell r="C3225" t="str">
            <v>【ファウンデーションケア】</v>
          </cell>
        </row>
        <row r="3226">
          <cell r="A3226" t="str">
            <v>H3EB7E</v>
          </cell>
          <cell r="B3226" t="str">
            <v>FC 翌日 3年 7210 Controller TAA用</v>
          </cell>
          <cell r="C3226" t="str">
            <v>【ファウンデーションケア】</v>
          </cell>
        </row>
        <row r="3227">
          <cell r="A3227" t="str">
            <v>H3EB9E</v>
          </cell>
          <cell r="B3227" t="str">
            <v>FC 9x5 3年 7210 Controller TAA用</v>
          </cell>
          <cell r="C3227" t="str">
            <v>【ファウンデーションケア】</v>
          </cell>
        </row>
        <row r="3228">
          <cell r="A3228" t="str">
            <v>H3EC4E</v>
          </cell>
          <cell r="B3228" t="str">
            <v>FC 24x7 3年 7210 Controller TAA用</v>
          </cell>
          <cell r="C3228" t="str">
            <v>【ファウンデーションケア】</v>
          </cell>
        </row>
        <row r="3229">
          <cell r="A3229" t="str">
            <v>H3ED6E</v>
          </cell>
          <cell r="B3229" t="str">
            <v>FC Exchange 4年 7210 Controller TAA用</v>
          </cell>
          <cell r="C3229" t="str">
            <v>【ファウンデーションケア】</v>
          </cell>
        </row>
        <row r="3230">
          <cell r="A3230" t="str">
            <v>H3EE0E</v>
          </cell>
          <cell r="B3230" t="str">
            <v>FC 翌日 4年 7210 Controller TAA用</v>
          </cell>
          <cell r="C3230" t="str">
            <v>【ファウンデーションケア】</v>
          </cell>
        </row>
        <row r="3231">
          <cell r="A3231" t="str">
            <v>H3EE2E</v>
          </cell>
          <cell r="B3231" t="str">
            <v>FC 9x5 4年 7210 Controller TAA用</v>
          </cell>
          <cell r="C3231" t="str">
            <v>【ファウンデーションケア】</v>
          </cell>
        </row>
        <row r="3232">
          <cell r="A3232" t="str">
            <v>H3EE7E</v>
          </cell>
          <cell r="B3232" t="str">
            <v>FC 24x7 4年 7210 Controller TAA用</v>
          </cell>
          <cell r="C3232" t="str">
            <v>【ファウンデーションケア】</v>
          </cell>
        </row>
        <row r="3233">
          <cell r="A3233" t="str">
            <v>H3EF9E</v>
          </cell>
          <cell r="B3233" t="str">
            <v>FC Exchange 5年 7210 Controller TAA用</v>
          </cell>
          <cell r="C3233" t="str">
            <v>【ファウンデーションケア】</v>
          </cell>
        </row>
        <row r="3234">
          <cell r="A3234" t="str">
            <v>H3EG3E</v>
          </cell>
          <cell r="B3234" t="str">
            <v>FC 翌日 5年 7210 Controller TAA用</v>
          </cell>
          <cell r="C3234" t="str">
            <v>【ファウンデーションケア】</v>
          </cell>
        </row>
        <row r="3235">
          <cell r="A3235" t="str">
            <v>H3EG5E</v>
          </cell>
          <cell r="B3235" t="str">
            <v>FC 9x5 5年 7210 Controller TAA用</v>
          </cell>
          <cell r="C3235" t="str">
            <v>【ファウンデーションケア】</v>
          </cell>
        </row>
        <row r="3236">
          <cell r="A3236" t="str">
            <v>H3EH0E</v>
          </cell>
          <cell r="B3236" t="str">
            <v>FC 24x7 5年 7210 Controller TAA用</v>
          </cell>
          <cell r="C3236" t="str">
            <v>【ファウンデーションケア】</v>
          </cell>
        </row>
        <row r="3237">
          <cell r="A3237" t="str">
            <v>H3EJ2PE</v>
          </cell>
          <cell r="B3237" t="str">
            <v>PW FC Exch 1年 7210 Controller TAA用</v>
          </cell>
          <cell r="C3237" t="str">
            <v>【ファウンデーションケア】</v>
          </cell>
        </row>
        <row r="3238">
          <cell r="A3238" t="str">
            <v>H3EK9E</v>
          </cell>
          <cell r="B3238" t="str">
            <v>FC Exchange 1年 7210DC Controller用</v>
          </cell>
          <cell r="C3238" t="str">
            <v>【ファウンデーションケア】</v>
          </cell>
        </row>
        <row r="3239">
          <cell r="A3239" t="str">
            <v>H3EL1E</v>
          </cell>
          <cell r="B3239" t="str">
            <v>FC 翌日 1年 7210DC Controller用</v>
          </cell>
          <cell r="C3239" t="str">
            <v>【ファウンデーションケア】</v>
          </cell>
        </row>
        <row r="3240">
          <cell r="A3240" t="str">
            <v>H3EL3E</v>
          </cell>
          <cell r="B3240" t="str">
            <v>FC 24x7 1年 7210DC Controller用</v>
          </cell>
          <cell r="C3240" t="str">
            <v>【ファウンデーションケア】</v>
          </cell>
        </row>
        <row r="3241">
          <cell r="A3241" t="str">
            <v>H3EL7E</v>
          </cell>
          <cell r="B3241" t="str">
            <v>FC Exchange 3年 7210DC Controller用</v>
          </cell>
          <cell r="C3241" t="str">
            <v>【ファウンデーションケア】</v>
          </cell>
        </row>
        <row r="3242">
          <cell r="A3242" t="str">
            <v>H3EM1E</v>
          </cell>
          <cell r="B3242" t="str">
            <v>FC 翌日 3年 7210DC Controller用</v>
          </cell>
          <cell r="C3242" t="str">
            <v>【ファウンデーションケア】</v>
          </cell>
        </row>
        <row r="3243">
          <cell r="A3243" t="str">
            <v>H3EM3E</v>
          </cell>
          <cell r="B3243" t="str">
            <v>FC 9x5 3年 7210DC Controller用</v>
          </cell>
          <cell r="C3243" t="str">
            <v>【ファウンデーションケア】</v>
          </cell>
        </row>
        <row r="3244">
          <cell r="A3244" t="str">
            <v>H3EM8E</v>
          </cell>
          <cell r="B3244" t="str">
            <v>FC 24x7 3年 7210DC Controller用</v>
          </cell>
          <cell r="C3244" t="str">
            <v>【ファウンデーションケア】</v>
          </cell>
        </row>
        <row r="3245">
          <cell r="A3245" t="str">
            <v>H3EP0E</v>
          </cell>
          <cell r="B3245" t="str">
            <v>FC Exchange 4年 7210DC Controller用</v>
          </cell>
          <cell r="C3245" t="str">
            <v>【ファウンデーションケア】</v>
          </cell>
        </row>
        <row r="3246">
          <cell r="A3246" t="str">
            <v>H3EP4E</v>
          </cell>
          <cell r="B3246" t="str">
            <v>FC 翌日 4年 7210DC Controller用</v>
          </cell>
          <cell r="C3246" t="str">
            <v>【ファウンデーションケア】</v>
          </cell>
        </row>
        <row r="3247">
          <cell r="A3247" t="str">
            <v>H3EP6E</v>
          </cell>
          <cell r="B3247" t="str">
            <v>FC 9x5 4年 7210DC Controller用</v>
          </cell>
          <cell r="C3247" t="str">
            <v>【ファウンデーションケア】</v>
          </cell>
        </row>
        <row r="3248">
          <cell r="A3248" t="str">
            <v>H3EQ1E</v>
          </cell>
          <cell r="B3248" t="str">
            <v>FC 24x7 4年 7210DC Controller用</v>
          </cell>
          <cell r="C3248" t="str">
            <v>【ファウンデーションケア】</v>
          </cell>
        </row>
        <row r="3249">
          <cell r="A3249" t="str">
            <v>H3ER3E</v>
          </cell>
          <cell r="B3249" t="str">
            <v>FC Exchange 5年 7210DC Controller用</v>
          </cell>
          <cell r="C3249" t="str">
            <v>【ファウンデーションケア】</v>
          </cell>
        </row>
        <row r="3250">
          <cell r="A3250" t="str">
            <v>H3ER7E</v>
          </cell>
          <cell r="B3250" t="str">
            <v>FC 翌日 5年 7210DC Controller用</v>
          </cell>
          <cell r="C3250" t="str">
            <v>【ファウンデーションケア】</v>
          </cell>
        </row>
        <row r="3251">
          <cell r="A3251" t="str">
            <v>H3ER9E</v>
          </cell>
          <cell r="B3251" t="str">
            <v>FC 9x5 5年 7210DC Controller用</v>
          </cell>
          <cell r="C3251" t="str">
            <v>【ファウンデーションケア】</v>
          </cell>
        </row>
        <row r="3252">
          <cell r="A3252" t="str">
            <v>H3ES4E</v>
          </cell>
          <cell r="B3252" t="str">
            <v>FC 24x7 5年 7210DC Controller用</v>
          </cell>
          <cell r="C3252" t="str">
            <v>【ファウンデーションケア】</v>
          </cell>
        </row>
        <row r="3253">
          <cell r="A3253" t="str">
            <v>H3ET6PE</v>
          </cell>
          <cell r="B3253" t="str">
            <v>PW FC Exch 1年 7210DC Controller用</v>
          </cell>
          <cell r="C3253" t="str">
            <v>【ファウンデーションケア】</v>
          </cell>
        </row>
        <row r="3254">
          <cell r="A3254" t="str">
            <v>H3EU0PE</v>
          </cell>
          <cell r="B3254" t="str">
            <v>PW FC 翌日 1年 7210DC Controller用</v>
          </cell>
          <cell r="C3254" t="str">
            <v>【ファウンデーションケア】</v>
          </cell>
        </row>
        <row r="3255">
          <cell r="A3255" t="str">
            <v>H3EU2PE</v>
          </cell>
          <cell r="B3255" t="str">
            <v>PW FC 9x5 1年 7210DC Controller用</v>
          </cell>
          <cell r="C3255" t="str">
            <v>【ファウンデーションケア】</v>
          </cell>
        </row>
        <row r="3256">
          <cell r="A3256" t="str">
            <v>H3EU5PE</v>
          </cell>
          <cell r="B3256" t="str">
            <v>PW FC 24x7 1年 7210DC Controller用</v>
          </cell>
          <cell r="C3256" t="str">
            <v>【ファウンデーションケア】</v>
          </cell>
        </row>
        <row r="3257">
          <cell r="A3257" t="str">
            <v>H3EV3E</v>
          </cell>
          <cell r="B3257" t="str">
            <v>FC Exchange 1年 7220 Controller用</v>
          </cell>
          <cell r="C3257" t="str">
            <v>【ファウンデーションケア】</v>
          </cell>
        </row>
        <row r="3258">
          <cell r="A3258" t="str">
            <v>H3EV5E</v>
          </cell>
          <cell r="B3258" t="str">
            <v>FC 翌日 1年 7220 Controller用</v>
          </cell>
          <cell r="C3258" t="str">
            <v>【ファウンデーションケア】</v>
          </cell>
        </row>
        <row r="3259">
          <cell r="A3259" t="str">
            <v>H3EV7E</v>
          </cell>
          <cell r="B3259" t="str">
            <v>FC 24x7 1年 7220 Controller用</v>
          </cell>
          <cell r="C3259" t="str">
            <v>【ファウンデーションケア】</v>
          </cell>
        </row>
        <row r="3260">
          <cell r="A3260" t="str">
            <v>H3EW1E</v>
          </cell>
          <cell r="B3260" t="str">
            <v>FC Exchange 3年 7220 Controller用</v>
          </cell>
          <cell r="C3260" t="str">
            <v>【ファウンデーションケア】</v>
          </cell>
        </row>
        <row r="3261">
          <cell r="A3261" t="str">
            <v>H3EW5E</v>
          </cell>
          <cell r="B3261" t="str">
            <v>FC 翌日 3年 7220 Controller用</v>
          </cell>
          <cell r="C3261" t="str">
            <v>【ファウンデーションケア】</v>
          </cell>
        </row>
        <row r="3262">
          <cell r="A3262" t="str">
            <v>H3EW7E</v>
          </cell>
          <cell r="B3262" t="str">
            <v>FC 9x5 3年 7220 Controller用</v>
          </cell>
          <cell r="C3262" t="str">
            <v>【ファウンデーションケア】</v>
          </cell>
        </row>
        <row r="3263">
          <cell r="A3263" t="str">
            <v>H3EX2E</v>
          </cell>
          <cell r="B3263" t="str">
            <v>FC 24x7 3年 7220 Controller用</v>
          </cell>
          <cell r="C3263" t="str">
            <v>【ファウンデーションケア】</v>
          </cell>
        </row>
        <row r="3264">
          <cell r="A3264" t="str">
            <v>H3EY4E</v>
          </cell>
          <cell r="B3264" t="str">
            <v>FC Exchange 4年 7220 Controller用</v>
          </cell>
          <cell r="C3264" t="str">
            <v>【ファウンデーションケア】</v>
          </cell>
        </row>
        <row r="3265">
          <cell r="A3265" t="str">
            <v>H3EY8E</v>
          </cell>
          <cell r="B3265" t="str">
            <v>FC 翌日 4年 7220 Controller用</v>
          </cell>
          <cell r="C3265" t="str">
            <v>【ファウンデーションケア】</v>
          </cell>
        </row>
        <row r="3266">
          <cell r="A3266" t="str">
            <v>H3EZ0E</v>
          </cell>
          <cell r="B3266" t="str">
            <v>FC 9x5 4年 7220 Controller用</v>
          </cell>
          <cell r="C3266" t="str">
            <v>【ファウンデーションケア】</v>
          </cell>
        </row>
        <row r="3267">
          <cell r="A3267" t="str">
            <v>H3EZ5E</v>
          </cell>
          <cell r="B3267" t="str">
            <v>FC 24x7 4年 7220 Controller用</v>
          </cell>
          <cell r="C3267" t="str">
            <v>【ファウンデーションケア】</v>
          </cell>
        </row>
        <row r="3268">
          <cell r="A3268" t="str">
            <v>H3FA7E</v>
          </cell>
          <cell r="B3268" t="str">
            <v>FC Exchange 5年 7220 Controller用</v>
          </cell>
          <cell r="C3268" t="str">
            <v>【ファウンデーションケア】</v>
          </cell>
        </row>
        <row r="3269">
          <cell r="A3269" t="str">
            <v>H3FB1E</v>
          </cell>
          <cell r="B3269" t="str">
            <v>FC 翌日 5年 7220 Controller用</v>
          </cell>
          <cell r="C3269" t="str">
            <v>【ファウンデーションケア】</v>
          </cell>
        </row>
        <row r="3270">
          <cell r="A3270" t="str">
            <v>H3FB3E</v>
          </cell>
          <cell r="B3270" t="str">
            <v>FC 9x5 5年 7220 Controller用</v>
          </cell>
          <cell r="C3270" t="str">
            <v>【ファウンデーションケア】</v>
          </cell>
        </row>
        <row r="3271">
          <cell r="A3271" t="str">
            <v>H3FB8E</v>
          </cell>
          <cell r="B3271" t="str">
            <v>FC 24x7 5年 7220 Controller用</v>
          </cell>
          <cell r="C3271" t="str">
            <v>【ファウンデーションケア】</v>
          </cell>
        </row>
        <row r="3272">
          <cell r="A3272" t="str">
            <v>H3FD0PE</v>
          </cell>
          <cell r="B3272" t="str">
            <v>PW FC Exch 1年 7220 Controller用</v>
          </cell>
          <cell r="C3272" t="str">
            <v>【ファウンデーションケア】</v>
          </cell>
        </row>
        <row r="3273">
          <cell r="A3273" t="str">
            <v>H3FD4PE</v>
          </cell>
          <cell r="B3273" t="str">
            <v>PW FC 翌日 1年 7220 Controller用</v>
          </cell>
          <cell r="C3273" t="str">
            <v>【ファウンデーションケア】</v>
          </cell>
        </row>
        <row r="3274">
          <cell r="A3274" t="str">
            <v>H3FD6PE</v>
          </cell>
          <cell r="B3274" t="str">
            <v>PW FC 9x5 1年 7220 Controller用</v>
          </cell>
          <cell r="C3274" t="str">
            <v>【ファウンデーションケア】</v>
          </cell>
        </row>
        <row r="3275">
          <cell r="A3275" t="str">
            <v>H3FD9PE</v>
          </cell>
          <cell r="B3275" t="str">
            <v>PW FC 24x7 1年 7220 Controller用</v>
          </cell>
          <cell r="C3275" t="str">
            <v>【ファウンデーションケア】</v>
          </cell>
        </row>
        <row r="3276">
          <cell r="A3276" t="str">
            <v>H3FE7E</v>
          </cell>
          <cell r="B3276" t="str">
            <v>FC Exchange 1年 7220 Controller TAA用</v>
          </cell>
          <cell r="C3276" t="str">
            <v>【ファウンデーションケア】</v>
          </cell>
        </row>
        <row r="3277">
          <cell r="A3277" t="str">
            <v>H3FE9E</v>
          </cell>
          <cell r="B3277" t="str">
            <v>FC 翌日 1年 7220 Controller TAA用</v>
          </cell>
          <cell r="C3277" t="str">
            <v>【ファウンデーションケア】</v>
          </cell>
        </row>
        <row r="3278">
          <cell r="A3278" t="str">
            <v>H3FF1E</v>
          </cell>
          <cell r="B3278" t="str">
            <v>FC 24x7 1年 7220 Controller TAA用</v>
          </cell>
          <cell r="C3278" t="str">
            <v>【ファウンデーションケア】</v>
          </cell>
        </row>
        <row r="3279">
          <cell r="A3279" t="str">
            <v>H3FF5E</v>
          </cell>
          <cell r="B3279" t="str">
            <v>FC Exchange 3年 7220 Controller TAA用</v>
          </cell>
          <cell r="C3279" t="str">
            <v>【ファウンデーションケア】</v>
          </cell>
        </row>
        <row r="3280">
          <cell r="A3280" t="str">
            <v>H3FF9E</v>
          </cell>
          <cell r="B3280" t="str">
            <v>FC 翌日 3年 7220 Controller TAA用</v>
          </cell>
          <cell r="C3280" t="str">
            <v>【ファウンデーションケア】</v>
          </cell>
        </row>
        <row r="3281">
          <cell r="A3281" t="str">
            <v>H3FG1E</v>
          </cell>
          <cell r="B3281" t="str">
            <v>FC 9x5 3年 7220 Controller TAA用</v>
          </cell>
          <cell r="C3281" t="str">
            <v>【ファウンデーションケア】</v>
          </cell>
        </row>
        <row r="3282">
          <cell r="A3282" t="str">
            <v>H3FG6E</v>
          </cell>
          <cell r="B3282" t="str">
            <v>FC 24x7 3年 7220 Controller TAA用</v>
          </cell>
          <cell r="C3282" t="str">
            <v>【ファウンデーションケア】</v>
          </cell>
        </row>
        <row r="3283">
          <cell r="A3283" t="str">
            <v>H3FH8E</v>
          </cell>
          <cell r="B3283" t="str">
            <v>FC Exchange 4年 7220 Controller TAA用</v>
          </cell>
          <cell r="C3283" t="str">
            <v>【ファウンデーションケア】</v>
          </cell>
        </row>
        <row r="3284">
          <cell r="A3284" t="str">
            <v>H3FJ2E</v>
          </cell>
          <cell r="B3284" t="str">
            <v>FC 翌日 4年 7220 Controller TAA用</v>
          </cell>
          <cell r="C3284" t="str">
            <v>【ファウンデーションケア】</v>
          </cell>
        </row>
        <row r="3285">
          <cell r="A3285" t="str">
            <v>H3FJ4E</v>
          </cell>
          <cell r="B3285" t="str">
            <v>FC 9x5 4年 7220 Controller TAA用</v>
          </cell>
          <cell r="C3285" t="str">
            <v>【ファウンデーションケア】</v>
          </cell>
        </row>
        <row r="3286">
          <cell r="A3286" t="str">
            <v>H3FJ9E</v>
          </cell>
          <cell r="B3286" t="str">
            <v>FC 24x7 4年 7220 Controller TAA用</v>
          </cell>
          <cell r="C3286" t="str">
            <v>【ファウンデーションケア】</v>
          </cell>
        </row>
        <row r="3287">
          <cell r="A3287" t="str">
            <v>H3FL1E</v>
          </cell>
          <cell r="B3287" t="str">
            <v>FC Exchange 5年 7220 Controller TAA用</v>
          </cell>
          <cell r="C3287" t="str">
            <v>【ファウンデーションケア】</v>
          </cell>
        </row>
        <row r="3288">
          <cell r="A3288" t="str">
            <v>H3FL5E</v>
          </cell>
          <cell r="B3288" t="str">
            <v>FC 翌日 5年 7220 Controller TAA用</v>
          </cell>
          <cell r="C3288" t="str">
            <v>【ファウンデーションケア】</v>
          </cell>
        </row>
        <row r="3289">
          <cell r="A3289" t="str">
            <v>H3FL7E</v>
          </cell>
          <cell r="B3289" t="str">
            <v>FC 9x5 5年 7220 Controller TAA用</v>
          </cell>
          <cell r="C3289" t="str">
            <v>【ファウンデーションケア】</v>
          </cell>
        </row>
        <row r="3290">
          <cell r="A3290" t="str">
            <v>H3FM2E</v>
          </cell>
          <cell r="B3290" t="str">
            <v>FC 24x7 5年 7220 Controller TAA用</v>
          </cell>
          <cell r="C3290" t="str">
            <v>【ファウンデーションケア】</v>
          </cell>
        </row>
        <row r="3291">
          <cell r="A3291" t="str">
            <v>H3FN4PE</v>
          </cell>
          <cell r="B3291" t="str">
            <v>PW FC Exch 1年 7220 Controller TAA用</v>
          </cell>
          <cell r="C3291" t="str">
            <v>【ファウンデーションケア】</v>
          </cell>
        </row>
        <row r="3292">
          <cell r="A3292" t="str">
            <v>H3FQ1E</v>
          </cell>
          <cell r="B3292" t="str">
            <v>FC Exchange 1年 7220DC Controller用</v>
          </cell>
          <cell r="C3292" t="str">
            <v>【ファウンデーションケア】</v>
          </cell>
        </row>
        <row r="3293">
          <cell r="A3293" t="str">
            <v>H3FQ3E</v>
          </cell>
          <cell r="B3293" t="str">
            <v>FC 翌日 1年 7220DC Controller用</v>
          </cell>
          <cell r="C3293" t="str">
            <v>【ファウンデーションケア】</v>
          </cell>
        </row>
        <row r="3294">
          <cell r="A3294" t="str">
            <v>H3FQ5E</v>
          </cell>
          <cell r="B3294" t="str">
            <v>FC 24x7 1年 7220DC Controller用</v>
          </cell>
          <cell r="C3294" t="str">
            <v>【ファウンデーションケア】</v>
          </cell>
        </row>
        <row r="3295">
          <cell r="A3295" t="str">
            <v>H3FQ9E</v>
          </cell>
          <cell r="B3295" t="str">
            <v>FC Exchange 3年 7220DC Controller用</v>
          </cell>
          <cell r="C3295" t="str">
            <v>【ファウンデーションケア】</v>
          </cell>
        </row>
        <row r="3296">
          <cell r="A3296" t="str">
            <v>H3FR3E</v>
          </cell>
          <cell r="B3296" t="str">
            <v>FC 翌日 3年 7220DC Controller用</v>
          </cell>
          <cell r="C3296" t="str">
            <v>【ファウンデーションケア】</v>
          </cell>
        </row>
        <row r="3297">
          <cell r="A3297" t="str">
            <v>H3FR5E</v>
          </cell>
          <cell r="B3297" t="str">
            <v>FC 9x5 3年 7220DC Controller用</v>
          </cell>
          <cell r="C3297" t="str">
            <v>【ファウンデーションケア】</v>
          </cell>
        </row>
        <row r="3298">
          <cell r="A3298" t="str">
            <v>H3FS0E</v>
          </cell>
          <cell r="B3298" t="str">
            <v>FC 24x7 3年 7220DC Controller用</v>
          </cell>
          <cell r="C3298" t="str">
            <v>【ファウンデーションケア】</v>
          </cell>
        </row>
        <row r="3299">
          <cell r="A3299" t="str">
            <v>H3FT2E</v>
          </cell>
          <cell r="B3299" t="str">
            <v>FC Exchange 4年 7220DC Controller用</v>
          </cell>
          <cell r="C3299" t="str">
            <v>【ファウンデーションケア】</v>
          </cell>
        </row>
        <row r="3300">
          <cell r="A3300" t="str">
            <v>H3FT6E</v>
          </cell>
          <cell r="B3300" t="str">
            <v>FC 翌日 4年 7220DC Controller用</v>
          </cell>
          <cell r="C3300" t="str">
            <v>【ファウンデーションケア】</v>
          </cell>
        </row>
        <row r="3301">
          <cell r="A3301" t="str">
            <v>H3FT8E</v>
          </cell>
          <cell r="B3301" t="str">
            <v>FC 9x5 4年 7220DC Controller用</v>
          </cell>
          <cell r="C3301" t="str">
            <v>【ファウンデーションケア】</v>
          </cell>
        </row>
        <row r="3302">
          <cell r="A3302" t="str">
            <v>H3FU3E</v>
          </cell>
          <cell r="B3302" t="str">
            <v>FC 24x7 4年 7220DC Controller用</v>
          </cell>
          <cell r="C3302" t="str">
            <v>【ファウンデーションケア】</v>
          </cell>
        </row>
        <row r="3303">
          <cell r="A3303" t="str">
            <v>H3FV5E</v>
          </cell>
          <cell r="B3303" t="str">
            <v>FC Exchange 5年 7220DC Controller用</v>
          </cell>
          <cell r="C3303" t="str">
            <v>【ファウンデーションケア】</v>
          </cell>
        </row>
        <row r="3304">
          <cell r="A3304" t="str">
            <v>H3FV9E</v>
          </cell>
          <cell r="B3304" t="str">
            <v>FC 翌日 5年 7220DC Controller用</v>
          </cell>
          <cell r="C3304" t="str">
            <v>【ファウンデーションケア】</v>
          </cell>
        </row>
        <row r="3305">
          <cell r="A3305" t="str">
            <v>H3FW1E</v>
          </cell>
          <cell r="B3305" t="str">
            <v>FC 9x5 5年 7220DC Controller用</v>
          </cell>
          <cell r="C3305" t="str">
            <v>【ファウンデーションケア】</v>
          </cell>
        </row>
        <row r="3306">
          <cell r="A3306" t="str">
            <v>H3FW6E</v>
          </cell>
          <cell r="B3306" t="str">
            <v>FC 24x7 5年 7220DC Controller用</v>
          </cell>
          <cell r="C3306" t="str">
            <v>【ファウンデーションケア】</v>
          </cell>
        </row>
        <row r="3307">
          <cell r="A3307" t="str">
            <v>H3FX8PE</v>
          </cell>
          <cell r="B3307" t="str">
            <v>PW FC Exch 1年 7220DC Controller用</v>
          </cell>
          <cell r="C3307" t="str">
            <v>【ファウンデーションケア】</v>
          </cell>
        </row>
        <row r="3308">
          <cell r="A3308" t="str">
            <v>H3FY2PE</v>
          </cell>
          <cell r="B3308" t="str">
            <v>PW FC 翌日 1年 7220DC Controller用</v>
          </cell>
          <cell r="C3308" t="str">
            <v>【ファウンデーションケア】</v>
          </cell>
        </row>
        <row r="3309">
          <cell r="A3309" t="str">
            <v>H3FY4PE</v>
          </cell>
          <cell r="B3309" t="str">
            <v>PW FC 9x5 1年 7220DC Controller用</v>
          </cell>
          <cell r="C3309" t="str">
            <v>【ファウンデーションケア】</v>
          </cell>
        </row>
        <row r="3310">
          <cell r="A3310" t="str">
            <v>H3FY7PE</v>
          </cell>
          <cell r="B3310" t="str">
            <v>PW FC 24x7 1年 7220DC Controller用</v>
          </cell>
          <cell r="C3310" t="str">
            <v>【ファウンデーションケア】</v>
          </cell>
        </row>
        <row r="3311">
          <cell r="A3311" t="str">
            <v>H3FZ5E</v>
          </cell>
          <cell r="B3311" t="str">
            <v>FC Exchange 1年 7240 Controller用</v>
          </cell>
          <cell r="C3311" t="str">
            <v>【ファウンデーションケア】</v>
          </cell>
        </row>
        <row r="3312">
          <cell r="A3312" t="str">
            <v>H3FZ7E</v>
          </cell>
          <cell r="B3312" t="str">
            <v>FC 翌日 1年 7240 Controller用</v>
          </cell>
          <cell r="C3312" t="str">
            <v>【ファウンデーションケア】</v>
          </cell>
        </row>
        <row r="3313">
          <cell r="A3313" t="str">
            <v>H3FZ9E</v>
          </cell>
          <cell r="B3313" t="str">
            <v>FC 24x7 1年 7240 Controller用</v>
          </cell>
          <cell r="C3313" t="str">
            <v>【ファウンデーションケア】</v>
          </cell>
        </row>
        <row r="3314">
          <cell r="A3314" t="str">
            <v>H3GA3E</v>
          </cell>
          <cell r="B3314" t="str">
            <v>FC Exchange 3年 7240 Controller用</v>
          </cell>
          <cell r="C3314" t="str">
            <v>【ファウンデーションケア】</v>
          </cell>
        </row>
        <row r="3315">
          <cell r="A3315" t="str">
            <v>H3GA7E</v>
          </cell>
          <cell r="B3315" t="str">
            <v>FC 翌日 3年 7240 Controller用</v>
          </cell>
          <cell r="C3315" t="str">
            <v>【ファウンデーションケア】</v>
          </cell>
        </row>
        <row r="3316">
          <cell r="A3316" t="str">
            <v>H3GA9E</v>
          </cell>
          <cell r="B3316" t="str">
            <v>FC 9x5 3年 7240 Controller用</v>
          </cell>
          <cell r="C3316" t="str">
            <v>【ファウンデーションケア】</v>
          </cell>
        </row>
        <row r="3317">
          <cell r="A3317" t="str">
            <v>H3GB4E</v>
          </cell>
          <cell r="B3317" t="str">
            <v>FC 24x7 3年 7240 Controller用</v>
          </cell>
          <cell r="C3317" t="str">
            <v>【ファウンデーションケア】</v>
          </cell>
        </row>
        <row r="3318">
          <cell r="A3318" t="str">
            <v>H3GC6E</v>
          </cell>
          <cell r="B3318" t="str">
            <v>FC Exchange 4年 7240 Controller用</v>
          </cell>
          <cell r="C3318" t="str">
            <v>【ファウンデーションケア】</v>
          </cell>
        </row>
        <row r="3319">
          <cell r="A3319" t="str">
            <v>H3GD0E</v>
          </cell>
          <cell r="B3319" t="str">
            <v>FC 翌日 4年 7240 Controller用</v>
          </cell>
          <cell r="C3319" t="str">
            <v>【ファウンデーションケア】</v>
          </cell>
        </row>
        <row r="3320">
          <cell r="A3320" t="str">
            <v>H3GD2E</v>
          </cell>
          <cell r="B3320" t="str">
            <v>FC 9x5 4年 7240 Controller用</v>
          </cell>
          <cell r="C3320" t="str">
            <v>【ファウンデーションケア】</v>
          </cell>
        </row>
        <row r="3321">
          <cell r="A3321" t="str">
            <v>H3GD7E</v>
          </cell>
          <cell r="B3321" t="str">
            <v>FC 24x7 4年 7240 Controller用</v>
          </cell>
          <cell r="C3321" t="str">
            <v>【ファウンデーションケア】</v>
          </cell>
        </row>
        <row r="3322">
          <cell r="A3322" t="str">
            <v>H3GE9E</v>
          </cell>
          <cell r="B3322" t="str">
            <v>FC Exchange 5年 7240 Controller用</v>
          </cell>
          <cell r="C3322" t="str">
            <v>【ファウンデーションケア】</v>
          </cell>
        </row>
        <row r="3323">
          <cell r="A3323" t="str">
            <v>H3GF3E</v>
          </cell>
          <cell r="B3323" t="str">
            <v>FC 翌日 5年 7240 Controller用</v>
          </cell>
          <cell r="C3323" t="str">
            <v>【ファウンデーションケア】</v>
          </cell>
        </row>
        <row r="3324">
          <cell r="A3324" t="str">
            <v>H3GF5E</v>
          </cell>
          <cell r="B3324" t="str">
            <v>FC 9x5 5年 7240 Controller用</v>
          </cell>
          <cell r="C3324" t="str">
            <v>【ファウンデーションケア】</v>
          </cell>
        </row>
        <row r="3325">
          <cell r="A3325" t="str">
            <v>H3GG0E</v>
          </cell>
          <cell r="B3325" t="str">
            <v>FC 24x7 5年 7240 Controller用</v>
          </cell>
          <cell r="C3325" t="str">
            <v>【ファウンデーションケア】</v>
          </cell>
        </row>
        <row r="3326">
          <cell r="A3326" t="str">
            <v>H3GH2PE</v>
          </cell>
          <cell r="B3326" t="str">
            <v>PW FC Exch 1年 7240 Controller用</v>
          </cell>
          <cell r="C3326" t="str">
            <v>【ファウンデーションケア】</v>
          </cell>
        </row>
        <row r="3327">
          <cell r="A3327" t="str">
            <v>H3GH6PE</v>
          </cell>
          <cell r="B3327" t="str">
            <v>PW FC 翌日 1年 7240 Controller用</v>
          </cell>
          <cell r="C3327" t="str">
            <v>【ファウンデーションケア】</v>
          </cell>
        </row>
        <row r="3328">
          <cell r="A3328" t="str">
            <v>H3GH8PE</v>
          </cell>
          <cell r="B3328" t="str">
            <v>PW FC 9x5 1年 7240 Controller用</v>
          </cell>
          <cell r="C3328" t="str">
            <v>【ファウンデーションケア】</v>
          </cell>
        </row>
        <row r="3329">
          <cell r="A3329" t="str">
            <v>H3GJ1PE</v>
          </cell>
          <cell r="B3329" t="str">
            <v>PW FC 24x7 1年 7240 Controller用</v>
          </cell>
          <cell r="C3329" t="str">
            <v>【ファウンデーションケア】</v>
          </cell>
        </row>
        <row r="3330">
          <cell r="A3330" t="str">
            <v>H3GJ9E</v>
          </cell>
          <cell r="B3330" t="str">
            <v>FC Exchange 1年 7240 Controller TAA用</v>
          </cell>
          <cell r="C3330" t="str">
            <v>【ファウンデーションケア】</v>
          </cell>
        </row>
        <row r="3331">
          <cell r="A3331" t="str">
            <v>H3GK1E</v>
          </cell>
          <cell r="B3331" t="str">
            <v>FC 翌日 1年 7240 Controller TAA用</v>
          </cell>
          <cell r="C3331" t="str">
            <v>【ファウンデーションケア】</v>
          </cell>
        </row>
        <row r="3332">
          <cell r="A3332" t="str">
            <v>H3GK3E</v>
          </cell>
          <cell r="B3332" t="str">
            <v>FC 24x7 1年 7240 Controller TAA用</v>
          </cell>
          <cell r="C3332" t="str">
            <v>【ファウンデーションケア】</v>
          </cell>
        </row>
        <row r="3333">
          <cell r="A3333" t="str">
            <v>H3GK7E</v>
          </cell>
          <cell r="B3333" t="str">
            <v>FC Exchange 3年 7240 Controller TAA用</v>
          </cell>
          <cell r="C3333" t="str">
            <v>【ファウンデーションケア】</v>
          </cell>
        </row>
        <row r="3334">
          <cell r="A3334" t="str">
            <v>H3GL1E</v>
          </cell>
          <cell r="B3334" t="str">
            <v>FC 翌日 3年 7240 Controller TAA用</v>
          </cell>
          <cell r="C3334" t="str">
            <v>【ファウンデーションケア】</v>
          </cell>
        </row>
        <row r="3335">
          <cell r="A3335" t="str">
            <v>H3GL3E</v>
          </cell>
          <cell r="B3335" t="str">
            <v>FC 9x5 3年 7240 Controller TAA用</v>
          </cell>
          <cell r="C3335" t="str">
            <v>【ファウンデーションケア】</v>
          </cell>
        </row>
        <row r="3336">
          <cell r="A3336" t="str">
            <v>H3GL8E</v>
          </cell>
          <cell r="B3336" t="str">
            <v>FC 24x7 3年 7240 Controller TAA用</v>
          </cell>
          <cell r="C3336" t="str">
            <v>【ファウンデーションケア】</v>
          </cell>
        </row>
        <row r="3337">
          <cell r="A3337" t="str">
            <v>H3GN0E</v>
          </cell>
          <cell r="B3337" t="str">
            <v>FC Exchange 4年 7240 Controller TAA用</v>
          </cell>
          <cell r="C3337" t="str">
            <v>【ファウンデーションケア】</v>
          </cell>
        </row>
        <row r="3338">
          <cell r="A3338" t="str">
            <v>H3GN4E</v>
          </cell>
          <cell r="B3338" t="str">
            <v>FC 翌日 4年 7240 Controller TAA用</v>
          </cell>
          <cell r="C3338" t="str">
            <v>【ファウンデーションケア】</v>
          </cell>
        </row>
        <row r="3339">
          <cell r="A3339" t="str">
            <v>H3GN6E</v>
          </cell>
          <cell r="B3339" t="str">
            <v>FC 9x5 4年 7240 Controller TAA用</v>
          </cell>
          <cell r="C3339" t="str">
            <v>【ファウンデーションケア】</v>
          </cell>
        </row>
        <row r="3340">
          <cell r="A3340" t="str">
            <v>H3GP1E</v>
          </cell>
          <cell r="B3340" t="str">
            <v>FC 24x7 4年 7240 Controller TAA用</v>
          </cell>
          <cell r="C3340" t="str">
            <v>【ファウンデーションケア】</v>
          </cell>
        </row>
        <row r="3341">
          <cell r="A3341" t="str">
            <v>H3GQ3E</v>
          </cell>
          <cell r="B3341" t="str">
            <v>FC Exchange 5年 7240 Controller TAA用</v>
          </cell>
          <cell r="C3341" t="str">
            <v>【ファウンデーションケア】</v>
          </cell>
        </row>
        <row r="3342">
          <cell r="A3342" t="str">
            <v>H3GQ7E</v>
          </cell>
          <cell r="B3342" t="str">
            <v>FC 翌日 5年 7240 Controller TAA用</v>
          </cell>
          <cell r="C3342" t="str">
            <v>【ファウンデーションケア】</v>
          </cell>
        </row>
        <row r="3343">
          <cell r="A3343" t="str">
            <v>H3GQ9E</v>
          </cell>
          <cell r="B3343" t="str">
            <v>FC 9x5 5年 7240 Controller TAA用</v>
          </cell>
          <cell r="C3343" t="str">
            <v>【ファウンデーションケア】</v>
          </cell>
        </row>
        <row r="3344">
          <cell r="A3344" t="str">
            <v>H3GR4E</v>
          </cell>
          <cell r="B3344" t="str">
            <v>FC 24x7 5年 7240 Controller TAA用</v>
          </cell>
          <cell r="C3344" t="str">
            <v>【ファウンデーションケア】</v>
          </cell>
        </row>
        <row r="3345">
          <cell r="A3345" t="str">
            <v>H3GS6PE</v>
          </cell>
          <cell r="B3345" t="str">
            <v>PW FC Exch 1年 7240 Controller TAA用</v>
          </cell>
          <cell r="C3345" t="str">
            <v>【ファウンデーションケア】</v>
          </cell>
        </row>
        <row r="3346">
          <cell r="A3346" t="str">
            <v>H3GU3E</v>
          </cell>
          <cell r="B3346" t="str">
            <v>FC Exchange 1年 7240DC Controller用</v>
          </cell>
          <cell r="C3346" t="str">
            <v>【ファウンデーションケア】</v>
          </cell>
        </row>
        <row r="3347">
          <cell r="A3347" t="str">
            <v>H3GU5E</v>
          </cell>
          <cell r="B3347" t="str">
            <v>FC 翌日 1年 7240DC Controller用</v>
          </cell>
          <cell r="C3347" t="str">
            <v>【ファウンデーションケア】</v>
          </cell>
        </row>
        <row r="3348">
          <cell r="A3348" t="str">
            <v>H3GU7E</v>
          </cell>
          <cell r="B3348" t="str">
            <v>FC 24x7 1年 7240DC Controller用</v>
          </cell>
          <cell r="C3348" t="str">
            <v>【ファウンデーションケア】</v>
          </cell>
        </row>
        <row r="3349">
          <cell r="A3349" t="str">
            <v>H3GV1E</v>
          </cell>
          <cell r="B3349" t="str">
            <v>FC Exchange 3年 7240DC Controller用</v>
          </cell>
          <cell r="C3349" t="str">
            <v>【ファウンデーションケア】</v>
          </cell>
        </row>
        <row r="3350">
          <cell r="A3350" t="str">
            <v>H3GV5E</v>
          </cell>
          <cell r="B3350" t="str">
            <v>FC 翌日 3年 7240DC Controller用</v>
          </cell>
          <cell r="C3350" t="str">
            <v>【ファウンデーションケア】</v>
          </cell>
        </row>
        <row r="3351">
          <cell r="A3351" t="str">
            <v>H3GV7E</v>
          </cell>
          <cell r="B3351" t="str">
            <v>FC 9x5 3年 7240DC Controller用</v>
          </cell>
          <cell r="C3351" t="str">
            <v>【ファウンデーションケア】</v>
          </cell>
        </row>
        <row r="3352">
          <cell r="A3352" t="str">
            <v>H3GW2E</v>
          </cell>
          <cell r="B3352" t="str">
            <v>FC 24x7 3年 7240DC Controller用</v>
          </cell>
          <cell r="C3352" t="str">
            <v>【ファウンデーションケア】</v>
          </cell>
        </row>
        <row r="3353">
          <cell r="A3353" t="str">
            <v>H3GX4E</v>
          </cell>
          <cell r="B3353" t="str">
            <v>FC Exchange 4年 7240DC Controller用</v>
          </cell>
          <cell r="C3353" t="str">
            <v>【ファウンデーションケア】</v>
          </cell>
        </row>
        <row r="3354">
          <cell r="A3354" t="str">
            <v>H3GX8E</v>
          </cell>
          <cell r="B3354" t="str">
            <v>FC 翌日 4年 7240DC Controller用</v>
          </cell>
          <cell r="C3354" t="str">
            <v>【ファウンデーションケア】</v>
          </cell>
        </row>
        <row r="3355">
          <cell r="A3355" t="str">
            <v>H3GY0E</v>
          </cell>
          <cell r="B3355" t="str">
            <v>FC 9x5 4年 7240DC Controller用</v>
          </cell>
          <cell r="C3355" t="str">
            <v>【ファウンデーションケア】</v>
          </cell>
        </row>
        <row r="3356">
          <cell r="A3356" t="str">
            <v>H3GY5E</v>
          </cell>
          <cell r="B3356" t="str">
            <v>FC 24x7 4年 7240DC Controller用</v>
          </cell>
          <cell r="C3356" t="str">
            <v>【ファウンデーションケア】</v>
          </cell>
        </row>
        <row r="3357">
          <cell r="A3357" t="str">
            <v>H3GZ7E</v>
          </cell>
          <cell r="B3357" t="str">
            <v>FC Exchange 5年 7240DC Controller用</v>
          </cell>
          <cell r="C3357" t="str">
            <v>【ファウンデーションケア】</v>
          </cell>
        </row>
        <row r="3358">
          <cell r="A3358" t="str">
            <v>H3HA1E</v>
          </cell>
          <cell r="B3358" t="str">
            <v>FC 翌日 5年 7240DC Controller用</v>
          </cell>
          <cell r="C3358" t="str">
            <v>【ファウンデーションケア】</v>
          </cell>
        </row>
        <row r="3359">
          <cell r="A3359" t="str">
            <v>H3HA3E</v>
          </cell>
          <cell r="B3359" t="str">
            <v>FC 9x5 5年 7240DC Controller用</v>
          </cell>
          <cell r="C3359" t="str">
            <v>【ファウンデーションケア】</v>
          </cell>
        </row>
        <row r="3360">
          <cell r="A3360" t="str">
            <v>H3HA8E</v>
          </cell>
          <cell r="B3360" t="str">
            <v>FC 24x7 5年 7240DC Controller用</v>
          </cell>
          <cell r="C3360" t="str">
            <v>【ファウンデーションケア】</v>
          </cell>
        </row>
        <row r="3361">
          <cell r="A3361" t="str">
            <v>H3HC0PE</v>
          </cell>
          <cell r="B3361" t="str">
            <v>PW FC Exch 1年 7240DC Controller用</v>
          </cell>
          <cell r="C3361" t="str">
            <v>【ファウンデーションケア】</v>
          </cell>
        </row>
        <row r="3362">
          <cell r="A3362" t="str">
            <v>H3HC4PE</v>
          </cell>
          <cell r="B3362" t="str">
            <v>PW FC 翌日 1年 7240DC Controller用</v>
          </cell>
          <cell r="C3362" t="str">
            <v>【ファウンデーションケア】</v>
          </cell>
        </row>
        <row r="3363">
          <cell r="A3363" t="str">
            <v>H3HC6PE</v>
          </cell>
          <cell r="B3363" t="str">
            <v>PW FC 9x5 1年 7240DC Controller用</v>
          </cell>
          <cell r="C3363" t="str">
            <v>【ファウンデーションケア】</v>
          </cell>
        </row>
        <row r="3364">
          <cell r="A3364" t="str">
            <v>H3HC9PE</v>
          </cell>
          <cell r="B3364" t="str">
            <v>PW FC 24x7 1年 7240DC Controller用</v>
          </cell>
          <cell r="C3364" t="str">
            <v>【ファウンデーションケア】</v>
          </cell>
        </row>
        <row r="3365">
          <cell r="A3365" t="str">
            <v>H3HD7E</v>
          </cell>
          <cell r="B3365" t="str">
            <v>FC Exchange 1年 7240XMDC Controller用</v>
          </cell>
          <cell r="C3365" t="str">
            <v>【ファウンデーションケア】</v>
          </cell>
        </row>
        <row r="3366">
          <cell r="A3366" t="str">
            <v>H3HD9E</v>
          </cell>
          <cell r="B3366" t="str">
            <v>FC 翌日 1年 7240XMDC Controller用</v>
          </cell>
          <cell r="C3366" t="str">
            <v>【ファウンデーションケア】</v>
          </cell>
        </row>
        <row r="3367">
          <cell r="A3367" t="str">
            <v>H3HE1E</v>
          </cell>
          <cell r="B3367" t="str">
            <v>FC 24x7 1年 7240XMDC Controller用</v>
          </cell>
          <cell r="C3367" t="str">
            <v>【ファウンデーションケア】</v>
          </cell>
        </row>
        <row r="3368">
          <cell r="A3368" t="str">
            <v>H3HE5E</v>
          </cell>
          <cell r="B3368" t="str">
            <v>FC Exchange 3年 7240XMDC Controller用</v>
          </cell>
          <cell r="C3368" t="str">
            <v>【ファウンデーションケア】</v>
          </cell>
        </row>
        <row r="3369">
          <cell r="A3369" t="str">
            <v>H3HE9E</v>
          </cell>
          <cell r="B3369" t="str">
            <v>FC 翌日 3年 7240XMDC Controller用</v>
          </cell>
          <cell r="C3369" t="str">
            <v>【ファウンデーションケア】</v>
          </cell>
        </row>
        <row r="3370">
          <cell r="A3370" t="str">
            <v>H3HF1E</v>
          </cell>
          <cell r="B3370" t="str">
            <v>FC 9x5 3年 7240XMDC Controller用</v>
          </cell>
          <cell r="C3370" t="str">
            <v>【ファウンデーションケア】</v>
          </cell>
        </row>
        <row r="3371">
          <cell r="A3371" t="str">
            <v>H3HF6E</v>
          </cell>
          <cell r="B3371" t="str">
            <v>FC 24x7 3年 7240XMDC Controller用</v>
          </cell>
          <cell r="C3371" t="str">
            <v>【ファウンデーションケア】</v>
          </cell>
        </row>
        <row r="3372">
          <cell r="A3372" t="str">
            <v>H3HG8E</v>
          </cell>
          <cell r="B3372" t="str">
            <v>FC Exchange 4年 7240XMDC Controller用</v>
          </cell>
          <cell r="C3372" t="str">
            <v>【ファウンデーションケア】</v>
          </cell>
        </row>
        <row r="3373">
          <cell r="A3373" t="str">
            <v>H3HH2E</v>
          </cell>
          <cell r="B3373" t="str">
            <v>FC 翌日 4年 7240XMDC Controller用</v>
          </cell>
          <cell r="C3373" t="str">
            <v>【ファウンデーションケア】</v>
          </cell>
        </row>
        <row r="3374">
          <cell r="A3374" t="str">
            <v>H3HH4E</v>
          </cell>
          <cell r="B3374" t="str">
            <v>FC 9x5 4年 7240XMDC Controller用</v>
          </cell>
          <cell r="C3374" t="str">
            <v>【ファウンデーションケア】</v>
          </cell>
        </row>
        <row r="3375">
          <cell r="A3375" t="str">
            <v>H3HH9E</v>
          </cell>
          <cell r="B3375" t="str">
            <v>FC 24x7 4年 7240XMDC Controller用</v>
          </cell>
          <cell r="C3375" t="str">
            <v>【ファウンデーションケア】</v>
          </cell>
        </row>
        <row r="3376">
          <cell r="A3376" t="str">
            <v>H3HK1E</v>
          </cell>
          <cell r="B3376" t="str">
            <v>FC Exchange 5年 7240XMDC Controller用</v>
          </cell>
          <cell r="C3376" t="str">
            <v>【ファウンデーションケア】</v>
          </cell>
        </row>
        <row r="3377">
          <cell r="A3377" t="str">
            <v>H3HK5E</v>
          </cell>
          <cell r="B3377" t="str">
            <v>FC 翌日 5年 7240XMDC Controller用</v>
          </cell>
          <cell r="C3377" t="str">
            <v>【ファウンデーションケア】</v>
          </cell>
        </row>
        <row r="3378">
          <cell r="A3378" t="str">
            <v>H3HK7E</v>
          </cell>
          <cell r="B3378" t="str">
            <v>FC 9x5 5年 7240XMDC Controller用</v>
          </cell>
          <cell r="C3378" t="str">
            <v>【ファウンデーションケア】</v>
          </cell>
        </row>
        <row r="3379">
          <cell r="A3379" t="str">
            <v>H3HL2E</v>
          </cell>
          <cell r="B3379" t="str">
            <v>FC 24x7 5年 7240XMDC Controller用</v>
          </cell>
          <cell r="C3379" t="str">
            <v>【ファウンデーションケア】</v>
          </cell>
        </row>
        <row r="3380">
          <cell r="A3380" t="str">
            <v>H3HM4PE</v>
          </cell>
          <cell r="B3380" t="str">
            <v>PW FC Exch 1年 7240XMDC Controller用</v>
          </cell>
          <cell r="C3380" t="str">
            <v>【ファウンデーションケア】</v>
          </cell>
        </row>
        <row r="3381">
          <cell r="A3381" t="str">
            <v>H3HP1E</v>
          </cell>
          <cell r="B3381" t="str">
            <v>FC Exchange 1年 AP 274 Outdoor用</v>
          </cell>
          <cell r="C3381" t="str">
            <v>【ファウンデーションケア】</v>
          </cell>
        </row>
        <row r="3382">
          <cell r="A3382" t="str">
            <v>H3HP9E</v>
          </cell>
          <cell r="B3382" t="str">
            <v>FC Exchange 3年 AP 274 Outdoor用</v>
          </cell>
          <cell r="C3382" t="str">
            <v>【ファウンデーションケア】</v>
          </cell>
        </row>
        <row r="3383">
          <cell r="A3383" t="str">
            <v>H3HS2E</v>
          </cell>
          <cell r="B3383" t="str">
            <v>FC Exchange 4年 AP 274 Outdoor用</v>
          </cell>
          <cell r="C3383" t="str">
            <v>【ファウンデーションケア】</v>
          </cell>
        </row>
        <row r="3384">
          <cell r="A3384" t="str">
            <v>H3HU5E</v>
          </cell>
          <cell r="B3384" t="str">
            <v>FC Exchange 5年 AP 274 Outdoor用</v>
          </cell>
          <cell r="C3384" t="str">
            <v>【ファウンデーションケア】</v>
          </cell>
        </row>
        <row r="3385">
          <cell r="A3385" t="str">
            <v>H3HW8PE</v>
          </cell>
          <cell r="B3385" t="str">
            <v>更新用 FC Exch 1年 AP 274 Outdoor用</v>
          </cell>
          <cell r="C3385" t="str">
            <v>【ファウンデーションケア】</v>
          </cell>
        </row>
        <row r="3386">
          <cell r="A3386" t="str">
            <v>H3JH9E</v>
          </cell>
          <cell r="B3386" t="str">
            <v>FC Exchange 1年 AP 275 Outdoor用</v>
          </cell>
          <cell r="C3386" t="str">
            <v>【ファウンデーションケア】</v>
          </cell>
        </row>
        <row r="3387">
          <cell r="A3387" t="str">
            <v>H3JJ7E</v>
          </cell>
          <cell r="B3387" t="str">
            <v>FC Exchange 3年 AP 275 Outdoor用</v>
          </cell>
          <cell r="C3387" t="str">
            <v>【ファウンデーションケア】</v>
          </cell>
        </row>
        <row r="3388">
          <cell r="A3388" t="str">
            <v>H3JM0E</v>
          </cell>
          <cell r="B3388" t="str">
            <v>FC Exchange 4年 AP 275 Outdoor用</v>
          </cell>
          <cell r="C3388" t="str">
            <v>【ファウンデーションケア】</v>
          </cell>
        </row>
        <row r="3389">
          <cell r="A3389" t="str">
            <v>H3JP3E</v>
          </cell>
          <cell r="B3389" t="str">
            <v>FC Exchange 5年 AP 275 Outdoor用</v>
          </cell>
          <cell r="C3389" t="str">
            <v>【ファウンデーションケア】</v>
          </cell>
        </row>
        <row r="3390">
          <cell r="A3390" t="str">
            <v>H3JR6PE</v>
          </cell>
          <cell r="B3390" t="str">
            <v>更新用 FC Exch 1年 AP 275 Outdoor用</v>
          </cell>
          <cell r="C3390" t="str">
            <v>【ファウンデーションケア】</v>
          </cell>
        </row>
        <row r="3391">
          <cell r="A3391" t="str">
            <v>H3KC7E</v>
          </cell>
          <cell r="B3391" t="str">
            <v>FC Exchange 1年 AP 277 Outdoor用</v>
          </cell>
          <cell r="C3391" t="str">
            <v>【ファウンデーションケア】</v>
          </cell>
        </row>
        <row r="3392">
          <cell r="A3392" t="str">
            <v>H3KD5E</v>
          </cell>
          <cell r="B3392" t="str">
            <v>FC Exchange 3年 AP 277 Outdoor用</v>
          </cell>
          <cell r="C3392" t="str">
            <v>【ファウンデーションケア】</v>
          </cell>
        </row>
        <row r="3393">
          <cell r="A3393" t="str">
            <v>H3KF8E</v>
          </cell>
          <cell r="B3393" t="str">
            <v>FC Exchange 4年 AP 277 Outdoor用</v>
          </cell>
          <cell r="C3393" t="str">
            <v>【ファウンデーションケア】</v>
          </cell>
        </row>
        <row r="3394">
          <cell r="A3394" t="str">
            <v>H3KJ1E</v>
          </cell>
          <cell r="B3394" t="str">
            <v>FC Exchange 5年 AP 277 Outdoor用</v>
          </cell>
          <cell r="C3394" t="str">
            <v>【ファウンデーションケア】</v>
          </cell>
        </row>
        <row r="3395">
          <cell r="A3395" t="str">
            <v>H3KL4PE</v>
          </cell>
          <cell r="B3395" t="str">
            <v>更新用 FC Exch 1年 AP 277 Outdoor用</v>
          </cell>
          <cell r="C3395" t="str">
            <v>【ファウンデーションケア】</v>
          </cell>
        </row>
        <row r="3396">
          <cell r="A3396" t="str">
            <v>H3KX5E</v>
          </cell>
          <cell r="B3396" t="str">
            <v>FC Exchange 1年 AP-103用</v>
          </cell>
          <cell r="C3396" t="str">
            <v>【ファウンデーションケア】</v>
          </cell>
        </row>
        <row r="3397">
          <cell r="A3397" t="str">
            <v>H3KY3E</v>
          </cell>
          <cell r="B3397" t="str">
            <v>FC Exchange 3年 AP-103用</v>
          </cell>
          <cell r="C3397" t="str">
            <v>【ファウンデーションケア】</v>
          </cell>
        </row>
        <row r="3398">
          <cell r="A3398" t="str">
            <v>H3LA6E</v>
          </cell>
          <cell r="B3398" t="str">
            <v>FC Exchange 4年 AP-103用</v>
          </cell>
          <cell r="C3398" t="str">
            <v>【ファウンデーションケア】</v>
          </cell>
        </row>
        <row r="3399">
          <cell r="A3399" t="str">
            <v>H3LC9E</v>
          </cell>
          <cell r="B3399" t="str">
            <v>FC Exchange 5年 AP-103用</v>
          </cell>
          <cell r="C3399" t="str">
            <v>【ファウンデーションケア】</v>
          </cell>
        </row>
        <row r="3400">
          <cell r="A3400" t="str">
            <v>H3LF2PE</v>
          </cell>
          <cell r="B3400" t="str">
            <v>更新用 FC Exch 1年 AP-103用</v>
          </cell>
          <cell r="C3400" t="str">
            <v>【ファウンデーションケア】</v>
          </cell>
        </row>
        <row r="3401">
          <cell r="A3401" t="str">
            <v>H3LG9E</v>
          </cell>
          <cell r="B3401" t="str">
            <v>FC Exchange 1年 AP-103H用</v>
          </cell>
          <cell r="C3401" t="str">
            <v>【ファウンデーションケア】</v>
          </cell>
        </row>
        <row r="3402">
          <cell r="A3402" t="str">
            <v>H3LH7E</v>
          </cell>
          <cell r="B3402" t="str">
            <v>FC Exchange 3年 AP-103H用</v>
          </cell>
          <cell r="C3402" t="str">
            <v>【ファウンデーションケア】</v>
          </cell>
        </row>
        <row r="3403">
          <cell r="A3403" t="str">
            <v>H3LL0E</v>
          </cell>
          <cell r="B3403" t="str">
            <v>FC Exchange 4年 AP-103H用</v>
          </cell>
          <cell r="C3403" t="str">
            <v>【ファウンデーションケア】</v>
          </cell>
        </row>
        <row r="3404">
          <cell r="A3404" t="str">
            <v>H3LN3E</v>
          </cell>
          <cell r="B3404" t="str">
            <v>FC Exchange 5年 AP-103H用</v>
          </cell>
          <cell r="C3404" t="str">
            <v>【ファウンデーションケア】</v>
          </cell>
        </row>
        <row r="3405">
          <cell r="A3405" t="str">
            <v>H3LQ6PE</v>
          </cell>
          <cell r="B3405" t="str">
            <v>更新用 FC Exch 1年 AP-103H用</v>
          </cell>
          <cell r="C3405" t="str">
            <v>【ファウンデーションケア】</v>
          </cell>
        </row>
        <row r="3406">
          <cell r="A3406" t="str">
            <v>H3LS3E</v>
          </cell>
          <cell r="B3406" t="str">
            <v>FC Exchange 1年 AP-204用</v>
          </cell>
          <cell r="C3406" t="str">
            <v>【ファウンデーションケア】</v>
          </cell>
        </row>
        <row r="3407">
          <cell r="A3407" t="str">
            <v>H3LT1E</v>
          </cell>
          <cell r="B3407" t="str">
            <v>FC Exchange 3年 AP-204用</v>
          </cell>
          <cell r="C3407" t="str">
            <v>【ファウンデーションケア】</v>
          </cell>
        </row>
        <row r="3408">
          <cell r="A3408" t="str">
            <v>H3LV4E</v>
          </cell>
          <cell r="B3408" t="str">
            <v>FC Exchange 4年 AP-204用</v>
          </cell>
          <cell r="C3408" t="str">
            <v>【ファウンデーションケア】</v>
          </cell>
        </row>
        <row r="3409">
          <cell r="A3409" t="str">
            <v>H3LX7E</v>
          </cell>
          <cell r="B3409" t="str">
            <v>FC Exchange 5年 AP-204用</v>
          </cell>
          <cell r="C3409" t="str">
            <v>【ファウンデーションケア】</v>
          </cell>
        </row>
        <row r="3410">
          <cell r="A3410" t="str">
            <v>H3MA0PE</v>
          </cell>
          <cell r="B3410" t="str">
            <v>更新用 FC Exch 1年 AP-204用</v>
          </cell>
          <cell r="C3410" t="str">
            <v>【ファウンデーションケア】</v>
          </cell>
        </row>
        <row r="3411">
          <cell r="A3411" t="str">
            <v>H3MM1E</v>
          </cell>
          <cell r="B3411" t="str">
            <v>FC Exchange 1年 AP-205用</v>
          </cell>
          <cell r="C3411" t="str">
            <v>【ファウンデーションケア】</v>
          </cell>
        </row>
        <row r="3412">
          <cell r="A3412" t="str">
            <v>H3MM9E</v>
          </cell>
          <cell r="B3412" t="str">
            <v>FC Exchange 3年 AP-205用</v>
          </cell>
          <cell r="C3412" t="str">
            <v>【ファウンデーションケア】</v>
          </cell>
        </row>
        <row r="3413">
          <cell r="A3413" t="str">
            <v>H3MQ2E</v>
          </cell>
          <cell r="B3413" t="str">
            <v>FC Exchange 4年 AP-205用</v>
          </cell>
          <cell r="C3413" t="str">
            <v>【ファウンデーションケア】</v>
          </cell>
        </row>
        <row r="3414">
          <cell r="A3414" t="str">
            <v>H3MS5E</v>
          </cell>
          <cell r="B3414" t="str">
            <v>FC Exchange 5年 AP-205用</v>
          </cell>
          <cell r="C3414" t="str">
            <v>【ファウンデーションケア】</v>
          </cell>
        </row>
        <row r="3415">
          <cell r="A3415" t="str">
            <v>H3MU8PE</v>
          </cell>
          <cell r="B3415" t="str">
            <v>更新用 FC Exch 1年 AP-205用</v>
          </cell>
          <cell r="C3415" t="str">
            <v>【ファウンデーションケア】</v>
          </cell>
        </row>
        <row r="3416">
          <cell r="A3416" t="str">
            <v>H3NF9E</v>
          </cell>
          <cell r="B3416" t="str">
            <v>FC Exchange 1年 AP-205H用</v>
          </cell>
          <cell r="C3416" t="str">
            <v>【ファウンデーションケア】</v>
          </cell>
        </row>
        <row r="3417">
          <cell r="A3417" t="str">
            <v>H3NG7E</v>
          </cell>
          <cell r="B3417" t="str">
            <v>FC Exchange 3年 AP-205H用</v>
          </cell>
          <cell r="C3417" t="str">
            <v>【ファウンデーションケア】</v>
          </cell>
        </row>
        <row r="3418">
          <cell r="A3418" t="str">
            <v>H3NK0E</v>
          </cell>
          <cell r="B3418" t="str">
            <v>FC Exchange 4年 AP-205H用</v>
          </cell>
          <cell r="C3418" t="str">
            <v>【ファウンデーションケア】</v>
          </cell>
        </row>
        <row r="3419">
          <cell r="A3419" t="str">
            <v>H3NM3E</v>
          </cell>
          <cell r="B3419" t="str">
            <v>FC Exchange 5年 AP-205H用</v>
          </cell>
          <cell r="C3419" t="str">
            <v>【ファウンデーションケア】</v>
          </cell>
        </row>
        <row r="3420">
          <cell r="A3420" t="str">
            <v>H3NP6PE</v>
          </cell>
          <cell r="B3420" t="str">
            <v>更新用 FC Exch 1年 AP-205H用</v>
          </cell>
          <cell r="C3420" t="str">
            <v>【ファウンデーションケア】</v>
          </cell>
        </row>
        <row r="3421">
          <cell r="A3421" t="str">
            <v>H3NR3E</v>
          </cell>
          <cell r="B3421" t="str">
            <v>FC Exchange 1年 AP-214用</v>
          </cell>
          <cell r="C3421" t="str">
            <v>【ファウンデーションケア】</v>
          </cell>
        </row>
        <row r="3422">
          <cell r="A3422" t="str">
            <v>H3NS1E</v>
          </cell>
          <cell r="B3422" t="str">
            <v>FC Exchange 3年 AP-214用</v>
          </cell>
          <cell r="C3422" t="str">
            <v>【ファウンデーションケア】</v>
          </cell>
        </row>
        <row r="3423">
          <cell r="A3423" t="str">
            <v>H3NU4E</v>
          </cell>
          <cell r="B3423" t="str">
            <v>FC Exchange 4年 AP-214用</v>
          </cell>
          <cell r="C3423" t="str">
            <v>【ファウンデーションケア】</v>
          </cell>
        </row>
        <row r="3424">
          <cell r="A3424" t="str">
            <v>H3NW7E</v>
          </cell>
          <cell r="B3424" t="str">
            <v>FC Exchange 5年 AP-214用</v>
          </cell>
          <cell r="C3424" t="str">
            <v>【ファウンデーションケア】</v>
          </cell>
        </row>
        <row r="3425">
          <cell r="A3425" t="str">
            <v>H3NZ0PE</v>
          </cell>
          <cell r="B3425" t="str">
            <v>更新用 FC Exch 1年 AP-214用</v>
          </cell>
          <cell r="C3425" t="str">
            <v>【ファウンデーションケア】</v>
          </cell>
        </row>
        <row r="3426">
          <cell r="A3426" t="str">
            <v>H3PL1E</v>
          </cell>
          <cell r="B3426" t="str">
            <v>FC Exchange 1年 AP-215用</v>
          </cell>
          <cell r="C3426" t="str">
            <v>【ファウンデーションケア】</v>
          </cell>
        </row>
        <row r="3427">
          <cell r="A3427" t="str">
            <v>H3PL9E</v>
          </cell>
          <cell r="B3427" t="str">
            <v>FC Exchange 3年 AP-215用</v>
          </cell>
          <cell r="C3427" t="str">
            <v>【ファウンデーションケア】</v>
          </cell>
        </row>
        <row r="3428">
          <cell r="A3428" t="str">
            <v>H3PP2E</v>
          </cell>
          <cell r="B3428" t="str">
            <v>FC Exchange 4年 AP-215用</v>
          </cell>
          <cell r="C3428" t="str">
            <v>【ファウンデーションケア】</v>
          </cell>
        </row>
        <row r="3429">
          <cell r="A3429" t="str">
            <v>H3PR5E</v>
          </cell>
          <cell r="B3429" t="str">
            <v>FC Exchange 5年 AP-215用</v>
          </cell>
          <cell r="C3429" t="str">
            <v>【ファウンデーションケア】</v>
          </cell>
        </row>
        <row r="3430">
          <cell r="A3430" t="str">
            <v>H3PT8PE</v>
          </cell>
          <cell r="B3430" t="str">
            <v>更新用 FC Exch 1年 AP-215用</v>
          </cell>
          <cell r="C3430" t="str">
            <v>【ファウンデーションケア】</v>
          </cell>
        </row>
        <row r="3431">
          <cell r="A3431" t="str">
            <v>H3QE9E</v>
          </cell>
          <cell r="B3431" t="str">
            <v>FC Exchange 1年 AP-224用</v>
          </cell>
          <cell r="C3431" t="str">
            <v>【ファウンデーションケア】</v>
          </cell>
        </row>
        <row r="3432">
          <cell r="A3432" t="str">
            <v>H3QF7E</v>
          </cell>
          <cell r="B3432" t="str">
            <v>FC Exchange 3年 AP-224用</v>
          </cell>
          <cell r="C3432" t="str">
            <v>【ファウンデーションケア】</v>
          </cell>
        </row>
        <row r="3433">
          <cell r="A3433" t="str">
            <v>H3QJ0E</v>
          </cell>
          <cell r="B3433" t="str">
            <v>FC Exchange 4年 AP-224用</v>
          </cell>
          <cell r="C3433" t="str">
            <v>【ファウンデーションケア】</v>
          </cell>
        </row>
        <row r="3434">
          <cell r="A3434" t="str">
            <v>H3QL3E</v>
          </cell>
          <cell r="B3434" t="str">
            <v>FC Exchange 5年 AP-224用</v>
          </cell>
          <cell r="C3434" t="str">
            <v>【ファウンデーションケア】</v>
          </cell>
        </row>
        <row r="3435">
          <cell r="A3435" t="str">
            <v>H3QN6PE</v>
          </cell>
          <cell r="B3435" t="str">
            <v>更新用 FC Exch 1年 AP-224用</v>
          </cell>
          <cell r="C3435" t="str">
            <v>【ファウンデーションケア】</v>
          </cell>
        </row>
        <row r="3436">
          <cell r="A3436" t="str">
            <v>H3QZ7E</v>
          </cell>
          <cell r="B3436" t="str">
            <v>FC Exchange 1年 AP-225用</v>
          </cell>
          <cell r="C3436" t="str">
            <v>【ファウンデーションケア】</v>
          </cell>
        </row>
        <row r="3437">
          <cell r="A3437" t="str">
            <v>H3RA5E</v>
          </cell>
          <cell r="B3437" t="str">
            <v>FC Exchange 3年 AP-225用</v>
          </cell>
          <cell r="C3437" t="str">
            <v>【ファウンデーションケア】</v>
          </cell>
        </row>
        <row r="3438">
          <cell r="A3438" t="str">
            <v>H3RC8E</v>
          </cell>
          <cell r="B3438" t="str">
            <v>FC Exchange 4年 AP-225用</v>
          </cell>
          <cell r="C3438" t="str">
            <v>【ファウンデーションケア】</v>
          </cell>
        </row>
        <row r="3439">
          <cell r="A3439" t="str">
            <v>H3RF1E</v>
          </cell>
          <cell r="B3439" t="str">
            <v>FC Exchange 5年 AP-225用</v>
          </cell>
          <cell r="C3439" t="str">
            <v>【ファウンデーションケア】</v>
          </cell>
        </row>
        <row r="3440">
          <cell r="A3440" t="str">
            <v>H3RH4PE</v>
          </cell>
          <cell r="B3440" t="str">
            <v>更新用 FC Exch 1年 AP-225用</v>
          </cell>
          <cell r="C3440" t="str">
            <v>【ファウンデーションケア】</v>
          </cell>
        </row>
        <row r="3441">
          <cell r="A3441" t="str">
            <v>H3RU5E</v>
          </cell>
          <cell r="B3441" t="str">
            <v>FC Exchange 1年 AP-228用</v>
          </cell>
          <cell r="C3441" t="str">
            <v>【ファウンデーションケア】</v>
          </cell>
        </row>
        <row r="3442">
          <cell r="A3442" t="str">
            <v>H3RV3E</v>
          </cell>
          <cell r="B3442" t="str">
            <v>FC Exchange 3年 AP-228用</v>
          </cell>
          <cell r="C3442" t="str">
            <v>【ファウンデーションケア】</v>
          </cell>
        </row>
        <row r="3443">
          <cell r="A3443" t="str">
            <v>H3RX6E</v>
          </cell>
          <cell r="B3443" t="str">
            <v>FC Exchange 4年 AP-228用</v>
          </cell>
          <cell r="C3443" t="str">
            <v>【ファウンデーションケア】</v>
          </cell>
        </row>
        <row r="3444">
          <cell r="A3444" t="str">
            <v>H3RZ9E</v>
          </cell>
          <cell r="B3444" t="str">
            <v>FC Exchange 5年 AP-228用</v>
          </cell>
          <cell r="C3444" t="str">
            <v>【ファウンデーションケア】</v>
          </cell>
        </row>
        <row r="3445">
          <cell r="A3445" t="str">
            <v>H3SC2PE</v>
          </cell>
          <cell r="B3445" t="str">
            <v>更新用 FC Exch 1年 AP-228用</v>
          </cell>
          <cell r="C3445" t="str">
            <v>【ファウンデーションケア】</v>
          </cell>
        </row>
        <row r="3446">
          <cell r="A3446" t="str">
            <v>H3SP3E</v>
          </cell>
          <cell r="B3446" t="str">
            <v>FC Exchange 1年 AP-324用</v>
          </cell>
          <cell r="C3446" t="str">
            <v>【ファウンデーションケア】</v>
          </cell>
        </row>
        <row r="3447">
          <cell r="A3447" t="str">
            <v>H3SQ1E</v>
          </cell>
          <cell r="B3447" t="str">
            <v>FC Exchange 3年 AP-324用</v>
          </cell>
          <cell r="C3447" t="str">
            <v>【ファウンデーションケア】</v>
          </cell>
        </row>
        <row r="3448">
          <cell r="A3448" t="str">
            <v>H3SS4E</v>
          </cell>
          <cell r="B3448" t="str">
            <v>FC Exchange 4年 AP-324用</v>
          </cell>
          <cell r="C3448" t="str">
            <v>【ファウンデーションケア】</v>
          </cell>
        </row>
        <row r="3449">
          <cell r="A3449" t="str">
            <v>H3SU7E</v>
          </cell>
          <cell r="B3449" t="str">
            <v>FC Exchange 5年 AP-324用</v>
          </cell>
          <cell r="C3449" t="str">
            <v>【ファウンデーションケア】</v>
          </cell>
        </row>
        <row r="3450">
          <cell r="A3450" t="str">
            <v>H3SX0PE</v>
          </cell>
          <cell r="B3450" t="str">
            <v>更新用 FC Exch 1年 AP-324用</v>
          </cell>
          <cell r="C3450" t="str">
            <v>【ファウンデーションケア】</v>
          </cell>
        </row>
        <row r="3451">
          <cell r="A3451" t="str">
            <v>H3TJ1E</v>
          </cell>
          <cell r="B3451" t="str">
            <v>FC Exchange 1年 AP-325用</v>
          </cell>
          <cell r="C3451" t="str">
            <v>【ファウンデーションケア】</v>
          </cell>
        </row>
        <row r="3452">
          <cell r="A3452" t="str">
            <v>H3TJ9E</v>
          </cell>
          <cell r="B3452" t="str">
            <v>FC Exchange 3年 AP-325用</v>
          </cell>
          <cell r="C3452" t="str">
            <v>【ファウンデーションケア】</v>
          </cell>
        </row>
        <row r="3453">
          <cell r="A3453" t="str">
            <v>H3TM2E</v>
          </cell>
          <cell r="B3453" t="str">
            <v>FC Exchange 4年 AP-325用</v>
          </cell>
          <cell r="C3453" t="str">
            <v>【ファウンデーションケア】</v>
          </cell>
        </row>
        <row r="3454">
          <cell r="A3454" t="str">
            <v>H3TP5E</v>
          </cell>
          <cell r="B3454" t="str">
            <v>FC Exchange 5年 AP-325用</v>
          </cell>
          <cell r="C3454" t="str">
            <v>【ファウンデーションケア】</v>
          </cell>
        </row>
        <row r="3455">
          <cell r="A3455" t="str">
            <v>H3TR8PE</v>
          </cell>
          <cell r="B3455" t="str">
            <v>更新用 FC Exch 1年 AP-325用</v>
          </cell>
          <cell r="C3455" t="str">
            <v>【ファウンデーションケア】</v>
          </cell>
        </row>
        <row r="3456">
          <cell r="A3456" t="str">
            <v>H3UN3E</v>
          </cell>
          <cell r="B3456" t="str">
            <v>FC Exchange 1年 IAP 103用</v>
          </cell>
          <cell r="C3456" t="str">
            <v>【ファウンデーションケア】</v>
          </cell>
        </row>
        <row r="3457">
          <cell r="A3457" t="str">
            <v>H3UP1E</v>
          </cell>
          <cell r="B3457" t="str">
            <v>FC Exchange 3年 IAP 103用</v>
          </cell>
          <cell r="C3457" t="str">
            <v>【ファウンデーションケア】</v>
          </cell>
        </row>
        <row r="3458">
          <cell r="A3458" t="str">
            <v>H3UR4E</v>
          </cell>
          <cell r="B3458" t="str">
            <v>FC Exchange 4年 IAP 103用</v>
          </cell>
          <cell r="C3458" t="str">
            <v>【ファウンデーションケア】</v>
          </cell>
        </row>
        <row r="3459">
          <cell r="A3459" t="str">
            <v>H3UT7E</v>
          </cell>
          <cell r="B3459" t="str">
            <v>FC Exchange 5年 IAP 103用</v>
          </cell>
          <cell r="C3459" t="str">
            <v>【ファウンデーションケア】</v>
          </cell>
        </row>
        <row r="3460">
          <cell r="A3460" t="str">
            <v>H3UW0PE</v>
          </cell>
          <cell r="B3460" t="str">
            <v>更新用 FC Exch 1年 IAP 103用</v>
          </cell>
          <cell r="C3460" t="str">
            <v>【ファウンデーションケア】</v>
          </cell>
        </row>
        <row r="3461">
          <cell r="A3461" t="str">
            <v>H3UX7E</v>
          </cell>
          <cell r="B3461" t="str">
            <v>FC Exchange 1年 IAP 204用</v>
          </cell>
          <cell r="C3461" t="str">
            <v>【ファウンデーションケア】</v>
          </cell>
        </row>
        <row r="3462">
          <cell r="A3462" t="str">
            <v>H3UY5E</v>
          </cell>
          <cell r="B3462" t="str">
            <v>FC Exchange 3年 IAP 204用</v>
          </cell>
          <cell r="C3462" t="str">
            <v>【ファウンデーションケア】</v>
          </cell>
        </row>
        <row r="3463">
          <cell r="A3463" t="str">
            <v>H3VA8E</v>
          </cell>
          <cell r="B3463" t="str">
            <v>FC Exchange 4年 IAP 204用</v>
          </cell>
          <cell r="C3463" t="str">
            <v>【ファウンデーションケア】</v>
          </cell>
        </row>
        <row r="3464">
          <cell r="A3464" t="str">
            <v>H3VD1E</v>
          </cell>
          <cell r="B3464" t="str">
            <v>FC Exchange 5年 IAP 204用</v>
          </cell>
          <cell r="C3464" t="str">
            <v>【ファウンデーションケア】</v>
          </cell>
        </row>
        <row r="3465">
          <cell r="A3465" t="str">
            <v>H3VF4PE</v>
          </cell>
          <cell r="B3465" t="str">
            <v>更新用 FC Exch 1年 IAP 204用</v>
          </cell>
          <cell r="C3465" t="str">
            <v>【ファウンデーションケア】</v>
          </cell>
        </row>
        <row r="3466">
          <cell r="A3466" t="str">
            <v>H3VS5E</v>
          </cell>
          <cell r="B3466" t="str">
            <v>FC Exchange 1年 IAP 205用</v>
          </cell>
          <cell r="C3466" t="str">
            <v>【ファウンデーションケア】</v>
          </cell>
        </row>
        <row r="3467">
          <cell r="A3467" t="str">
            <v>H3VT3E</v>
          </cell>
          <cell r="B3467" t="str">
            <v>FC Exchange 3年 IAP 205用</v>
          </cell>
          <cell r="C3467" t="str">
            <v>【ファウンデーションケア】</v>
          </cell>
        </row>
        <row r="3468">
          <cell r="A3468" t="str">
            <v>H3VV6E</v>
          </cell>
          <cell r="B3468" t="str">
            <v>FC Exchange 4年 IAP 205用</v>
          </cell>
          <cell r="C3468" t="str">
            <v>【ファウンデーションケア】</v>
          </cell>
        </row>
        <row r="3469">
          <cell r="A3469" t="str">
            <v>H3VX9E</v>
          </cell>
          <cell r="B3469" t="str">
            <v>FC Exchange 5年 IAP 205用</v>
          </cell>
          <cell r="C3469" t="str">
            <v>【ファウンデーションケア】</v>
          </cell>
        </row>
        <row r="3470">
          <cell r="A3470" t="str">
            <v>H3WA2PE</v>
          </cell>
          <cell r="B3470" t="str">
            <v>更新用 FC Exch 1年 IAP 205用</v>
          </cell>
          <cell r="C3470" t="str">
            <v>【ファウンデーションケア】</v>
          </cell>
        </row>
        <row r="3471">
          <cell r="A3471" t="str">
            <v>H3WM3E</v>
          </cell>
          <cell r="B3471" t="str">
            <v>FC Exchange 1年 IAP 214用</v>
          </cell>
          <cell r="C3471" t="str">
            <v>【ファウンデーションケア】</v>
          </cell>
        </row>
        <row r="3472">
          <cell r="A3472" t="str">
            <v>H3WN1E</v>
          </cell>
          <cell r="B3472" t="str">
            <v>FC Exchange 3年 IAP 214用</v>
          </cell>
          <cell r="C3472" t="str">
            <v>【ファウンデーションケア】</v>
          </cell>
        </row>
        <row r="3473">
          <cell r="A3473" t="str">
            <v>H3WQ4E</v>
          </cell>
          <cell r="B3473" t="str">
            <v>FC Exchange 4年 IAP 214用</v>
          </cell>
          <cell r="C3473" t="str">
            <v>【ファウンデーションケア】</v>
          </cell>
        </row>
        <row r="3474">
          <cell r="A3474" t="str">
            <v>H3WS7E</v>
          </cell>
          <cell r="B3474" t="str">
            <v>FC Exchange 5年 IAP 214用</v>
          </cell>
          <cell r="C3474" t="str">
            <v>【ファウンデーションケア】</v>
          </cell>
        </row>
        <row r="3475">
          <cell r="A3475" t="str">
            <v>H3WV0PE</v>
          </cell>
          <cell r="B3475" t="str">
            <v>更新用 FC Exch 1年 IAP 214用</v>
          </cell>
          <cell r="C3475" t="str">
            <v>【ファウンデーションケア】</v>
          </cell>
        </row>
        <row r="3476">
          <cell r="A3476" t="str">
            <v>H3XG1E</v>
          </cell>
          <cell r="B3476" t="str">
            <v>FC Exchange 1年 IAP 215用</v>
          </cell>
          <cell r="C3476" t="str">
            <v>【ファウンデーションケア】</v>
          </cell>
        </row>
        <row r="3477">
          <cell r="A3477" t="str">
            <v>H3XG9E</v>
          </cell>
          <cell r="B3477" t="str">
            <v>FC Exchange 3年 IAP 215用</v>
          </cell>
          <cell r="C3477" t="str">
            <v>【ファウンデーションケア】</v>
          </cell>
        </row>
        <row r="3478">
          <cell r="A3478" t="str">
            <v>H3XK2E</v>
          </cell>
          <cell r="B3478" t="str">
            <v>FC Exchange 4年 IAP 215用</v>
          </cell>
          <cell r="C3478" t="str">
            <v>【ファウンデーションケア】</v>
          </cell>
        </row>
        <row r="3479">
          <cell r="A3479" t="str">
            <v>H3XM5E</v>
          </cell>
          <cell r="B3479" t="str">
            <v>FC Exchange 5年 IAP 215用</v>
          </cell>
          <cell r="C3479" t="str">
            <v>【ファウンデーションケア】</v>
          </cell>
        </row>
        <row r="3480">
          <cell r="A3480" t="str">
            <v>H3XP8PE</v>
          </cell>
          <cell r="B3480" t="str">
            <v>更新用 FC Exch 1年 IAP 215用</v>
          </cell>
          <cell r="C3480" t="str">
            <v>【ファウンデーションケア】</v>
          </cell>
        </row>
        <row r="3481">
          <cell r="A3481" t="str">
            <v>H3YA9E</v>
          </cell>
          <cell r="B3481" t="str">
            <v>FC Exchange 1年 IAP 224用</v>
          </cell>
          <cell r="C3481" t="str">
            <v>【ファウンデーションケア】</v>
          </cell>
        </row>
        <row r="3482">
          <cell r="A3482" t="str">
            <v>H3YB7E</v>
          </cell>
          <cell r="B3482" t="str">
            <v>FC Exchange 3年 IAP 224用</v>
          </cell>
          <cell r="C3482" t="str">
            <v>【ファウンデーションケア】</v>
          </cell>
        </row>
        <row r="3483">
          <cell r="A3483" t="str">
            <v>H3YE0E</v>
          </cell>
          <cell r="B3483" t="str">
            <v>FC Exchange 4年 IAP 224用</v>
          </cell>
          <cell r="C3483" t="str">
            <v>【ファウンデーションケア】</v>
          </cell>
        </row>
        <row r="3484">
          <cell r="A3484" t="str">
            <v>H3YG3E</v>
          </cell>
          <cell r="B3484" t="str">
            <v>FC Exchange 5年 IAP 224用</v>
          </cell>
          <cell r="C3484" t="str">
            <v>【ファウンデーションケア】</v>
          </cell>
        </row>
        <row r="3485">
          <cell r="A3485" t="str">
            <v>H3YJ6PE</v>
          </cell>
          <cell r="B3485" t="str">
            <v>更新用 FC Exch 1年 IAP 224用</v>
          </cell>
          <cell r="C3485" t="str">
            <v>【ファウンデーションケア】</v>
          </cell>
        </row>
        <row r="3486">
          <cell r="A3486" t="str">
            <v>H3YV7E</v>
          </cell>
          <cell r="B3486" t="str">
            <v>FC Exchange 1年 IAP 225用</v>
          </cell>
          <cell r="C3486" t="str">
            <v>【ファウンデーションケア】</v>
          </cell>
        </row>
        <row r="3487">
          <cell r="A3487" t="str">
            <v>H3YW5E</v>
          </cell>
          <cell r="B3487" t="str">
            <v>FC Exchange 3年 IAP 225用</v>
          </cell>
          <cell r="C3487" t="str">
            <v>【ファウンデーションケア】</v>
          </cell>
        </row>
        <row r="3488">
          <cell r="A3488" t="str">
            <v>H3YY8E</v>
          </cell>
          <cell r="B3488" t="str">
            <v>FC Exchange 4年 IAP 225用</v>
          </cell>
          <cell r="C3488" t="str">
            <v>【ファウンデーションケア】</v>
          </cell>
        </row>
        <row r="3489">
          <cell r="A3489" t="str">
            <v>H3ZB1E</v>
          </cell>
          <cell r="B3489" t="str">
            <v>FC Exchange 5年 IAP 225用</v>
          </cell>
          <cell r="C3489" t="str">
            <v>【ファウンデーションケア】</v>
          </cell>
        </row>
        <row r="3490">
          <cell r="A3490" t="str">
            <v>H3ZD4PE</v>
          </cell>
          <cell r="B3490" t="str">
            <v>更新用 FC Exch 1年 IAP 225用</v>
          </cell>
          <cell r="C3490" t="str">
            <v>【ファウンデーションケア】</v>
          </cell>
        </row>
        <row r="3491">
          <cell r="A3491" t="str">
            <v>H3ZQ5E</v>
          </cell>
          <cell r="B3491" t="str">
            <v>FC Exchange 1年 IAP 228用</v>
          </cell>
          <cell r="C3491" t="str">
            <v>【ファウンデーションケア】</v>
          </cell>
        </row>
        <row r="3492">
          <cell r="A3492" t="str">
            <v>H3ZR3E</v>
          </cell>
          <cell r="B3492" t="str">
            <v>FC Exchange 3年 IAP 228用</v>
          </cell>
          <cell r="C3492" t="str">
            <v>【ファウンデーションケア】</v>
          </cell>
        </row>
        <row r="3493">
          <cell r="A3493" t="str">
            <v>H3ZT6E</v>
          </cell>
          <cell r="B3493" t="str">
            <v>FC Exchange 4年 IAP 228用</v>
          </cell>
          <cell r="C3493" t="str">
            <v>【ファウンデーションケア】</v>
          </cell>
        </row>
        <row r="3494">
          <cell r="A3494" t="str">
            <v>H3ZV9E</v>
          </cell>
          <cell r="B3494" t="str">
            <v>FC Exchange 5年 IAP 228用</v>
          </cell>
          <cell r="C3494" t="str">
            <v>【ファウンデーションケア】</v>
          </cell>
        </row>
        <row r="3495">
          <cell r="A3495" t="str">
            <v>H3ZY2PE</v>
          </cell>
          <cell r="B3495" t="str">
            <v>更新用 FC Exch 1年 IAP 228用</v>
          </cell>
          <cell r="C3495" t="str">
            <v>【ファウンデーションケア】</v>
          </cell>
        </row>
        <row r="3496">
          <cell r="A3496" t="str">
            <v>H4AK3E</v>
          </cell>
          <cell r="B3496" t="str">
            <v>FC Exchange 1年 IAP 274用</v>
          </cell>
          <cell r="C3496" t="str">
            <v>【ファウンデーションケア】</v>
          </cell>
        </row>
        <row r="3497">
          <cell r="A3497" t="str">
            <v>H4AL1E</v>
          </cell>
          <cell r="B3497" t="str">
            <v>FC Exchange 3年 IAP 274用</v>
          </cell>
          <cell r="C3497" t="str">
            <v>【ファウンデーションケア】</v>
          </cell>
        </row>
        <row r="3498">
          <cell r="A3498" t="str">
            <v>H4AN4E</v>
          </cell>
          <cell r="B3498" t="str">
            <v>FC Exchange 4年 IAP 274用</v>
          </cell>
          <cell r="C3498" t="str">
            <v>【ファウンデーションケア】</v>
          </cell>
        </row>
        <row r="3499">
          <cell r="A3499" t="str">
            <v>H4AQ7E</v>
          </cell>
          <cell r="B3499" t="str">
            <v>FC Exchange 5年 IAP 274用</v>
          </cell>
          <cell r="C3499" t="str">
            <v>【ファウンデーションケア】</v>
          </cell>
        </row>
        <row r="3500">
          <cell r="A3500" t="str">
            <v>H4AT0PE</v>
          </cell>
          <cell r="B3500" t="str">
            <v>更新用 FC Exch 1年 IAP 274用</v>
          </cell>
          <cell r="C3500" t="str">
            <v>【ファウンデーションケア】</v>
          </cell>
        </row>
        <row r="3501">
          <cell r="A3501" t="str">
            <v>H4BE1E</v>
          </cell>
          <cell r="B3501" t="str">
            <v>FC Exchange 1年 IAP 275用</v>
          </cell>
          <cell r="C3501" t="str">
            <v>【ファウンデーションケア】</v>
          </cell>
        </row>
        <row r="3502">
          <cell r="A3502" t="str">
            <v>H4BE9E</v>
          </cell>
          <cell r="B3502" t="str">
            <v>FC Exchange 3年 IAP 275用</v>
          </cell>
          <cell r="C3502" t="str">
            <v>【ファウンデーションケア】</v>
          </cell>
        </row>
        <row r="3503">
          <cell r="A3503" t="str">
            <v>H4BH2E</v>
          </cell>
          <cell r="B3503" t="str">
            <v>FC Exchange 4年 IAP 275用</v>
          </cell>
          <cell r="C3503" t="str">
            <v>【ファウンデーションケア】</v>
          </cell>
        </row>
        <row r="3504">
          <cell r="A3504" t="str">
            <v>H4BK5E</v>
          </cell>
          <cell r="B3504" t="str">
            <v>FC Exchange 5年 IAP 275用</v>
          </cell>
          <cell r="C3504" t="str">
            <v>【ファウンデーションケア】</v>
          </cell>
        </row>
        <row r="3505">
          <cell r="A3505" t="str">
            <v>H4BM8PE</v>
          </cell>
          <cell r="B3505" t="str">
            <v>更新用 FC Exch 1年 IAP 275用</v>
          </cell>
          <cell r="C3505" t="str">
            <v>【ファウンデーションケア】</v>
          </cell>
        </row>
        <row r="3506">
          <cell r="A3506" t="str">
            <v>H4BY9E</v>
          </cell>
          <cell r="B3506" t="str">
            <v>FC Exchange 1年 IAP 277用</v>
          </cell>
          <cell r="C3506" t="str">
            <v>【ファウンデーションケア】</v>
          </cell>
        </row>
        <row r="3507">
          <cell r="A3507" t="str">
            <v>H4BZ7E</v>
          </cell>
          <cell r="B3507" t="str">
            <v>FC Exchange 3年 IAP 277用</v>
          </cell>
          <cell r="C3507" t="str">
            <v>【ファウンデーションケア】</v>
          </cell>
        </row>
        <row r="3508">
          <cell r="A3508" t="str">
            <v>H4CC0E</v>
          </cell>
          <cell r="B3508" t="str">
            <v>FC Exchange 4年 IAP 277用</v>
          </cell>
          <cell r="C3508" t="str">
            <v>【ファウンデーションケア】</v>
          </cell>
        </row>
        <row r="3509">
          <cell r="A3509" t="str">
            <v>H4CE3E</v>
          </cell>
          <cell r="B3509" t="str">
            <v>FC Exchange 5年 IAP 277用</v>
          </cell>
          <cell r="C3509" t="str">
            <v>【ファウンデーションケア】</v>
          </cell>
        </row>
        <row r="3510">
          <cell r="A3510" t="str">
            <v>H4CG6PE</v>
          </cell>
          <cell r="B3510" t="str">
            <v>更新用 FC Exch 1年 IAP 277用</v>
          </cell>
          <cell r="C3510" t="str">
            <v>【ファウンデーションケア】</v>
          </cell>
        </row>
        <row r="3511">
          <cell r="A3511" t="str">
            <v>H4CT7E</v>
          </cell>
          <cell r="B3511" t="str">
            <v>FC Exchange 1年 IAP 324用</v>
          </cell>
          <cell r="C3511" t="str">
            <v>【ファウンデーションケア】</v>
          </cell>
        </row>
        <row r="3512">
          <cell r="A3512" t="str">
            <v>H4CU5E</v>
          </cell>
          <cell r="B3512" t="str">
            <v>FC Exchange 3年 IAP 324用</v>
          </cell>
          <cell r="C3512" t="str">
            <v>【ファウンデーションケア】</v>
          </cell>
        </row>
        <row r="3513">
          <cell r="A3513" t="str">
            <v>H4CW8E</v>
          </cell>
          <cell r="B3513" t="str">
            <v>FC Exchange 4年 IAP 324用</v>
          </cell>
          <cell r="C3513" t="str">
            <v>【ファウンデーションケア】</v>
          </cell>
        </row>
        <row r="3514">
          <cell r="A3514" t="str">
            <v>H4CZ1E</v>
          </cell>
          <cell r="B3514" t="str">
            <v>FC Exchange 5年 IAP 324用</v>
          </cell>
          <cell r="C3514" t="str">
            <v>【ファウンデーションケア】</v>
          </cell>
        </row>
        <row r="3515">
          <cell r="A3515" t="str">
            <v>H4DB4PE</v>
          </cell>
          <cell r="B3515" t="str">
            <v>更新用 FC Exch 1年 IAP 324用</v>
          </cell>
          <cell r="C3515" t="str">
            <v>【ファウンデーションケア】</v>
          </cell>
        </row>
        <row r="3516">
          <cell r="A3516" t="str">
            <v>H4DN5E</v>
          </cell>
          <cell r="B3516" t="str">
            <v>FC Exchange 1年 IAP 325用</v>
          </cell>
          <cell r="C3516" t="str">
            <v>【ファウンデーションケア】</v>
          </cell>
        </row>
        <row r="3517">
          <cell r="A3517" t="str">
            <v>H4DP3E</v>
          </cell>
          <cell r="B3517" t="str">
            <v>FC Exchange 3年 IAP 325用</v>
          </cell>
          <cell r="C3517" t="str">
            <v>【ファウンデーションケア】</v>
          </cell>
        </row>
        <row r="3518">
          <cell r="A3518" t="str">
            <v>H4DR6E</v>
          </cell>
          <cell r="B3518" t="str">
            <v>FC Exchange 4年 IAP 325用</v>
          </cell>
          <cell r="C3518" t="str">
            <v>【ファウンデーションケア】</v>
          </cell>
        </row>
        <row r="3519">
          <cell r="A3519" t="str">
            <v>H4DT9E</v>
          </cell>
          <cell r="B3519" t="str">
            <v>FC Exchange 5年 IAP 325用</v>
          </cell>
          <cell r="C3519" t="str">
            <v>【ファウンデーションケア】</v>
          </cell>
        </row>
        <row r="3520">
          <cell r="A3520" t="str">
            <v>H4DW2PE</v>
          </cell>
          <cell r="B3520" t="str">
            <v>更新用 FC Exch 1年 IAP 325用</v>
          </cell>
          <cell r="C3520" t="str">
            <v>【ファウンデーションケア】</v>
          </cell>
        </row>
        <row r="3521">
          <cell r="A3521" t="str">
            <v>H4EH3E</v>
          </cell>
          <cell r="B3521" t="str">
            <v>FC Exchange 1年 Mesh Radio 2 AP用</v>
          </cell>
          <cell r="C3521" t="str">
            <v>【ファウンデーションケア】</v>
          </cell>
        </row>
        <row r="3522">
          <cell r="A3522" t="str">
            <v>H4EJ1E</v>
          </cell>
          <cell r="B3522" t="str">
            <v>FC Exchange 3年 Mesh Radio 2 AP用</v>
          </cell>
          <cell r="C3522" t="str">
            <v>【ファウンデーションケア】</v>
          </cell>
        </row>
        <row r="3523">
          <cell r="A3523" t="str">
            <v>H4EL4E</v>
          </cell>
          <cell r="B3523" t="str">
            <v>FC Exchange 4年 Mesh Radio 2 AP用</v>
          </cell>
          <cell r="C3523" t="str">
            <v>【ファウンデーションケア】</v>
          </cell>
        </row>
        <row r="3524">
          <cell r="A3524" t="str">
            <v>H4EN7E</v>
          </cell>
          <cell r="B3524" t="str">
            <v>FC Exchange 5年 Mesh Radio 2 AP用</v>
          </cell>
          <cell r="C3524" t="str">
            <v>【ファウンデーションケア】</v>
          </cell>
        </row>
        <row r="3525">
          <cell r="A3525" t="str">
            <v>H4ES7E</v>
          </cell>
          <cell r="B3525" t="str">
            <v>FC Exchange 1年 Mesh Radio 4 AP用</v>
          </cell>
          <cell r="C3525" t="str">
            <v>【ファウンデーションケア】</v>
          </cell>
        </row>
        <row r="3526">
          <cell r="A3526" t="str">
            <v>H4ET5E</v>
          </cell>
          <cell r="B3526" t="str">
            <v>FC Exchange 3年 Mesh Radio 4 AP用</v>
          </cell>
          <cell r="C3526" t="str">
            <v>【ファウンデーションケア】</v>
          </cell>
        </row>
        <row r="3527">
          <cell r="A3527" t="str">
            <v>H4EV8E</v>
          </cell>
          <cell r="B3527" t="str">
            <v>FC Exchange 4年 Mesh Radio 4 AP用</v>
          </cell>
          <cell r="C3527" t="str">
            <v>【ファウンデーションケア】</v>
          </cell>
        </row>
        <row r="3528">
          <cell r="A3528" t="str">
            <v>H4EY1E</v>
          </cell>
          <cell r="B3528" t="str">
            <v>FC Exchange 5年 Mesh Radio 4 AP用</v>
          </cell>
          <cell r="C3528" t="str">
            <v>【ファウンデーションケア】</v>
          </cell>
        </row>
        <row r="3529">
          <cell r="A3529" t="str">
            <v>H4FC1E</v>
          </cell>
          <cell r="B3529" t="str">
            <v>FC Exchange 1年 MST2HAC用</v>
          </cell>
          <cell r="C3529" t="str">
            <v>【ファウンデーションケア】</v>
          </cell>
        </row>
        <row r="3530">
          <cell r="A3530" t="str">
            <v>H4FC9E</v>
          </cell>
          <cell r="B3530" t="str">
            <v>FC Exchange 3年 MST2HAC用</v>
          </cell>
          <cell r="C3530" t="str">
            <v>【ファウンデーションケア】</v>
          </cell>
        </row>
        <row r="3531">
          <cell r="A3531" t="str">
            <v>H4FF2E</v>
          </cell>
          <cell r="B3531" t="str">
            <v>FC Exchange 4年 MST2HAC用</v>
          </cell>
          <cell r="C3531" t="str">
            <v>【ファウンデーションケア】</v>
          </cell>
        </row>
        <row r="3532">
          <cell r="A3532" t="str">
            <v>H4FH5E</v>
          </cell>
          <cell r="B3532" t="str">
            <v>FC Exchange 5年 MST2HAC用</v>
          </cell>
          <cell r="C3532" t="str">
            <v>【ファウンデーションケア】</v>
          </cell>
        </row>
        <row r="3533">
          <cell r="A3533" t="str">
            <v>H4FM5E</v>
          </cell>
          <cell r="B3533" t="str">
            <v>FC Exchange 1年 MST2HP用</v>
          </cell>
          <cell r="C3533" t="str">
            <v>【ファウンデーションケア】</v>
          </cell>
        </row>
        <row r="3534">
          <cell r="A3534" t="str">
            <v>H4FN3E</v>
          </cell>
          <cell r="B3534" t="str">
            <v>FC Exchange 3年 MST2HP用</v>
          </cell>
          <cell r="C3534" t="str">
            <v>【ファウンデーションケア】</v>
          </cell>
        </row>
        <row r="3535">
          <cell r="A3535" t="str">
            <v>H4FQ6E</v>
          </cell>
          <cell r="B3535" t="str">
            <v>FC Exchange 4年 MST2HP用</v>
          </cell>
          <cell r="C3535" t="str">
            <v>【ファウンデーションケア】</v>
          </cell>
        </row>
        <row r="3536">
          <cell r="A3536" t="str">
            <v>H4FS9E</v>
          </cell>
          <cell r="B3536" t="str">
            <v>FC Exchange 5年 MST2HP用</v>
          </cell>
          <cell r="C3536" t="str">
            <v>【ファウンデーションケア】</v>
          </cell>
        </row>
        <row r="3537">
          <cell r="A3537" t="str">
            <v>H4HL5E</v>
          </cell>
          <cell r="B3537" t="str">
            <v>FC Exchange 1年 Rm IAP 3WN 2.4G用</v>
          </cell>
          <cell r="C3537" t="str">
            <v>【ファウンデーションケア】</v>
          </cell>
        </row>
        <row r="3538">
          <cell r="A3538" t="str">
            <v>H4HM3E</v>
          </cell>
          <cell r="B3538" t="str">
            <v>FC Exchange 3年 Rm IAP 3WN 2.4G用</v>
          </cell>
          <cell r="C3538" t="str">
            <v>【ファウンデーションケア】</v>
          </cell>
        </row>
        <row r="3539">
          <cell r="A3539" t="str">
            <v>H4HP6E</v>
          </cell>
          <cell r="B3539" t="str">
            <v>FC Exchange 4年 Rm IAP 3WN 2.4G用</v>
          </cell>
          <cell r="C3539" t="str">
            <v>【ファウンデーションケア】</v>
          </cell>
        </row>
        <row r="3540">
          <cell r="A3540" t="str">
            <v>H4HR9E</v>
          </cell>
          <cell r="B3540" t="str">
            <v>FC Exchange 5年 Rm IAP 3WN 2.4G用</v>
          </cell>
          <cell r="C3540" t="str">
            <v>【ファウンデーションケア】</v>
          </cell>
        </row>
        <row r="3541">
          <cell r="A3541" t="str">
            <v>H4HU2PE</v>
          </cell>
          <cell r="B3541" t="str">
            <v>更新用 FC Exch 1年 Rm IAP 3WN 2.4G用</v>
          </cell>
          <cell r="C3541" t="str">
            <v>【ファウンデーションケア】</v>
          </cell>
        </row>
        <row r="3542">
          <cell r="A3542" t="str">
            <v>H4JF3E</v>
          </cell>
          <cell r="B3542" t="str">
            <v>FC Exchange 1年 Rm IAP 3WNP 2.4G用</v>
          </cell>
          <cell r="C3542" t="str">
            <v>【ファウンデーションケア】</v>
          </cell>
        </row>
        <row r="3543">
          <cell r="A3543" t="str">
            <v>H4JG1E</v>
          </cell>
          <cell r="B3543" t="str">
            <v>FC Exchange 3年 Rm IAP 3WNP 2.4G用</v>
          </cell>
          <cell r="C3543" t="str">
            <v>【ファウンデーションケア】</v>
          </cell>
        </row>
        <row r="3544">
          <cell r="A3544" t="str">
            <v>H4JJ4E</v>
          </cell>
          <cell r="B3544" t="str">
            <v>FC Exchange 4年 Rm IAP 3WNP 2.4G用</v>
          </cell>
          <cell r="C3544" t="str">
            <v>【ファウンデーションケア】</v>
          </cell>
        </row>
        <row r="3545">
          <cell r="A3545" t="str">
            <v>H4JL7E</v>
          </cell>
          <cell r="B3545" t="str">
            <v>FC Exchange 5年 Rm IAP 3WNP 2.4G用</v>
          </cell>
          <cell r="C3545" t="str">
            <v>【ファウンデーションケア】</v>
          </cell>
        </row>
        <row r="3546">
          <cell r="A3546" t="str">
            <v>H4JP0PE</v>
          </cell>
          <cell r="B3546" t="str">
            <v>更新用 FC Exch 1年 Rm IAP 3WNP 2.4G用</v>
          </cell>
          <cell r="C3546" t="str">
            <v>【ファウンデーションケア】</v>
          </cell>
        </row>
        <row r="3547">
          <cell r="A3547" t="str">
            <v>H4KA1E</v>
          </cell>
          <cell r="B3547" t="str">
            <v>FC Exchange 1年 Rm IAP-108 2x2用</v>
          </cell>
          <cell r="C3547" t="str">
            <v>【ファウンデーションケア】</v>
          </cell>
        </row>
        <row r="3548">
          <cell r="A3548" t="str">
            <v>H4KA9E</v>
          </cell>
          <cell r="B3548" t="str">
            <v>FC Exchange 3年 Rm IAP-108 2x2用</v>
          </cell>
          <cell r="C3548" t="str">
            <v>【ファウンデーションケア】</v>
          </cell>
        </row>
        <row r="3549">
          <cell r="A3549" t="str">
            <v>H4KD2E</v>
          </cell>
          <cell r="B3549" t="str">
            <v>FC Exchange 4年 Rm IAP-108 2x2用</v>
          </cell>
          <cell r="C3549" t="str">
            <v>【ファウンデーションケア】</v>
          </cell>
        </row>
        <row r="3550">
          <cell r="A3550" t="str">
            <v>H4KF5E</v>
          </cell>
          <cell r="B3550" t="str">
            <v>FC Exchange 5年 Rm IAP-108 2x2用</v>
          </cell>
          <cell r="C3550" t="str">
            <v>【ファウンデーションケア】</v>
          </cell>
        </row>
        <row r="3551">
          <cell r="A3551" t="str">
            <v>H4KH8PE</v>
          </cell>
          <cell r="B3551" t="str">
            <v>更新用 FC Exch 1年 Rm IAP-108 2x2用</v>
          </cell>
          <cell r="C3551" t="str">
            <v>【ファウンデーションケア】</v>
          </cell>
        </row>
        <row r="3552">
          <cell r="A3552" t="str">
            <v>H4QC3E</v>
          </cell>
          <cell r="B3552" t="str">
            <v>FC Exchange 1年 7240XM Controller用</v>
          </cell>
          <cell r="C3552" t="str">
            <v>【ファウンデーションケア】</v>
          </cell>
        </row>
        <row r="3553">
          <cell r="A3553" t="str">
            <v>H4QC5E</v>
          </cell>
          <cell r="B3553" t="str">
            <v>FC 翌日 1年 7240XM Controller用</v>
          </cell>
          <cell r="C3553" t="str">
            <v>【ファウンデーションケア】</v>
          </cell>
        </row>
        <row r="3554">
          <cell r="A3554" t="str">
            <v>H4QC7E</v>
          </cell>
          <cell r="B3554" t="str">
            <v>FC 24x7 1年 7240XM Controller用</v>
          </cell>
          <cell r="C3554" t="str">
            <v>【ファウンデーションケア】</v>
          </cell>
        </row>
        <row r="3555">
          <cell r="A3555" t="str">
            <v>H4QD1E</v>
          </cell>
          <cell r="B3555" t="str">
            <v>FC Exchange 3年 7240XM Controller用</v>
          </cell>
          <cell r="C3555" t="str">
            <v>【ファウンデーションケア】</v>
          </cell>
        </row>
        <row r="3556">
          <cell r="A3556" t="str">
            <v>H4QD5E</v>
          </cell>
          <cell r="B3556" t="str">
            <v>FC 翌日 3年 7240XM Controller用</v>
          </cell>
          <cell r="C3556" t="str">
            <v>【ファウンデーションケア】</v>
          </cell>
        </row>
        <row r="3557">
          <cell r="A3557" t="str">
            <v>H4QD7E</v>
          </cell>
          <cell r="B3557" t="str">
            <v>FC 9x5 3年 7240XM Controller用</v>
          </cell>
          <cell r="C3557" t="str">
            <v>【ファウンデーションケア】</v>
          </cell>
        </row>
        <row r="3558">
          <cell r="A3558" t="str">
            <v>H4QE2E</v>
          </cell>
          <cell r="B3558" t="str">
            <v>FC 24x7 3年 7240XM Controller用</v>
          </cell>
          <cell r="C3558" t="str">
            <v>【ファウンデーションケア】</v>
          </cell>
        </row>
        <row r="3559">
          <cell r="A3559" t="str">
            <v>H4QF4E</v>
          </cell>
          <cell r="B3559" t="str">
            <v>FC Exchange 4年 7240XM Controller用</v>
          </cell>
          <cell r="C3559" t="str">
            <v>【ファウンデーションケア】</v>
          </cell>
        </row>
        <row r="3560">
          <cell r="A3560" t="str">
            <v>H4QF8E</v>
          </cell>
          <cell r="B3560" t="str">
            <v>FC 翌日 4年 7240XM Controller用</v>
          </cell>
          <cell r="C3560" t="str">
            <v>【ファウンデーションケア】</v>
          </cell>
        </row>
        <row r="3561">
          <cell r="A3561" t="str">
            <v>H4QG0E</v>
          </cell>
          <cell r="B3561" t="str">
            <v>FC 9x5 4年 7240XM Controller用</v>
          </cell>
          <cell r="C3561" t="str">
            <v>【ファウンデーションケア】</v>
          </cell>
        </row>
        <row r="3562">
          <cell r="A3562" t="str">
            <v>H4QG5E</v>
          </cell>
          <cell r="B3562" t="str">
            <v>FC 24x7 4年 7240XM Controller用</v>
          </cell>
          <cell r="C3562" t="str">
            <v>【ファウンデーションケア】</v>
          </cell>
        </row>
        <row r="3563">
          <cell r="A3563" t="str">
            <v>H4QH7E</v>
          </cell>
          <cell r="B3563" t="str">
            <v>FC Exchange 5年 7240XM Controller用</v>
          </cell>
          <cell r="C3563" t="str">
            <v>【ファウンデーションケア】</v>
          </cell>
        </row>
        <row r="3564">
          <cell r="A3564" t="str">
            <v>H4QJ1E</v>
          </cell>
          <cell r="B3564" t="str">
            <v>FC 翌日 5年 7240XM Controller用</v>
          </cell>
          <cell r="C3564" t="str">
            <v>【ファウンデーションケア】</v>
          </cell>
        </row>
        <row r="3565">
          <cell r="A3565" t="str">
            <v>H4QJ3E</v>
          </cell>
          <cell r="B3565" t="str">
            <v>FC 9x5 5年 7240XM Controller用</v>
          </cell>
          <cell r="C3565" t="str">
            <v>【ファウンデーションケア】</v>
          </cell>
        </row>
        <row r="3566">
          <cell r="A3566" t="str">
            <v>H4QJ8E</v>
          </cell>
          <cell r="B3566" t="str">
            <v>FC 24x7 5年 7240XM Controller用</v>
          </cell>
          <cell r="C3566" t="str">
            <v>【ファウンデーションケア】</v>
          </cell>
        </row>
        <row r="3567">
          <cell r="A3567" t="str">
            <v>H4QL0PE</v>
          </cell>
          <cell r="B3567" t="str">
            <v>PW FC Exch 1年 7240XM Controller用</v>
          </cell>
          <cell r="C3567" t="str">
            <v>【ファウンデーションケア】</v>
          </cell>
        </row>
        <row r="3568">
          <cell r="A3568" t="str">
            <v>H4QM7E</v>
          </cell>
          <cell r="B3568" t="str">
            <v>FC Exchange 1年 AP-314用</v>
          </cell>
          <cell r="C3568" t="str">
            <v>【ファウンデーションケア】</v>
          </cell>
        </row>
        <row r="3569">
          <cell r="A3569" t="str">
            <v>H4QN5E</v>
          </cell>
          <cell r="B3569" t="str">
            <v>FC Exchange 3年 AP-314用</v>
          </cell>
          <cell r="C3569" t="str">
            <v>【ファウンデーションケア】</v>
          </cell>
        </row>
        <row r="3570">
          <cell r="A3570" t="str">
            <v>H4QQ8E</v>
          </cell>
          <cell r="B3570" t="str">
            <v>FC Exchange 4年 AP-314用</v>
          </cell>
          <cell r="C3570" t="str">
            <v>【ファウンデーションケア】</v>
          </cell>
        </row>
        <row r="3571">
          <cell r="A3571" t="str">
            <v>H4QT1E</v>
          </cell>
          <cell r="B3571" t="str">
            <v>FC Exchange 5年 AP-314用</v>
          </cell>
          <cell r="C3571" t="str">
            <v>【ファウンデーションケア】</v>
          </cell>
        </row>
        <row r="3572">
          <cell r="A3572" t="str">
            <v>H4QV4PE</v>
          </cell>
          <cell r="B3572" t="str">
            <v>更新用 FC Exch 1年 AP-314用</v>
          </cell>
          <cell r="C3572" t="str">
            <v>【ファウンデーションケア】</v>
          </cell>
        </row>
        <row r="3573">
          <cell r="A3573" t="str">
            <v>H4RG5E</v>
          </cell>
          <cell r="B3573" t="str">
            <v>FC Exchange 1年 AP-315用</v>
          </cell>
          <cell r="C3573" t="str">
            <v>【ファウンデーションケア】</v>
          </cell>
        </row>
        <row r="3574">
          <cell r="A3574" t="str">
            <v>H4RH3E</v>
          </cell>
          <cell r="B3574" t="str">
            <v>FC Exchange 3年 AP-315用</v>
          </cell>
          <cell r="C3574" t="str">
            <v>【ファウンデーションケア】</v>
          </cell>
        </row>
        <row r="3575">
          <cell r="A3575" t="str">
            <v>H4RK6E</v>
          </cell>
          <cell r="B3575" t="str">
            <v>FC Exchange 4年 AP-315用</v>
          </cell>
          <cell r="C3575" t="str">
            <v>【ファウンデーションケア】</v>
          </cell>
        </row>
        <row r="3576">
          <cell r="A3576" t="str">
            <v>H4RM9E</v>
          </cell>
          <cell r="B3576" t="str">
            <v>FC Exchange 5年 AP-315用</v>
          </cell>
          <cell r="C3576" t="str">
            <v>【ファウンデーションケア】</v>
          </cell>
        </row>
        <row r="3577">
          <cell r="A3577" t="str">
            <v>H4RQ2PE</v>
          </cell>
          <cell r="B3577" t="str">
            <v>更新用 FC Exch 1年 AP-315用</v>
          </cell>
          <cell r="C3577" t="str">
            <v>【ファウンデーションケア】</v>
          </cell>
        </row>
        <row r="3578">
          <cell r="A3578" t="str">
            <v>H4SB3E</v>
          </cell>
          <cell r="B3578" t="str">
            <v>FC Exchange 1年 AP-334用</v>
          </cell>
          <cell r="C3578" t="str">
            <v>【ファウンデーションケア】</v>
          </cell>
        </row>
        <row r="3579">
          <cell r="A3579" t="str">
            <v>H4SC1E</v>
          </cell>
          <cell r="B3579" t="str">
            <v>FC Exchange 3年 AP-334用</v>
          </cell>
          <cell r="C3579" t="str">
            <v>【ファウンデーションケア】</v>
          </cell>
        </row>
        <row r="3580">
          <cell r="A3580" t="str">
            <v>H4SE4E</v>
          </cell>
          <cell r="B3580" t="str">
            <v>FC Exchange 4年 AP-334用</v>
          </cell>
          <cell r="C3580" t="str">
            <v>【ファウンデーションケア】</v>
          </cell>
        </row>
        <row r="3581">
          <cell r="A3581" t="str">
            <v>H4SG7E</v>
          </cell>
          <cell r="B3581" t="str">
            <v>FC Exchange 5年 AP-334用</v>
          </cell>
          <cell r="C3581" t="str">
            <v>【ファウンデーションケア】</v>
          </cell>
        </row>
        <row r="3582">
          <cell r="A3582" t="str">
            <v>H4SK0PE</v>
          </cell>
          <cell r="B3582" t="str">
            <v>更新用 FC Exch 1年 AP-334用</v>
          </cell>
          <cell r="C3582" t="str">
            <v>【ファウンデーションケア】</v>
          </cell>
        </row>
        <row r="3583">
          <cell r="A3583" t="str">
            <v>H4SW1E</v>
          </cell>
          <cell r="B3583" t="str">
            <v>FC Exchange 1年 AP-335用</v>
          </cell>
          <cell r="C3583" t="str">
            <v>【ファウンデーションケア】</v>
          </cell>
        </row>
        <row r="3584">
          <cell r="A3584" t="str">
            <v>H4SW9E</v>
          </cell>
          <cell r="B3584" t="str">
            <v>FC Exchange 3年 AP-335用</v>
          </cell>
          <cell r="C3584" t="str">
            <v>【ファウンデーションケア】</v>
          </cell>
        </row>
        <row r="3585">
          <cell r="A3585" t="str">
            <v>H4SZ2E</v>
          </cell>
          <cell r="B3585" t="str">
            <v>FC Exchange 4年 AP-335用</v>
          </cell>
          <cell r="C3585" t="str">
            <v>【ファウンデーションケア】</v>
          </cell>
        </row>
        <row r="3586">
          <cell r="A3586" t="str">
            <v>H4TB5E</v>
          </cell>
          <cell r="B3586" t="str">
            <v>FC Exchange 5年 AP-335用</v>
          </cell>
          <cell r="C3586" t="str">
            <v>【ファウンデーションケア】</v>
          </cell>
        </row>
        <row r="3587">
          <cell r="A3587" t="str">
            <v>H4TD8PE</v>
          </cell>
          <cell r="B3587" t="str">
            <v>更新用 FC Exch 1年 AP-335用</v>
          </cell>
          <cell r="C3587" t="str">
            <v>【ファウンデーションケア】</v>
          </cell>
        </row>
        <row r="3588">
          <cell r="A3588" t="str">
            <v>H4TQ9E</v>
          </cell>
          <cell r="B3588" t="str">
            <v>FC Exchange 1年 IAP-314用</v>
          </cell>
          <cell r="C3588" t="str">
            <v>【ファウンデーションケア】</v>
          </cell>
        </row>
        <row r="3589">
          <cell r="A3589" t="str">
            <v>H4TR7E</v>
          </cell>
          <cell r="B3589" t="str">
            <v>FC Exchange 3年 IAP-314用</v>
          </cell>
          <cell r="C3589" t="str">
            <v>【ファウンデーションケア】</v>
          </cell>
        </row>
        <row r="3590">
          <cell r="A3590" t="str">
            <v>H4TU0E</v>
          </cell>
          <cell r="B3590" t="str">
            <v>FC Exchange 4年 IAP-314用</v>
          </cell>
          <cell r="C3590" t="str">
            <v>【ファウンデーションケア】</v>
          </cell>
        </row>
        <row r="3591">
          <cell r="A3591" t="str">
            <v>H4TW3E</v>
          </cell>
          <cell r="B3591" t="str">
            <v>FC Exchange 5年 IAP-314用</v>
          </cell>
          <cell r="C3591" t="str">
            <v>【ファウンデーションケア】</v>
          </cell>
        </row>
        <row r="3592">
          <cell r="A3592" t="str">
            <v>H4TY6PE</v>
          </cell>
          <cell r="B3592" t="str">
            <v>更新用 FC Exch 1年 IAP-314用</v>
          </cell>
          <cell r="C3592" t="str">
            <v>【ファウンデーションケア】</v>
          </cell>
        </row>
        <row r="3593">
          <cell r="A3593" t="str">
            <v>H4UA3E</v>
          </cell>
          <cell r="B3593" t="str">
            <v>FC Exchange 1年 IAP-315用</v>
          </cell>
          <cell r="C3593" t="str">
            <v>【ファウンデーションケア】</v>
          </cell>
        </row>
        <row r="3594">
          <cell r="A3594" t="str">
            <v>H4UB1E</v>
          </cell>
          <cell r="B3594" t="str">
            <v>FC Exchange 3年 IAP-315用</v>
          </cell>
          <cell r="C3594" t="str">
            <v>【ファウンデーションケア】</v>
          </cell>
        </row>
        <row r="3595">
          <cell r="A3595" t="str">
            <v>H4UD4E</v>
          </cell>
          <cell r="B3595" t="str">
            <v>FC Exchange 4年 IAP-315用</v>
          </cell>
          <cell r="C3595" t="str">
            <v>【ファウンデーションケア】</v>
          </cell>
        </row>
        <row r="3596">
          <cell r="A3596" t="str">
            <v>H4UF7E</v>
          </cell>
          <cell r="B3596" t="str">
            <v>FC Exchange 5年 IAP-315用</v>
          </cell>
          <cell r="C3596" t="str">
            <v>【ファウンデーションケア】</v>
          </cell>
        </row>
        <row r="3597">
          <cell r="A3597" t="str">
            <v>H4UJ0PE</v>
          </cell>
          <cell r="B3597" t="str">
            <v>更新用 FC Exch 1年 IAP-315用</v>
          </cell>
          <cell r="C3597" t="str">
            <v>【ファウンデーションケア】</v>
          </cell>
        </row>
        <row r="3598">
          <cell r="A3598" t="str">
            <v>H4UK7E</v>
          </cell>
          <cell r="B3598" t="str">
            <v>FC Exchange 1年 IAP-334用</v>
          </cell>
          <cell r="C3598" t="str">
            <v>【ファウンデーションケア】</v>
          </cell>
        </row>
        <row r="3599">
          <cell r="A3599" t="str">
            <v>H4UL5E</v>
          </cell>
          <cell r="B3599" t="str">
            <v>FC Exchange 3年 IAP-334用</v>
          </cell>
          <cell r="C3599" t="str">
            <v>【ファウンデーションケア】</v>
          </cell>
        </row>
        <row r="3600">
          <cell r="A3600" t="str">
            <v>H4UN8E</v>
          </cell>
          <cell r="B3600" t="str">
            <v>FC Exchange 4年 IAP-334用</v>
          </cell>
          <cell r="C3600" t="str">
            <v>【ファウンデーションケア】</v>
          </cell>
        </row>
        <row r="3601">
          <cell r="A3601" t="str">
            <v>H4UR1E</v>
          </cell>
          <cell r="B3601" t="str">
            <v>FC Exchange 5年 IAP-334用</v>
          </cell>
          <cell r="C3601" t="str">
            <v>【ファウンデーションケア】</v>
          </cell>
        </row>
        <row r="3602">
          <cell r="A3602" t="str">
            <v>H4UT4PE</v>
          </cell>
          <cell r="B3602" t="str">
            <v>更新用 FC Exch 1年 IAP-334用</v>
          </cell>
          <cell r="C3602" t="str">
            <v>【ファウンデーションケア】</v>
          </cell>
        </row>
        <row r="3603">
          <cell r="A3603" t="str">
            <v>H4UV1E</v>
          </cell>
          <cell r="B3603" t="str">
            <v>FC Exchange 1年 IAP-335用</v>
          </cell>
          <cell r="C3603" t="str">
            <v>【ファウンデーションケア】</v>
          </cell>
        </row>
        <row r="3604">
          <cell r="A3604" t="str">
            <v>H4UV9E</v>
          </cell>
          <cell r="B3604" t="str">
            <v>FC Exchange 3年 IAP-335用</v>
          </cell>
          <cell r="C3604" t="str">
            <v>【ファウンデーションケア】</v>
          </cell>
        </row>
        <row r="3605">
          <cell r="A3605" t="str">
            <v>H4UY2E</v>
          </cell>
          <cell r="B3605" t="str">
            <v>FC Exchange 4年 IAP-335用</v>
          </cell>
          <cell r="C3605" t="str">
            <v>【ファウンデーションケア】</v>
          </cell>
        </row>
        <row r="3606">
          <cell r="A3606" t="str">
            <v>H4VA5E</v>
          </cell>
          <cell r="B3606" t="str">
            <v>FC Exchange 5年 IAP-335用</v>
          </cell>
          <cell r="C3606" t="str">
            <v>【ファウンデーションケア】</v>
          </cell>
        </row>
        <row r="3607">
          <cell r="A3607" t="str">
            <v>H4VC8PE</v>
          </cell>
          <cell r="B3607" t="str">
            <v>更新用 FC Exch 1年 IAP-335用</v>
          </cell>
          <cell r="C3607" t="str">
            <v>【ファウンデーションケア】</v>
          </cell>
        </row>
        <row r="3608">
          <cell r="A3608" t="str">
            <v>H4VE5E</v>
          </cell>
          <cell r="B3608" t="str">
            <v>FC Exchange 1年 7240XM TAA Controller用</v>
          </cell>
          <cell r="C3608" t="str">
            <v>【ファウンデーションケア】</v>
          </cell>
        </row>
        <row r="3609">
          <cell r="A3609" t="str">
            <v>H4VE7E</v>
          </cell>
          <cell r="B3609" t="str">
            <v>FC 翌日 1年 7240XM TAA Controller用</v>
          </cell>
          <cell r="C3609" t="str">
            <v>【ファウンデーションケア】</v>
          </cell>
        </row>
        <row r="3610">
          <cell r="A3610" t="str">
            <v>H4VE9E</v>
          </cell>
          <cell r="B3610" t="str">
            <v>FC 24x7 1年 7240XM TAA Controller用</v>
          </cell>
          <cell r="C3610" t="str">
            <v>【ファウンデーションケア】</v>
          </cell>
        </row>
        <row r="3611">
          <cell r="A3611" t="str">
            <v>H4VF3E</v>
          </cell>
          <cell r="B3611" t="str">
            <v>FC Exchange 3年 7240XM TAA Controller用</v>
          </cell>
          <cell r="C3611" t="str">
            <v>【ファウンデーションケア】</v>
          </cell>
        </row>
        <row r="3612">
          <cell r="A3612" t="str">
            <v>H4VF7E</v>
          </cell>
          <cell r="B3612" t="str">
            <v>FC 翌日 3年 7240XM TAA Controller用</v>
          </cell>
          <cell r="C3612" t="str">
            <v>【ファウンデーションケア】</v>
          </cell>
        </row>
        <row r="3613">
          <cell r="A3613" t="str">
            <v>H4VF9E</v>
          </cell>
          <cell r="B3613" t="str">
            <v>FC 9x5 3年 7240XM TAA Controller用</v>
          </cell>
          <cell r="C3613" t="str">
            <v>【ファウンデーションケア】</v>
          </cell>
        </row>
        <row r="3614">
          <cell r="A3614" t="str">
            <v>H4VG4E</v>
          </cell>
          <cell r="B3614" t="str">
            <v>FC 24x7 3年 7240XM TAA Controller用</v>
          </cell>
          <cell r="C3614" t="str">
            <v>【ファウンデーションケア】</v>
          </cell>
        </row>
        <row r="3615">
          <cell r="A3615" t="str">
            <v>H4VH6E</v>
          </cell>
          <cell r="B3615" t="str">
            <v>FC Exchange 4年 7240XM TAA Controller用</v>
          </cell>
          <cell r="C3615" t="str">
            <v>【ファウンデーションケア】</v>
          </cell>
        </row>
        <row r="3616">
          <cell r="A3616" t="str">
            <v>H4VJ0E</v>
          </cell>
          <cell r="B3616" t="str">
            <v>FC 翌日 4年 7240XM TAA Controller用</v>
          </cell>
          <cell r="C3616" t="str">
            <v>【ファウンデーションケア】</v>
          </cell>
        </row>
        <row r="3617">
          <cell r="A3617" t="str">
            <v>H4VJ2E</v>
          </cell>
          <cell r="B3617" t="str">
            <v>FC 9x5 4年 7240XM TAA Controller用</v>
          </cell>
          <cell r="C3617" t="str">
            <v>【ファウンデーションケア】</v>
          </cell>
        </row>
        <row r="3618">
          <cell r="A3618" t="str">
            <v>H4VJ7E</v>
          </cell>
          <cell r="B3618" t="str">
            <v>FC 24x7 4年 7240XM TAA Controller用</v>
          </cell>
          <cell r="C3618" t="str">
            <v>【ファウンデーションケア】</v>
          </cell>
        </row>
        <row r="3619">
          <cell r="A3619" t="str">
            <v>H4VK9E</v>
          </cell>
          <cell r="B3619" t="str">
            <v>FC Exchange 5年 7240XM TAA Controller用</v>
          </cell>
          <cell r="C3619" t="str">
            <v>【ファウンデーションケア】</v>
          </cell>
        </row>
        <row r="3620">
          <cell r="A3620" t="str">
            <v>H4VL3E</v>
          </cell>
          <cell r="B3620" t="str">
            <v>FC 翌日 5年 7240XM TAA Controller用</v>
          </cell>
          <cell r="C3620" t="str">
            <v>【ファウンデーションケア】</v>
          </cell>
        </row>
        <row r="3621">
          <cell r="A3621" t="str">
            <v>H4VL5E</v>
          </cell>
          <cell r="B3621" t="str">
            <v>FC 9x5 5年 7240XM TAA Controller用</v>
          </cell>
          <cell r="C3621" t="str">
            <v>【ファウンデーションケア】</v>
          </cell>
        </row>
        <row r="3622">
          <cell r="A3622" t="str">
            <v>H4VM0E</v>
          </cell>
          <cell r="B3622" t="str">
            <v>FC 24x7 5年 7240XM TAA Controller用</v>
          </cell>
          <cell r="C3622" t="str">
            <v>【ファウンデーションケア】</v>
          </cell>
        </row>
        <row r="3623">
          <cell r="A3623" t="str">
            <v>H4VN2PE</v>
          </cell>
          <cell r="B3623" t="str">
            <v>PW FC Exch 1年 7240XM TAA Controller用</v>
          </cell>
          <cell r="C3623" t="str">
            <v>【ファウンデーションケア】</v>
          </cell>
        </row>
        <row r="3624">
          <cell r="A3624" t="str">
            <v>H4VP9E</v>
          </cell>
          <cell r="B3624" t="str">
            <v>FC Exchange 1年 7008 Controller用</v>
          </cell>
          <cell r="C3624" t="str">
            <v>【ファウンデーションケア】</v>
          </cell>
        </row>
        <row r="3625">
          <cell r="A3625" t="str">
            <v>H4VQ1E</v>
          </cell>
          <cell r="B3625" t="str">
            <v>FC 翌日 1年 7008 Controller用</v>
          </cell>
          <cell r="C3625" t="str">
            <v>【ファウンデーションケア】</v>
          </cell>
        </row>
        <row r="3626">
          <cell r="A3626" t="str">
            <v>H4VQ3E</v>
          </cell>
          <cell r="B3626" t="str">
            <v>FC 24x7 1年 7008 Controller用</v>
          </cell>
          <cell r="C3626" t="str">
            <v>【ファウンデーションケア】</v>
          </cell>
        </row>
        <row r="3627">
          <cell r="A3627" t="str">
            <v>H4VQ7E</v>
          </cell>
          <cell r="B3627" t="str">
            <v>FC Exchange 3年 7008 Controller用</v>
          </cell>
          <cell r="C3627" t="str">
            <v>【ファウンデーションケア】</v>
          </cell>
        </row>
        <row r="3628">
          <cell r="A3628" t="str">
            <v>H4VR1E</v>
          </cell>
          <cell r="B3628" t="str">
            <v>FC 翌日 3年 7008 Controller用</v>
          </cell>
          <cell r="C3628" t="str">
            <v>【ファウンデーションケア】</v>
          </cell>
        </row>
        <row r="3629">
          <cell r="A3629" t="str">
            <v>H4VR3E</v>
          </cell>
          <cell r="B3629" t="str">
            <v>FC 9x5 3年 7008 Controller用</v>
          </cell>
          <cell r="C3629" t="str">
            <v>【ファウンデーションケア】</v>
          </cell>
        </row>
        <row r="3630">
          <cell r="A3630" t="str">
            <v>H4VR8E</v>
          </cell>
          <cell r="B3630" t="str">
            <v>FC 24x7 3年 7008 Controller用</v>
          </cell>
          <cell r="C3630" t="str">
            <v>【ファウンデーションケア】</v>
          </cell>
        </row>
        <row r="3631">
          <cell r="A3631" t="str">
            <v>H4VT0E</v>
          </cell>
          <cell r="B3631" t="str">
            <v>FC Exchange 4年 7008 Controller用</v>
          </cell>
          <cell r="C3631" t="str">
            <v>【ファウンデーションケア】</v>
          </cell>
        </row>
        <row r="3632">
          <cell r="A3632" t="str">
            <v>H4VT4E</v>
          </cell>
          <cell r="B3632" t="str">
            <v>FC 翌日 4年 7008 Controller用</v>
          </cell>
          <cell r="C3632" t="str">
            <v>【ファウンデーションケア】</v>
          </cell>
        </row>
        <row r="3633">
          <cell r="A3633" t="str">
            <v>H4VT6E</v>
          </cell>
          <cell r="B3633" t="str">
            <v>FC 9x5 4年 7008 Controller用</v>
          </cell>
          <cell r="C3633" t="str">
            <v>【ファウンデーションケア】</v>
          </cell>
        </row>
        <row r="3634">
          <cell r="A3634" t="str">
            <v>H4VU1E</v>
          </cell>
          <cell r="B3634" t="str">
            <v>FC 24x7 4年 7008 Controller用</v>
          </cell>
          <cell r="C3634" t="str">
            <v>【ファウンデーションケア】</v>
          </cell>
        </row>
        <row r="3635">
          <cell r="A3635" t="str">
            <v>H4VV3E</v>
          </cell>
          <cell r="B3635" t="str">
            <v>FC Exchange 5年 7008 Controller用</v>
          </cell>
          <cell r="C3635" t="str">
            <v>【ファウンデーションケア】</v>
          </cell>
        </row>
        <row r="3636">
          <cell r="A3636" t="str">
            <v>H4VV7E</v>
          </cell>
          <cell r="B3636" t="str">
            <v>FC 翌日 5年 7008 Controller用</v>
          </cell>
          <cell r="C3636" t="str">
            <v>【ファウンデーションケア】</v>
          </cell>
        </row>
        <row r="3637">
          <cell r="A3637" t="str">
            <v>H4VV9E</v>
          </cell>
          <cell r="B3637" t="str">
            <v>FC 9x5 5年 7008 Controller用</v>
          </cell>
          <cell r="C3637" t="str">
            <v>【ファウンデーションケア】</v>
          </cell>
        </row>
        <row r="3638">
          <cell r="A3638" t="str">
            <v>H4VW4E</v>
          </cell>
          <cell r="B3638" t="str">
            <v>FC 24x7 5年 7008 Controller用</v>
          </cell>
          <cell r="C3638" t="str">
            <v>【ファウンデーションケア】</v>
          </cell>
        </row>
        <row r="3639">
          <cell r="A3639" t="str">
            <v>H4VX6PE</v>
          </cell>
          <cell r="B3639" t="str">
            <v>PW FC Exch 1年 7008 Controller用</v>
          </cell>
          <cell r="C3639" t="str">
            <v>【ファウンデーションケア】</v>
          </cell>
        </row>
        <row r="3640">
          <cell r="A3640" t="str">
            <v>H4WK7E</v>
          </cell>
          <cell r="B3640" t="str">
            <v>FC 24x7 1年 Aruba LIC-7008-PEFV Lic用</v>
          </cell>
          <cell r="C3640" t="str">
            <v>【ファウンデーションケア】</v>
          </cell>
        </row>
        <row r="3641">
          <cell r="A3641" t="str">
            <v>H4WK8E</v>
          </cell>
          <cell r="B3641" t="str">
            <v>FC 24x7 3年 Aruba LIC-7008-PEFV Lic用</v>
          </cell>
          <cell r="C3641" t="str">
            <v>【ファウンデーションケア】</v>
          </cell>
        </row>
        <row r="3642">
          <cell r="A3642" t="str">
            <v>H4WL1E</v>
          </cell>
          <cell r="B3642" t="str">
            <v>FC 24x7 4年 Aruba LIC-7008-PEFV Lic用</v>
          </cell>
          <cell r="C3642" t="str">
            <v>【ファウンデーションケア】</v>
          </cell>
        </row>
        <row r="3643">
          <cell r="A3643" t="str">
            <v>H4WL4E</v>
          </cell>
          <cell r="B3643" t="str">
            <v>FC 24x7 5年 Aruba LIC-7008-PEFV Lic用</v>
          </cell>
          <cell r="C3643" t="str">
            <v>【ファウンデーションケア】</v>
          </cell>
        </row>
        <row r="3644">
          <cell r="A3644" t="str">
            <v>H4WW1E</v>
          </cell>
          <cell r="B3644" t="str">
            <v>FC Exchange 1年 AP-207用</v>
          </cell>
          <cell r="C3644" t="str">
            <v>【ファウンデーションケア】</v>
          </cell>
        </row>
        <row r="3645">
          <cell r="A3645" t="str">
            <v>H4WW6E</v>
          </cell>
          <cell r="B3645" t="str">
            <v>FC Exchange 3年 AP-207用</v>
          </cell>
          <cell r="C3645" t="str">
            <v>【ファウンデーションケア】</v>
          </cell>
        </row>
        <row r="3646">
          <cell r="A3646" t="str">
            <v>H4WY7E</v>
          </cell>
          <cell r="B3646" t="str">
            <v>FC Exchange 4年 AP-207用</v>
          </cell>
          <cell r="C3646" t="str">
            <v>【ファウンデーションケア】</v>
          </cell>
        </row>
        <row r="3647">
          <cell r="A3647" t="str">
            <v>H4XA8E</v>
          </cell>
          <cell r="B3647" t="str">
            <v>FC Exchange 5年 AP-207用</v>
          </cell>
          <cell r="C3647" t="str">
            <v>【ファウンデーションケア】</v>
          </cell>
        </row>
        <row r="3648">
          <cell r="A3648" t="str">
            <v>H4XC9PE</v>
          </cell>
          <cell r="B3648" t="str">
            <v>更新用 FC Exch 1年 AP-207用</v>
          </cell>
          <cell r="C3648" t="str">
            <v>【ファウンデーションケア】</v>
          </cell>
        </row>
        <row r="3649">
          <cell r="A3649" t="str">
            <v>H4XN9E</v>
          </cell>
          <cell r="B3649" t="str">
            <v>FC Exchange 1年 AP-365用</v>
          </cell>
          <cell r="C3649" t="str">
            <v>【ファウンデーションケア】</v>
          </cell>
        </row>
        <row r="3650">
          <cell r="A3650" t="str">
            <v>H4XP4E</v>
          </cell>
          <cell r="B3650" t="str">
            <v>FC Exchange 3年 AP-365用</v>
          </cell>
          <cell r="C3650" t="str">
            <v>【ファウンデーションケア】</v>
          </cell>
        </row>
        <row r="3651">
          <cell r="A3651" t="str">
            <v>H4XR5E</v>
          </cell>
          <cell r="B3651" t="str">
            <v>FC Exchange 4年 AP-365用</v>
          </cell>
          <cell r="C3651" t="str">
            <v>【ファウンデーションケア】</v>
          </cell>
        </row>
        <row r="3652">
          <cell r="A3652" t="str">
            <v>H4XT6E</v>
          </cell>
          <cell r="B3652" t="str">
            <v>FC Exchange 5年 AP-365用</v>
          </cell>
          <cell r="C3652" t="str">
            <v>【ファウンデーションケア】</v>
          </cell>
        </row>
        <row r="3653">
          <cell r="A3653" t="str">
            <v>H4YF7E</v>
          </cell>
          <cell r="B3653" t="str">
            <v>FC Exchange 1年 AP-367用</v>
          </cell>
          <cell r="C3653" t="str">
            <v>【ファウンデーションケア】</v>
          </cell>
        </row>
        <row r="3654">
          <cell r="A3654" t="str">
            <v>H4YG2E</v>
          </cell>
          <cell r="B3654" t="str">
            <v>FC Exchange 3年 AP-367用</v>
          </cell>
          <cell r="C3654" t="str">
            <v>【ファウンデーションケア】</v>
          </cell>
        </row>
        <row r="3655">
          <cell r="A3655" t="str">
            <v>H4YJ3E</v>
          </cell>
          <cell r="B3655" t="str">
            <v>FC Exchange 4年 AP-367用</v>
          </cell>
          <cell r="C3655" t="str">
            <v>【ファウンデーションケア】</v>
          </cell>
        </row>
        <row r="3656">
          <cell r="A3656" t="str">
            <v>H4YL4E</v>
          </cell>
          <cell r="B3656" t="str">
            <v>FC Exchange 5年 AP-367用</v>
          </cell>
          <cell r="C3656" t="str">
            <v>【ファウンデーションケア】</v>
          </cell>
        </row>
        <row r="3657">
          <cell r="A3657" t="str">
            <v>H4YY5E</v>
          </cell>
          <cell r="B3657" t="str">
            <v>FC Exchange 1年 AP-304用</v>
          </cell>
          <cell r="C3657" t="str">
            <v>【ファウンデーションケア】</v>
          </cell>
        </row>
        <row r="3658">
          <cell r="A3658" t="str">
            <v>H4YZ0E</v>
          </cell>
          <cell r="B3658" t="str">
            <v>FC Exchange 3年 AP-304用</v>
          </cell>
          <cell r="C3658" t="str">
            <v>【ファウンデーションケア】</v>
          </cell>
        </row>
        <row r="3659">
          <cell r="A3659" t="str">
            <v>H4ZB1E</v>
          </cell>
          <cell r="B3659" t="str">
            <v>FC Exchange 4年 AP-304用</v>
          </cell>
          <cell r="C3659" t="str">
            <v>【ファウンデーションケア】</v>
          </cell>
        </row>
        <row r="3660">
          <cell r="A3660" t="str">
            <v>H4ZD2E</v>
          </cell>
          <cell r="B3660" t="str">
            <v>FC Exchange 5年 AP-304用</v>
          </cell>
          <cell r="C3660" t="str">
            <v>【ファウンデーションケア】</v>
          </cell>
        </row>
        <row r="3661">
          <cell r="A3661" t="str">
            <v>H4ZF3PE</v>
          </cell>
          <cell r="B3661" t="str">
            <v>更新用 FC Exch 1年 AP-304用</v>
          </cell>
          <cell r="C3661" t="str">
            <v>【ファウンデーションケア】</v>
          </cell>
        </row>
        <row r="3662">
          <cell r="A3662" t="str">
            <v>H4ZR3E</v>
          </cell>
          <cell r="B3662" t="str">
            <v>FC Exchange 1年 AP-305用</v>
          </cell>
          <cell r="C3662" t="str">
            <v>【ファウンデーションケア】</v>
          </cell>
        </row>
        <row r="3663">
          <cell r="A3663" t="str">
            <v>H4ZR8E</v>
          </cell>
          <cell r="B3663" t="str">
            <v>FC Exchange 3年 AP-305用</v>
          </cell>
          <cell r="C3663" t="str">
            <v>【ファウンデーションケア】</v>
          </cell>
        </row>
        <row r="3664">
          <cell r="A3664" t="str">
            <v>H4ZT9E</v>
          </cell>
          <cell r="B3664" t="str">
            <v>FC Exchange 4年 AP-305用</v>
          </cell>
          <cell r="C3664" t="str">
            <v>【ファウンデーションケア】</v>
          </cell>
        </row>
        <row r="3665">
          <cell r="A3665" t="str">
            <v>H4ZW0E</v>
          </cell>
          <cell r="B3665" t="str">
            <v>FC Exchange 5年 AP-305用</v>
          </cell>
          <cell r="C3665" t="str">
            <v>【ファウンデーションケア】</v>
          </cell>
        </row>
        <row r="3666">
          <cell r="A3666" t="str">
            <v>H4ZY1PE</v>
          </cell>
          <cell r="B3666" t="str">
            <v>更新用 FC Exch 1年 AP-305用</v>
          </cell>
          <cell r="C3666" t="str">
            <v>【ファウンデーションケア】</v>
          </cell>
        </row>
        <row r="3667">
          <cell r="A3667" t="str">
            <v>H5BT7E</v>
          </cell>
          <cell r="B3667" t="str">
            <v>FC Exchange 1年 IAP-207用</v>
          </cell>
          <cell r="C3667" t="str">
            <v>【ファウンデーションケア】</v>
          </cell>
        </row>
        <row r="3668">
          <cell r="A3668" t="str">
            <v>H5BU2E</v>
          </cell>
          <cell r="B3668" t="str">
            <v>FC Exchange 3年 IAP-207用</v>
          </cell>
          <cell r="C3668" t="str">
            <v>【ファウンデーションケア】</v>
          </cell>
        </row>
        <row r="3669">
          <cell r="A3669" t="str">
            <v>H5BW3E</v>
          </cell>
          <cell r="B3669" t="str">
            <v>FC Exchange 4年 IAP-207用</v>
          </cell>
          <cell r="C3669" t="str">
            <v>【ファウンデーションケア】</v>
          </cell>
        </row>
        <row r="3670">
          <cell r="A3670" t="str">
            <v>H5BY4E</v>
          </cell>
          <cell r="B3670" t="str">
            <v>FC Exchange 5年 IAP-207用</v>
          </cell>
          <cell r="C3670" t="str">
            <v>【ファウンデーションケア】</v>
          </cell>
        </row>
        <row r="3671">
          <cell r="A3671" t="str">
            <v>H5CA5PE</v>
          </cell>
          <cell r="B3671" t="str">
            <v>更新用 FC Exch 1年 IAP-207用</v>
          </cell>
          <cell r="C3671" t="str">
            <v>【ファウンデーションケア】</v>
          </cell>
        </row>
        <row r="3672">
          <cell r="A3672" t="str">
            <v>H5DD3E</v>
          </cell>
          <cell r="B3672" t="str">
            <v>FC Exchange 1年 IAP-304用</v>
          </cell>
          <cell r="C3672" t="str">
            <v>【ファウンデーションケア】</v>
          </cell>
        </row>
        <row r="3673">
          <cell r="A3673" t="str">
            <v>H5DD8E</v>
          </cell>
          <cell r="B3673" t="str">
            <v>FC Exchange 3年 IAP-304用</v>
          </cell>
          <cell r="C3673" t="str">
            <v>【ファウンデーションケア】</v>
          </cell>
        </row>
        <row r="3674">
          <cell r="A3674" t="str">
            <v>H5DF9E</v>
          </cell>
          <cell r="B3674" t="str">
            <v>FC Exchange 4年 IAP-304用</v>
          </cell>
          <cell r="C3674" t="str">
            <v>【ファウンデーションケア】</v>
          </cell>
        </row>
        <row r="3675">
          <cell r="A3675" t="str">
            <v>H5DJ0E</v>
          </cell>
          <cell r="B3675" t="str">
            <v>FC Exchange 5年 IAP-304用</v>
          </cell>
          <cell r="C3675" t="str">
            <v>【ファウンデーションケア】</v>
          </cell>
        </row>
        <row r="3676">
          <cell r="A3676" t="str">
            <v>H5DL1PE</v>
          </cell>
          <cell r="B3676" t="str">
            <v>更新用 FC Exch 1年 IAP-304用</v>
          </cell>
          <cell r="C3676" t="str">
            <v>【ファウンデーションケア】</v>
          </cell>
        </row>
        <row r="3677">
          <cell r="A3677" t="str">
            <v>H5DW1E</v>
          </cell>
          <cell r="B3677" t="str">
            <v>FC Exchange 1年 IAP-305用</v>
          </cell>
          <cell r="C3677" t="str">
            <v>【ファウンデーションケア】</v>
          </cell>
        </row>
        <row r="3678">
          <cell r="A3678" t="str">
            <v>H5DW6E</v>
          </cell>
          <cell r="B3678" t="str">
            <v>FC Exchange 3年 IAP-305用</v>
          </cell>
          <cell r="C3678" t="str">
            <v>【ファウンデーションケア】</v>
          </cell>
        </row>
        <row r="3679">
          <cell r="A3679" t="str">
            <v>H5DY7E</v>
          </cell>
          <cell r="B3679" t="str">
            <v>FC Exchange 4年 IAP-305用</v>
          </cell>
          <cell r="C3679" t="str">
            <v>【ファウンデーションケア】</v>
          </cell>
        </row>
        <row r="3680">
          <cell r="A3680" t="str">
            <v>H5EA8E</v>
          </cell>
          <cell r="B3680" t="str">
            <v>FC Exchange 5年 IAP-305用</v>
          </cell>
          <cell r="C3680" t="str">
            <v>【ファウンデーションケア】</v>
          </cell>
        </row>
        <row r="3681">
          <cell r="A3681" t="str">
            <v>H5EC9PE</v>
          </cell>
          <cell r="B3681" t="str">
            <v>更新用 FC Exch 1年 IAP-305用</v>
          </cell>
          <cell r="C3681" t="str">
            <v>【ファウンデーションケア】</v>
          </cell>
        </row>
        <row r="3682">
          <cell r="A3682" t="str">
            <v>H5UA9E</v>
          </cell>
          <cell r="B3682" t="str">
            <v>FC 24x7 1年 Aruba MC-VA-50 Lic用</v>
          </cell>
          <cell r="C3682" t="str">
            <v>【ファウンデーションケア】</v>
          </cell>
        </row>
        <row r="3683">
          <cell r="A3683" t="str">
            <v>H5UB0E</v>
          </cell>
          <cell r="B3683" t="str">
            <v>FC 24x7 3年 Aruba MC-VA-50 Lic用</v>
          </cell>
          <cell r="C3683" t="str">
            <v>【ファウンデーションケア】</v>
          </cell>
        </row>
        <row r="3684">
          <cell r="A3684" t="str">
            <v>H5UB3E</v>
          </cell>
          <cell r="B3684" t="str">
            <v>FC 24x7 4年 Aruba MC-VA-50 Lic用</v>
          </cell>
          <cell r="C3684" t="str">
            <v>【ファウンデーションケア】</v>
          </cell>
        </row>
        <row r="3685">
          <cell r="A3685" t="str">
            <v>H5UB6E</v>
          </cell>
          <cell r="B3685" t="str">
            <v>FC 24x7 5年 Aruba MC-VA-50 Lic用</v>
          </cell>
          <cell r="C3685" t="str">
            <v>【ファウンデーションケア】</v>
          </cell>
        </row>
        <row r="3686">
          <cell r="A3686" t="str">
            <v>H5UB9E</v>
          </cell>
          <cell r="B3686" t="str">
            <v>FC 24x7 1年 Aruba MC-VA-250 Lic用</v>
          </cell>
          <cell r="C3686" t="str">
            <v>【ファウンデーションケア】</v>
          </cell>
        </row>
        <row r="3687">
          <cell r="A3687" t="str">
            <v>H5UC0E</v>
          </cell>
          <cell r="B3687" t="str">
            <v>FC 24x7 3年 Aruba MC-VA-250 Lic用</v>
          </cell>
          <cell r="C3687" t="str">
            <v>【ファウンデーションケア】</v>
          </cell>
        </row>
        <row r="3688">
          <cell r="A3688" t="str">
            <v>H5UC3E</v>
          </cell>
          <cell r="B3688" t="str">
            <v>FC 24x7 4年 Aruba MC-VA-250 Lic用</v>
          </cell>
          <cell r="C3688" t="str">
            <v>【ファウンデーションケア】</v>
          </cell>
        </row>
        <row r="3689">
          <cell r="A3689" t="str">
            <v>H5UC6E</v>
          </cell>
          <cell r="B3689" t="str">
            <v>FC 24x7 5年 Aruba MC-VA-250 Lic用</v>
          </cell>
          <cell r="C3689" t="str">
            <v>【ファウンデーションケア】</v>
          </cell>
        </row>
        <row r="3690">
          <cell r="A3690" t="str">
            <v>H5UC9E</v>
          </cell>
          <cell r="B3690" t="str">
            <v>FC 24x7 1年 Aruba MC-VA-1K Lic用</v>
          </cell>
          <cell r="C3690" t="str">
            <v>【ファウンデーションケア】</v>
          </cell>
        </row>
        <row r="3691">
          <cell r="A3691" t="str">
            <v>H5UD0E</v>
          </cell>
          <cell r="B3691" t="str">
            <v>FC 24x7 3年 Aruba MC-VA-1K Lic用</v>
          </cell>
          <cell r="C3691" t="str">
            <v>【ファウンデーションケア】</v>
          </cell>
        </row>
        <row r="3692">
          <cell r="A3692" t="str">
            <v>H5UD3E</v>
          </cell>
          <cell r="B3692" t="str">
            <v>FC 24x7 4年 Aruba MC-VA-1K Lic用</v>
          </cell>
          <cell r="C3692" t="str">
            <v>【ファウンデーションケア】</v>
          </cell>
        </row>
        <row r="3693">
          <cell r="A3693" t="str">
            <v>H5UD6E</v>
          </cell>
          <cell r="B3693" t="str">
            <v>FC 24x7 5年 Aruba MC-VA-1K Lic用</v>
          </cell>
          <cell r="C3693" t="str">
            <v>【ファウンデーションケア】</v>
          </cell>
        </row>
        <row r="3694">
          <cell r="A3694" t="str">
            <v>H5UD9E</v>
          </cell>
          <cell r="B3694" t="str">
            <v>FC 24x7 1年 Aruba MM-VA-500 Lic用</v>
          </cell>
          <cell r="C3694" t="str">
            <v>【ファウンデーションケア】</v>
          </cell>
        </row>
        <row r="3695">
          <cell r="A3695" t="str">
            <v>H5UE0E</v>
          </cell>
          <cell r="B3695" t="str">
            <v>FC 24x7 3年 Aruba MM-VA-500 Lic用</v>
          </cell>
          <cell r="C3695" t="str">
            <v>【ファウンデーションケア】</v>
          </cell>
        </row>
        <row r="3696">
          <cell r="A3696" t="str">
            <v>H5UE3E</v>
          </cell>
          <cell r="B3696" t="str">
            <v>FC 24x7 4年 Aruba MM-VA-500 Lic用</v>
          </cell>
          <cell r="C3696" t="str">
            <v>【ファウンデーションケア】</v>
          </cell>
        </row>
        <row r="3697">
          <cell r="A3697" t="str">
            <v>H5UE6E</v>
          </cell>
          <cell r="B3697" t="str">
            <v>FC 24x7 5年 Aruba MM-VA-500 Lic用</v>
          </cell>
          <cell r="C3697" t="str">
            <v>【ファウンデーションケア】</v>
          </cell>
        </row>
        <row r="3698">
          <cell r="A3698" t="str">
            <v>H5UE9E</v>
          </cell>
          <cell r="B3698" t="str">
            <v>FC 24x7 1年 Aruba MM-VA-1K Lic用</v>
          </cell>
          <cell r="C3698" t="str">
            <v>【ファウンデーションケア】</v>
          </cell>
        </row>
        <row r="3699">
          <cell r="A3699" t="str">
            <v>H5UF0E</v>
          </cell>
          <cell r="B3699" t="str">
            <v>FC 24x7 3年 Aruba MM-VA-1K Lic用</v>
          </cell>
          <cell r="C3699" t="str">
            <v>【ファウンデーションケア】</v>
          </cell>
        </row>
        <row r="3700">
          <cell r="A3700" t="str">
            <v>H5UF3E</v>
          </cell>
          <cell r="B3700" t="str">
            <v>FC 24x7 4年 Aruba MM-VA-1K Lic用</v>
          </cell>
          <cell r="C3700" t="str">
            <v>【ファウンデーションケア】</v>
          </cell>
        </row>
        <row r="3701">
          <cell r="A3701" t="str">
            <v>H5UF6E</v>
          </cell>
          <cell r="B3701" t="str">
            <v>FC 24x7 5年 Aruba MM-VA-1K Lic用</v>
          </cell>
          <cell r="C3701" t="str">
            <v>【ファウンデーションケア】</v>
          </cell>
        </row>
        <row r="3702">
          <cell r="A3702" t="str">
            <v>H5UF9E</v>
          </cell>
          <cell r="B3702" t="str">
            <v>FC 24x7 1年 Aruba MM-VA-5K Lic用</v>
          </cell>
          <cell r="C3702" t="str">
            <v>【ファウンデーションケア】</v>
          </cell>
        </row>
        <row r="3703">
          <cell r="A3703" t="str">
            <v>H5UG0E</v>
          </cell>
          <cell r="B3703" t="str">
            <v>FC 24x7 3年 Aruba MM-VA-5K Lic用</v>
          </cell>
          <cell r="C3703" t="str">
            <v>【ファウンデーションケア】</v>
          </cell>
        </row>
        <row r="3704">
          <cell r="A3704" t="str">
            <v>H5UG3E</v>
          </cell>
          <cell r="B3704" t="str">
            <v>FC 24x7 4年 Aruba MM-VA-5K Lic用</v>
          </cell>
          <cell r="C3704" t="str">
            <v>【ファウンデーションケア】</v>
          </cell>
        </row>
        <row r="3705">
          <cell r="A3705" t="str">
            <v>H5UG6E</v>
          </cell>
          <cell r="B3705" t="str">
            <v>FC 24x7 5年 Aruba MM-VA-5K Lic用</v>
          </cell>
          <cell r="C3705" t="str">
            <v>【ファウンデーションケア】</v>
          </cell>
        </row>
        <row r="3706">
          <cell r="A3706" t="str">
            <v>H5UG9E</v>
          </cell>
          <cell r="B3706" t="str">
            <v>FC 24x7 1年 Aruba MM-VA-10K Lic用</v>
          </cell>
          <cell r="C3706" t="str">
            <v>【ファウンデーションケア】</v>
          </cell>
        </row>
        <row r="3707">
          <cell r="A3707" t="str">
            <v>H5UH0E</v>
          </cell>
          <cell r="B3707" t="str">
            <v>FC 24x7 3年 Aruba MM-VA-10K Lic用</v>
          </cell>
          <cell r="C3707" t="str">
            <v>【ファウンデーションケア】</v>
          </cell>
        </row>
        <row r="3708">
          <cell r="A3708" t="str">
            <v>H5UH3E</v>
          </cell>
          <cell r="B3708" t="str">
            <v>FC 24x7 4年 Aruba MM-VA-10K Lic用</v>
          </cell>
          <cell r="C3708" t="str">
            <v>【ファウンデーションケア】</v>
          </cell>
        </row>
        <row r="3709">
          <cell r="A3709" t="str">
            <v>H5UH6E</v>
          </cell>
          <cell r="B3709" t="str">
            <v>FC 24x7 5年 Aruba MM-VA-10K Lic用</v>
          </cell>
          <cell r="C3709" t="str">
            <v>【ファウンデーションケア】</v>
          </cell>
        </row>
        <row r="3710">
          <cell r="A3710" t="str">
            <v>H6PQ1E</v>
          </cell>
          <cell r="B3710" t="str">
            <v>FC Exchange 1年 Aruba AP-303H用</v>
          </cell>
          <cell r="C3710" t="str">
            <v>【ファウンデーションケア】</v>
          </cell>
        </row>
        <row r="3711">
          <cell r="A3711" t="str">
            <v>H6PQ3E</v>
          </cell>
          <cell r="B3711" t="str">
            <v>FC Exchange 3年 Aruba AP-303H用</v>
          </cell>
          <cell r="C3711" t="str">
            <v>【ファウンデーションケア】</v>
          </cell>
        </row>
        <row r="3712">
          <cell r="A3712" t="str">
            <v>H6PQ7E</v>
          </cell>
          <cell r="B3712" t="str">
            <v>FC Exchange 4年 Aruba AP-303H用</v>
          </cell>
          <cell r="C3712" t="str">
            <v>【ファウンデーションケア】</v>
          </cell>
        </row>
        <row r="3713">
          <cell r="A3713" t="str">
            <v>H6PR1E</v>
          </cell>
          <cell r="B3713" t="str">
            <v>FC Exchange 5年 Aruba AP-303H用</v>
          </cell>
          <cell r="C3713" t="str">
            <v>【ファウンデーションケア】</v>
          </cell>
        </row>
        <row r="3714">
          <cell r="A3714" t="str">
            <v>H6PT7E</v>
          </cell>
          <cell r="B3714" t="str">
            <v>FC Exchange 1年 AP-203H用</v>
          </cell>
          <cell r="C3714" t="str">
            <v>【ファウンデーションケア】</v>
          </cell>
        </row>
        <row r="3715">
          <cell r="A3715" t="str">
            <v>H6PT9E</v>
          </cell>
          <cell r="B3715" t="str">
            <v>FC Exchange 3年 AP-203H用</v>
          </cell>
          <cell r="C3715" t="str">
            <v>【ファウンデーションケア】</v>
          </cell>
        </row>
        <row r="3716">
          <cell r="A3716" t="str">
            <v>H6PU3E</v>
          </cell>
          <cell r="B3716" t="str">
            <v>FC Exchange 4年 AP-203H用</v>
          </cell>
          <cell r="C3716" t="str">
            <v>【ファウンデーションケア】</v>
          </cell>
        </row>
        <row r="3717">
          <cell r="A3717" t="str">
            <v>H6PU7E</v>
          </cell>
          <cell r="B3717" t="str">
            <v>FC Exchange 5年 AP-203H用</v>
          </cell>
          <cell r="C3717" t="str">
            <v>【ファウンデーションケア】</v>
          </cell>
        </row>
        <row r="3718">
          <cell r="A3718" t="str">
            <v>H6PX3E</v>
          </cell>
          <cell r="B3718" t="str">
            <v>FC Exchange 1年 AP-203R用</v>
          </cell>
          <cell r="C3718" t="str">
            <v>【ファウンデーションケア】</v>
          </cell>
        </row>
        <row r="3719">
          <cell r="A3719" t="str">
            <v>H6PX5E</v>
          </cell>
          <cell r="B3719" t="str">
            <v>FC Exchange 3年 AP-203R用</v>
          </cell>
          <cell r="C3719" t="str">
            <v>【ファウンデーションケア】</v>
          </cell>
        </row>
        <row r="3720">
          <cell r="A3720" t="str">
            <v>H6PX9E</v>
          </cell>
          <cell r="B3720" t="str">
            <v>FC Exchange 4年 AP-203R用</v>
          </cell>
          <cell r="C3720" t="str">
            <v>【ファウンデーションケア】</v>
          </cell>
        </row>
        <row r="3721">
          <cell r="A3721" t="str">
            <v>H6PY3E</v>
          </cell>
          <cell r="B3721" t="str">
            <v>FC Exchange 5年 AP-203R用</v>
          </cell>
          <cell r="C3721" t="str">
            <v>【ファウンデーションケア】</v>
          </cell>
        </row>
        <row r="3722">
          <cell r="A3722" t="str">
            <v>H6PZ1E</v>
          </cell>
          <cell r="B3722" t="str">
            <v>FC Exchange 1年 AP-203R POE用</v>
          </cell>
          <cell r="C3722" t="str">
            <v>【ファウンデーションケア】</v>
          </cell>
        </row>
        <row r="3723">
          <cell r="A3723" t="str">
            <v>H6PZ3E</v>
          </cell>
          <cell r="B3723" t="str">
            <v>FC Exchange 3年 AP-203R POE用</v>
          </cell>
          <cell r="C3723" t="str">
            <v>【ファウンデーションケア】</v>
          </cell>
        </row>
        <row r="3724">
          <cell r="A3724" t="str">
            <v>H6PZ7E</v>
          </cell>
          <cell r="B3724" t="str">
            <v>FC Exchange 4年 AP-203R POE用</v>
          </cell>
          <cell r="C3724" t="str">
            <v>【ファウンデーションケア】</v>
          </cell>
        </row>
        <row r="3725">
          <cell r="A3725" t="str">
            <v>H6QA1E</v>
          </cell>
          <cell r="B3725" t="str">
            <v>FC Exchange 5年 AP-203R POE用</v>
          </cell>
          <cell r="C3725" t="str">
            <v>【ファウンデーションケア】</v>
          </cell>
        </row>
        <row r="3726">
          <cell r="A3726" t="str">
            <v>H6QE5E</v>
          </cell>
          <cell r="B3726" t="str">
            <v>FC Exchange 1年 MM-HW-1K用</v>
          </cell>
          <cell r="C3726" t="str">
            <v>【ファウンデーションケア】</v>
          </cell>
        </row>
        <row r="3727">
          <cell r="A3727" t="str">
            <v>H6QE7E</v>
          </cell>
          <cell r="B3727" t="str">
            <v>FC 翌日 1年 MM-HW-1K用</v>
          </cell>
          <cell r="C3727" t="str">
            <v>【ファウンデーションケア】</v>
          </cell>
        </row>
        <row r="3728">
          <cell r="A3728" t="str">
            <v>H6QE9E</v>
          </cell>
          <cell r="B3728" t="str">
            <v>FC 24x7 1年 MM-HW-1K用</v>
          </cell>
          <cell r="C3728" t="str">
            <v>【ファウンデーションケア】</v>
          </cell>
        </row>
        <row r="3729">
          <cell r="A3729" t="str">
            <v>H6QF3E</v>
          </cell>
          <cell r="B3729" t="str">
            <v>FC Exchange 3年 MM-HW-1K用</v>
          </cell>
          <cell r="C3729" t="str">
            <v>【ファウンデーションケア】</v>
          </cell>
        </row>
        <row r="3730">
          <cell r="A3730" t="str">
            <v>H6QF7E</v>
          </cell>
          <cell r="B3730" t="str">
            <v>FC 翌日 3年 MM-HW-1K用</v>
          </cell>
          <cell r="C3730" t="str">
            <v>【ファウンデーションケア】</v>
          </cell>
        </row>
        <row r="3731">
          <cell r="A3731" t="str">
            <v>H6QF9E</v>
          </cell>
          <cell r="B3731" t="str">
            <v>FC 9x5 3年 MM-HW-1K用</v>
          </cell>
          <cell r="C3731" t="str">
            <v>【ファウンデーションケア】</v>
          </cell>
        </row>
        <row r="3732">
          <cell r="A3732" t="str">
            <v>H6QG4E</v>
          </cell>
          <cell r="B3732" t="str">
            <v>FC 24x7 3年 MM-HW-1K用</v>
          </cell>
          <cell r="C3732" t="str">
            <v>【ファウンデーションケア】</v>
          </cell>
        </row>
        <row r="3733">
          <cell r="A3733" t="str">
            <v>H6QH6E</v>
          </cell>
          <cell r="B3733" t="str">
            <v>FC Exchange 4年 MM-HW-1K用</v>
          </cell>
          <cell r="C3733" t="str">
            <v>【ファウンデーションケア】</v>
          </cell>
        </row>
        <row r="3734">
          <cell r="A3734" t="str">
            <v>H6QJ0E</v>
          </cell>
          <cell r="B3734" t="str">
            <v>FC 翌日 4年 MM-HW-1K用</v>
          </cell>
          <cell r="C3734" t="str">
            <v>【ファウンデーションケア】</v>
          </cell>
        </row>
        <row r="3735">
          <cell r="A3735" t="str">
            <v>H6QJ2E</v>
          </cell>
          <cell r="B3735" t="str">
            <v>FC 9x5 4年 MM-HW-1K用</v>
          </cell>
          <cell r="C3735" t="str">
            <v>【ファウンデーションケア】</v>
          </cell>
        </row>
        <row r="3736">
          <cell r="A3736" t="str">
            <v>H6QJ7E</v>
          </cell>
          <cell r="B3736" t="str">
            <v>FC 24x7 4年 MM-HW-1K用</v>
          </cell>
          <cell r="C3736" t="str">
            <v>【ファウンデーションケア】</v>
          </cell>
        </row>
        <row r="3737">
          <cell r="A3737" t="str">
            <v>H6QK9E</v>
          </cell>
          <cell r="B3737" t="str">
            <v>FC Exchange 5年 MM-HW-1K用</v>
          </cell>
          <cell r="C3737" t="str">
            <v>【ファウンデーションケア】</v>
          </cell>
        </row>
        <row r="3738">
          <cell r="A3738" t="str">
            <v>H6QL3E</v>
          </cell>
          <cell r="B3738" t="str">
            <v>FC 翌日 5年 MM-HW-1K用</v>
          </cell>
          <cell r="C3738" t="str">
            <v>【ファウンデーションケア】</v>
          </cell>
        </row>
        <row r="3739">
          <cell r="A3739" t="str">
            <v>H6QL5E</v>
          </cell>
          <cell r="B3739" t="str">
            <v>FC 9x5 5年 MM-HW-1K用</v>
          </cell>
          <cell r="C3739" t="str">
            <v>【ファウンデーションケア】</v>
          </cell>
        </row>
        <row r="3740">
          <cell r="A3740" t="str">
            <v>H6QM0E</v>
          </cell>
          <cell r="B3740" t="str">
            <v>FC 24x7 5年 MM-HW-1K用</v>
          </cell>
          <cell r="C3740" t="str">
            <v>【ファウンデーションケア】</v>
          </cell>
        </row>
        <row r="3741">
          <cell r="A3741" t="str">
            <v>H6QP6E</v>
          </cell>
          <cell r="B3741" t="str">
            <v>FC Exchange 1年 MM-HW-5K用</v>
          </cell>
          <cell r="C3741" t="str">
            <v>【ファウンデーションケア】</v>
          </cell>
        </row>
        <row r="3742">
          <cell r="A3742" t="str">
            <v>H6QP8E</v>
          </cell>
          <cell r="B3742" t="str">
            <v>FC 翌日 1年 MM-HW-5K用</v>
          </cell>
          <cell r="C3742" t="str">
            <v>【ファウンデーションケア】</v>
          </cell>
        </row>
        <row r="3743">
          <cell r="A3743" t="str">
            <v>H6QQ0E</v>
          </cell>
          <cell r="B3743" t="str">
            <v>FC 24x7 1年 MM-HW-5K用</v>
          </cell>
          <cell r="C3743" t="str">
            <v>【ファウンデーションケア】</v>
          </cell>
        </row>
        <row r="3744">
          <cell r="A3744" t="str">
            <v>H6QQ4E</v>
          </cell>
          <cell r="B3744" t="str">
            <v>FC Exchange 3年 MM-HW-5K用</v>
          </cell>
          <cell r="C3744" t="str">
            <v>【ファウンデーションケア】</v>
          </cell>
        </row>
        <row r="3745">
          <cell r="A3745" t="str">
            <v>H6QQ8E</v>
          </cell>
          <cell r="B3745" t="str">
            <v>FC 翌日 3年 MM-HW-5K用</v>
          </cell>
          <cell r="C3745" t="str">
            <v>【ファウンデーションケア】</v>
          </cell>
        </row>
        <row r="3746">
          <cell r="A3746" t="str">
            <v>H6QR0E</v>
          </cell>
          <cell r="B3746" t="str">
            <v>FC 9x5 3年 MM-HW-5K用</v>
          </cell>
          <cell r="C3746" t="str">
            <v>【ファウンデーションケア】</v>
          </cell>
        </row>
        <row r="3747">
          <cell r="A3747" t="str">
            <v>H6QR5E</v>
          </cell>
          <cell r="B3747" t="str">
            <v>FC 24x7 3年 MM-HW-5K用</v>
          </cell>
          <cell r="C3747" t="str">
            <v>【ファウンデーションケア】</v>
          </cell>
        </row>
        <row r="3748">
          <cell r="A3748" t="str">
            <v>H6QS7E</v>
          </cell>
          <cell r="B3748" t="str">
            <v>FC Exchange 4年 MM-HW-5K用</v>
          </cell>
          <cell r="C3748" t="str">
            <v>【ファウンデーションケア】</v>
          </cell>
        </row>
        <row r="3749">
          <cell r="A3749" t="str">
            <v>H6QT1E</v>
          </cell>
          <cell r="B3749" t="str">
            <v>FC 翌日 4年 MM-HW-5K用</v>
          </cell>
          <cell r="C3749" t="str">
            <v>【ファウンデーションケア】</v>
          </cell>
        </row>
        <row r="3750">
          <cell r="A3750" t="str">
            <v>H6QT3E</v>
          </cell>
          <cell r="B3750" t="str">
            <v>FC 9x5 4年 MM-HW-5K用</v>
          </cell>
          <cell r="C3750" t="str">
            <v>【ファウンデーションケア】</v>
          </cell>
        </row>
        <row r="3751">
          <cell r="A3751" t="str">
            <v>H6QT8E</v>
          </cell>
          <cell r="B3751" t="str">
            <v>FC 24x7 4年 MM-HW-5K用</v>
          </cell>
          <cell r="C3751" t="str">
            <v>【ファウンデーションケア】</v>
          </cell>
        </row>
        <row r="3752">
          <cell r="A3752" t="str">
            <v>H6QV0E</v>
          </cell>
          <cell r="B3752" t="str">
            <v>FC Exchange 5年 MM-HW-5K用</v>
          </cell>
          <cell r="C3752" t="str">
            <v>【ファウンデーションケア】</v>
          </cell>
        </row>
        <row r="3753">
          <cell r="A3753" t="str">
            <v>H6QV4E</v>
          </cell>
          <cell r="B3753" t="str">
            <v>FC 翌日 5年 MM-HW-5K用</v>
          </cell>
          <cell r="C3753" t="str">
            <v>【ファウンデーションケア】</v>
          </cell>
        </row>
        <row r="3754">
          <cell r="A3754" t="str">
            <v>H6QV6E</v>
          </cell>
          <cell r="B3754" t="str">
            <v>FC 9x5 5年 MM-HW-5K用</v>
          </cell>
          <cell r="C3754" t="str">
            <v>【ファウンデーションケア】</v>
          </cell>
        </row>
        <row r="3755">
          <cell r="A3755" t="str">
            <v>H6QW1E</v>
          </cell>
          <cell r="B3755" t="str">
            <v>FC 24x7 5年 MM-HW-5K用</v>
          </cell>
          <cell r="C3755" t="str">
            <v>【ファウンデーションケア】</v>
          </cell>
        </row>
        <row r="3756">
          <cell r="A3756" t="str">
            <v>H6QY7E</v>
          </cell>
          <cell r="B3756" t="str">
            <v>FC Exchange 1年 MM-HW-10K用</v>
          </cell>
          <cell r="C3756" t="str">
            <v>【ファウンデーションケア】</v>
          </cell>
        </row>
        <row r="3757">
          <cell r="A3757" t="str">
            <v>H6QY9E</v>
          </cell>
          <cell r="B3757" t="str">
            <v>FC 翌日 1年 MM-HW-10K用</v>
          </cell>
          <cell r="C3757" t="str">
            <v>【ファウンデーションケア】</v>
          </cell>
        </row>
        <row r="3758">
          <cell r="A3758" t="str">
            <v>H6QZ1E</v>
          </cell>
          <cell r="B3758" t="str">
            <v>FC 24x7 1年 MM-HW-10K用</v>
          </cell>
          <cell r="C3758" t="str">
            <v>【ファウンデーションケア】</v>
          </cell>
        </row>
        <row r="3759">
          <cell r="A3759" t="str">
            <v>H6QZ5E</v>
          </cell>
          <cell r="B3759" t="str">
            <v>FC Exchange 3年 MM-HW-10K用</v>
          </cell>
          <cell r="C3759" t="str">
            <v>【ファウンデーションケア】</v>
          </cell>
        </row>
        <row r="3760">
          <cell r="A3760" t="str">
            <v>H6QZ9E</v>
          </cell>
          <cell r="B3760" t="str">
            <v>FC 翌日 3年 MM-HW-10K用</v>
          </cell>
          <cell r="C3760" t="str">
            <v>【ファウンデーションケア】</v>
          </cell>
        </row>
        <row r="3761">
          <cell r="A3761" t="str">
            <v>H6RA1E</v>
          </cell>
          <cell r="B3761" t="str">
            <v>FC 9x5 3年 MM-HW-10K用</v>
          </cell>
          <cell r="C3761" t="str">
            <v>【ファウンデーションケア】</v>
          </cell>
        </row>
        <row r="3762">
          <cell r="A3762" t="str">
            <v>H6RA6E</v>
          </cell>
          <cell r="B3762" t="str">
            <v>FC 24x7 3年 MM-HW-10K用</v>
          </cell>
          <cell r="C3762" t="str">
            <v>【ファウンデーションケア】</v>
          </cell>
        </row>
        <row r="3763">
          <cell r="A3763" t="str">
            <v>H6RB8E</v>
          </cell>
          <cell r="B3763" t="str">
            <v>FC Exchange 4年 MM-HW-10K用</v>
          </cell>
          <cell r="C3763" t="str">
            <v>【ファウンデーションケア】</v>
          </cell>
        </row>
        <row r="3764">
          <cell r="A3764" t="str">
            <v>H6RC2E</v>
          </cell>
          <cell r="B3764" t="str">
            <v>FC 翌日 4年 MM-HW-10K用</v>
          </cell>
          <cell r="C3764" t="str">
            <v>【ファウンデーションケア】</v>
          </cell>
        </row>
        <row r="3765">
          <cell r="A3765" t="str">
            <v>H6RC4E</v>
          </cell>
          <cell r="B3765" t="str">
            <v>FC 9x5 4年 MM-HW-10K用</v>
          </cell>
          <cell r="C3765" t="str">
            <v>【ファウンデーションケア】</v>
          </cell>
        </row>
        <row r="3766">
          <cell r="A3766" t="str">
            <v>H6RC9E</v>
          </cell>
          <cell r="B3766" t="str">
            <v>FC 24x7 4年 MM-HW-10K用</v>
          </cell>
          <cell r="C3766" t="str">
            <v>【ファウンデーションケア】</v>
          </cell>
        </row>
        <row r="3767">
          <cell r="A3767" t="str">
            <v>H6RE3E</v>
          </cell>
          <cell r="B3767" t="str">
            <v>FC Exchange 5年 MM-HW-10K用</v>
          </cell>
          <cell r="C3767" t="str">
            <v>【ファウンデーションケア】</v>
          </cell>
        </row>
        <row r="3768">
          <cell r="A3768" t="str">
            <v>H6RE7E</v>
          </cell>
          <cell r="B3768" t="str">
            <v>FC 翌日 5年 MM-HW-10K用</v>
          </cell>
          <cell r="C3768" t="str">
            <v>【ファウンデーションケア】</v>
          </cell>
        </row>
        <row r="3769">
          <cell r="A3769" t="str">
            <v>H6RE9E</v>
          </cell>
          <cell r="B3769" t="str">
            <v>FC 9x5 5年 MM-HW-10K用</v>
          </cell>
          <cell r="C3769" t="str">
            <v>【ファウンデーションケア】</v>
          </cell>
        </row>
        <row r="3770">
          <cell r="A3770" t="str">
            <v>H6RF4E</v>
          </cell>
          <cell r="B3770" t="str">
            <v>FC 24x7 5年 MM-HW-10K用</v>
          </cell>
          <cell r="C3770" t="str">
            <v>【ファウンデーションケア】</v>
          </cell>
        </row>
        <row r="3771">
          <cell r="A3771" t="str">
            <v>H6RJ0E</v>
          </cell>
          <cell r="B3771" t="str">
            <v>FC Exchange 1年 MMPSU-400AC PSU用</v>
          </cell>
          <cell r="C3771" t="str">
            <v>【ファウンデーションケア】</v>
          </cell>
        </row>
        <row r="3772">
          <cell r="A3772" t="str">
            <v>H6RX3E</v>
          </cell>
          <cell r="B3772" t="str">
            <v>FC Exchange 1年 Aruba 10GBASE-LR用</v>
          </cell>
          <cell r="C3772" t="str">
            <v>【ファウンデーションケア】</v>
          </cell>
        </row>
        <row r="3773">
          <cell r="A3773" t="str">
            <v>H6RX4E</v>
          </cell>
          <cell r="B3773" t="str">
            <v>FC Exchange 3年 Aruba 10GBASE-LR用</v>
          </cell>
          <cell r="C3773" t="str">
            <v>【ファウンデーションケア】</v>
          </cell>
        </row>
        <row r="3774">
          <cell r="A3774" t="str">
            <v>H6RX5E</v>
          </cell>
          <cell r="B3774" t="str">
            <v>FC Exchange 4年 Aruba 10GBASE-LR用</v>
          </cell>
          <cell r="C3774" t="str">
            <v>【ファウンデーションケア】</v>
          </cell>
        </row>
        <row r="3775">
          <cell r="A3775" t="str">
            <v>H6RX6E</v>
          </cell>
          <cell r="B3775" t="str">
            <v>FC Exchange 5年 Aruba 10GBASE-LR用</v>
          </cell>
          <cell r="C3775" t="str">
            <v>【ファウンデーションケア】</v>
          </cell>
        </row>
        <row r="3776">
          <cell r="A3776" t="str">
            <v>H6RX7PE</v>
          </cell>
          <cell r="B3776" t="str">
            <v>PW FC Exch 1年 Aruba 10GBASE-LR用</v>
          </cell>
          <cell r="C3776" t="str">
            <v>【ファウンデーションケア】</v>
          </cell>
        </row>
        <row r="3777">
          <cell r="A3777" t="str">
            <v>H6RX8E</v>
          </cell>
          <cell r="B3777" t="str">
            <v>FC Exchange 1年 Aruba 10GBASE-LRM用</v>
          </cell>
          <cell r="C3777" t="str">
            <v>【ファウンデーションケア】</v>
          </cell>
        </row>
        <row r="3778">
          <cell r="A3778" t="str">
            <v>H6RX9E</v>
          </cell>
          <cell r="B3778" t="str">
            <v>FC Exchange 3年 Aruba 10GBASE-LRM用</v>
          </cell>
          <cell r="C3778" t="str">
            <v>【ファウンデーションケア】</v>
          </cell>
        </row>
        <row r="3779">
          <cell r="A3779" t="str">
            <v>H6RY0E</v>
          </cell>
          <cell r="B3779" t="str">
            <v>FC Exchange 4年 Aruba 10GBASE-LRM用</v>
          </cell>
          <cell r="C3779" t="str">
            <v>【ファウンデーションケア】</v>
          </cell>
        </row>
        <row r="3780">
          <cell r="A3780" t="str">
            <v>H6RY1E</v>
          </cell>
          <cell r="B3780" t="str">
            <v>FC Exchange 5年 Aruba 10GBASE-LRM用</v>
          </cell>
          <cell r="C3780" t="str">
            <v>【ファウンデーションケア】</v>
          </cell>
        </row>
        <row r="3781">
          <cell r="A3781" t="str">
            <v>H6RY2PE</v>
          </cell>
          <cell r="B3781" t="str">
            <v>PW FC Exch 1年 Aruba 10GBASE-LRM用</v>
          </cell>
          <cell r="C3781" t="str">
            <v>【ファウンデーションケア】</v>
          </cell>
        </row>
        <row r="3782">
          <cell r="A3782" t="str">
            <v>H6RY3E</v>
          </cell>
          <cell r="B3782" t="str">
            <v>FC Exchange 1年 Aruba 10GBASE-SR用</v>
          </cell>
          <cell r="C3782" t="str">
            <v>【ファウンデーションケア】</v>
          </cell>
        </row>
        <row r="3783">
          <cell r="A3783" t="str">
            <v>H6RY4E</v>
          </cell>
          <cell r="B3783" t="str">
            <v>FC Exchange 3年 Aruba 10GBASE-SR用</v>
          </cell>
          <cell r="C3783" t="str">
            <v>【ファウンデーションケア】</v>
          </cell>
        </row>
        <row r="3784">
          <cell r="A3784" t="str">
            <v>H6RY5E</v>
          </cell>
          <cell r="B3784" t="str">
            <v>FC Exchange 4年 Aruba 10GBASE-SR用</v>
          </cell>
          <cell r="C3784" t="str">
            <v>【ファウンデーションケア】</v>
          </cell>
        </row>
        <row r="3785">
          <cell r="A3785" t="str">
            <v>H6RY6E</v>
          </cell>
          <cell r="B3785" t="str">
            <v>FC Exchange 5年 Aruba 10GBASE-SR用</v>
          </cell>
          <cell r="C3785" t="str">
            <v>【ファウンデーションケア】</v>
          </cell>
        </row>
        <row r="3786">
          <cell r="A3786" t="str">
            <v>H6RY7PE</v>
          </cell>
          <cell r="B3786" t="str">
            <v>PW FC Exch 1年 Aruba 10GBASE-SR用</v>
          </cell>
          <cell r="C3786" t="str">
            <v>【ファウンデーションケア】</v>
          </cell>
        </row>
        <row r="3787">
          <cell r="A3787" t="str">
            <v>H6RY8E</v>
          </cell>
          <cell r="B3787" t="str">
            <v>FC Exchange 1年 Aruba Power Adapter用</v>
          </cell>
          <cell r="C3787" t="str">
            <v>【ファウンデーションケア】</v>
          </cell>
        </row>
        <row r="3788">
          <cell r="A3788" t="str">
            <v>H6RY9E</v>
          </cell>
          <cell r="B3788" t="str">
            <v>FC Exchange 3年 Aruba Power Adapter用</v>
          </cell>
          <cell r="C3788" t="str">
            <v>【ファウンデーションケア】</v>
          </cell>
        </row>
        <row r="3789">
          <cell r="A3789" t="str">
            <v>H6RZ0E</v>
          </cell>
          <cell r="B3789" t="str">
            <v>FC Exchange 4年 Aruba Power Adapter用</v>
          </cell>
          <cell r="C3789" t="str">
            <v>【ファウンデーションケア】</v>
          </cell>
        </row>
        <row r="3790">
          <cell r="A3790" t="str">
            <v>H6RZ1E</v>
          </cell>
          <cell r="B3790" t="str">
            <v>FC Exchange 5年 Aruba Power Adapter用</v>
          </cell>
          <cell r="C3790" t="str">
            <v>【ファウンデーションケア】</v>
          </cell>
        </row>
        <row r="3791">
          <cell r="A3791" t="str">
            <v>H6RZ2PE</v>
          </cell>
          <cell r="B3791" t="str">
            <v>PW FC Exch 1年 Aruba Power Adapter用</v>
          </cell>
          <cell r="C3791" t="str">
            <v>【ファウンデーションケア】</v>
          </cell>
        </row>
        <row r="3792">
          <cell r="A3792" t="str">
            <v>H6RZ3E</v>
          </cell>
          <cell r="B3792" t="str">
            <v>FC Exchange 1年 Aruba PD-9001GR-AC用</v>
          </cell>
          <cell r="C3792" t="str">
            <v>【ファウンデーションケア】</v>
          </cell>
        </row>
        <row r="3793">
          <cell r="A3793" t="str">
            <v>H6RZ4E</v>
          </cell>
          <cell r="B3793" t="str">
            <v>FC Exchange 3年 Aruba PD-9001GR-AC用</v>
          </cell>
          <cell r="C3793" t="str">
            <v>【ファウンデーションケア】</v>
          </cell>
        </row>
        <row r="3794">
          <cell r="A3794" t="str">
            <v>H6RZ5E</v>
          </cell>
          <cell r="B3794" t="str">
            <v>FC Exchange 4年 Aruba PD-9001GR-AC用</v>
          </cell>
          <cell r="C3794" t="str">
            <v>【ファウンデーションケア】</v>
          </cell>
        </row>
        <row r="3795">
          <cell r="A3795" t="str">
            <v>H6RZ6E</v>
          </cell>
          <cell r="B3795" t="str">
            <v>FC Exchange 5年 Aruba PD-9001GR-AC用</v>
          </cell>
          <cell r="C3795" t="str">
            <v>【ファウンデーションケア】</v>
          </cell>
        </row>
        <row r="3796">
          <cell r="A3796" t="str">
            <v>H6RZ7PE</v>
          </cell>
          <cell r="B3796" t="str">
            <v>PW FC Exch 1年 Aruba PD-9001GR-AC用</v>
          </cell>
          <cell r="C3796" t="str">
            <v>【ファウンデーションケア】</v>
          </cell>
        </row>
        <row r="3797">
          <cell r="A3797" t="str">
            <v>H6SA3E</v>
          </cell>
          <cell r="B3797" t="str">
            <v>FC Exchange 1年 Aruba PD-9501G-AC用</v>
          </cell>
          <cell r="C3797" t="str">
            <v>【ファウンデーションケア】</v>
          </cell>
        </row>
        <row r="3798">
          <cell r="A3798" t="str">
            <v>H6SA4E</v>
          </cell>
          <cell r="B3798" t="str">
            <v>FC Exchange 3年 Aruba PD-9501G-AC用</v>
          </cell>
          <cell r="C3798" t="str">
            <v>【ファウンデーションケア】</v>
          </cell>
        </row>
        <row r="3799">
          <cell r="A3799" t="str">
            <v>H6SA5E</v>
          </cell>
          <cell r="B3799" t="str">
            <v>FC Exchange 4年 Aruba PD-9501G-AC用</v>
          </cell>
          <cell r="C3799" t="str">
            <v>【ファウンデーションケア】</v>
          </cell>
        </row>
        <row r="3800">
          <cell r="A3800" t="str">
            <v>H6SA6E</v>
          </cell>
          <cell r="B3800" t="str">
            <v>FC Exchange 5年 Aruba PD-9501G-AC用</v>
          </cell>
          <cell r="C3800" t="str">
            <v>【ファウンデーションケア】</v>
          </cell>
        </row>
        <row r="3801">
          <cell r="A3801" t="str">
            <v>H6SA7PE</v>
          </cell>
          <cell r="B3801" t="str">
            <v>PW FC Exch 1年 Aruba PD-9501G-AC用</v>
          </cell>
          <cell r="C3801" t="str">
            <v>【ファウンデーションケア】</v>
          </cell>
        </row>
        <row r="3802">
          <cell r="A3802" t="str">
            <v>H6SA8E</v>
          </cell>
          <cell r="B3802" t="str">
            <v>FC Exchange 1年 Aruba Fan Tray用</v>
          </cell>
          <cell r="C3802" t="str">
            <v>【ファウンデーションケア】</v>
          </cell>
        </row>
        <row r="3803">
          <cell r="A3803" t="str">
            <v>H6SA9E</v>
          </cell>
          <cell r="B3803" t="str">
            <v>FC Exchange 3年 Aruba Fan Tray用</v>
          </cell>
          <cell r="C3803" t="str">
            <v>【ファウンデーションケア】</v>
          </cell>
        </row>
        <row r="3804">
          <cell r="A3804" t="str">
            <v>H6SB0E</v>
          </cell>
          <cell r="B3804" t="str">
            <v>FC Exchange 4年 Aruba Fan Tray用</v>
          </cell>
          <cell r="C3804" t="str">
            <v>【ファウンデーションケア】</v>
          </cell>
        </row>
        <row r="3805">
          <cell r="A3805" t="str">
            <v>H6SB1E</v>
          </cell>
          <cell r="B3805" t="str">
            <v>FC Exchange 5年 Aruba Fan Tray用</v>
          </cell>
          <cell r="C3805" t="str">
            <v>【ファウンデーションケア】</v>
          </cell>
        </row>
        <row r="3806">
          <cell r="A3806" t="str">
            <v>H6SB2PE</v>
          </cell>
          <cell r="B3806" t="str">
            <v>PW FC Exch 1年 Aruba Fan Tray用</v>
          </cell>
          <cell r="C3806" t="str">
            <v>【ファウンデーションケア】</v>
          </cell>
        </row>
        <row r="3807">
          <cell r="A3807" t="str">
            <v>H6SB8E</v>
          </cell>
          <cell r="B3807" t="str">
            <v>FC Exchange 1年 Aruba PSU-350-DC用</v>
          </cell>
          <cell r="C3807" t="str">
            <v>【ファウンデーションケア】</v>
          </cell>
        </row>
        <row r="3808">
          <cell r="A3808" t="str">
            <v>H6SB9E</v>
          </cell>
          <cell r="B3808" t="str">
            <v>FC Exchange 3年 Aruba PSU-350-DC用</v>
          </cell>
          <cell r="C3808" t="str">
            <v>【ファウンデーションケア】</v>
          </cell>
        </row>
        <row r="3809">
          <cell r="A3809" t="str">
            <v>H6SC0E</v>
          </cell>
          <cell r="B3809" t="str">
            <v>FC Exchange 4年 Aruba PSU-350-DC用</v>
          </cell>
          <cell r="C3809" t="str">
            <v>【ファウンデーションケア】</v>
          </cell>
        </row>
        <row r="3810">
          <cell r="A3810" t="str">
            <v>H6SC1E</v>
          </cell>
          <cell r="B3810" t="str">
            <v>FC Exchange 5年 Aruba PSU-350-DC用</v>
          </cell>
          <cell r="C3810" t="str">
            <v>【ファウンデーションケア】</v>
          </cell>
        </row>
        <row r="3811">
          <cell r="A3811" t="str">
            <v>H6SC2PE</v>
          </cell>
          <cell r="B3811" t="str">
            <v>PW FC Exch 1年 Aruba PSU-350-DC用</v>
          </cell>
          <cell r="C3811" t="str">
            <v>【ファウンデーションケア】</v>
          </cell>
        </row>
        <row r="3812">
          <cell r="A3812" t="str">
            <v>H6SC3E</v>
          </cell>
          <cell r="B3812" t="str">
            <v>FC Exchange 1年 Aruba SFP-10GE-ER用</v>
          </cell>
          <cell r="C3812" t="str">
            <v>【ファウンデーションケア】</v>
          </cell>
        </row>
        <row r="3813">
          <cell r="A3813" t="str">
            <v>H6SC4E</v>
          </cell>
          <cell r="B3813" t="str">
            <v>FC Exchange 3年 Aruba SFP-10GE-ER用</v>
          </cell>
          <cell r="C3813" t="str">
            <v>【ファウンデーションケア】</v>
          </cell>
        </row>
        <row r="3814">
          <cell r="A3814" t="str">
            <v>H6SC5E</v>
          </cell>
          <cell r="B3814" t="str">
            <v>FC Exchange 4年 Aruba SFP-10GE-ER用</v>
          </cell>
          <cell r="C3814" t="str">
            <v>【ファウンデーションケア】</v>
          </cell>
        </row>
        <row r="3815">
          <cell r="A3815" t="str">
            <v>H6SC6E</v>
          </cell>
          <cell r="B3815" t="str">
            <v>FC Exchange 5年 Aruba SFP-10GE-ER用</v>
          </cell>
          <cell r="C3815" t="str">
            <v>【ファウンデーションケア】</v>
          </cell>
        </row>
        <row r="3816">
          <cell r="A3816" t="str">
            <v>H6SC7PE</v>
          </cell>
          <cell r="B3816" t="str">
            <v>PW FC Exch 1年 Aruba SFP-10GE-ER用</v>
          </cell>
          <cell r="C3816" t="str">
            <v>【ファウンデーションケア】</v>
          </cell>
        </row>
        <row r="3817">
          <cell r="A3817" t="str">
            <v>H6SC8E</v>
          </cell>
          <cell r="B3817" t="str">
            <v>FC Exchange 1年 Aruba PSU-350-AC用</v>
          </cell>
          <cell r="C3817" t="str">
            <v>【ファウンデーションケア】</v>
          </cell>
        </row>
        <row r="3818">
          <cell r="A3818" t="str">
            <v>H6SC9E</v>
          </cell>
          <cell r="B3818" t="str">
            <v>FC Exchange 3年 Aruba PSU-350-AC用</v>
          </cell>
          <cell r="C3818" t="str">
            <v>【ファウンデーションケア】</v>
          </cell>
        </row>
        <row r="3819">
          <cell r="A3819" t="str">
            <v>H6SD0E</v>
          </cell>
          <cell r="B3819" t="str">
            <v>FC Exchange 4年 Aruba PSU-350-AC用</v>
          </cell>
          <cell r="C3819" t="str">
            <v>【ファウンデーションケア】</v>
          </cell>
        </row>
        <row r="3820">
          <cell r="A3820" t="str">
            <v>H6SD1E</v>
          </cell>
          <cell r="B3820" t="str">
            <v>FC Exchange 5年 Aruba PSU-350-AC用</v>
          </cell>
          <cell r="C3820" t="str">
            <v>【ファウンデーションケア】</v>
          </cell>
        </row>
        <row r="3821">
          <cell r="A3821" t="str">
            <v>H6SD2PE</v>
          </cell>
          <cell r="B3821" t="str">
            <v>PW FC Exch 1年 Aruba PSU-350-AC用</v>
          </cell>
          <cell r="C3821" t="str">
            <v>【ファウンデーションケア】</v>
          </cell>
        </row>
        <row r="3822">
          <cell r="A3822" t="str">
            <v>H6SD8E</v>
          </cell>
          <cell r="B3822" t="str">
            <v>FC Exchange 1年 Aruba SFP-10GE-ZR用</v>
          </cell>
          <cell r="C3822" t="str">
            <v>【ファウンデーションケア】</v>
          </cell>
        </row>
        <row r="3823">
          <cell r="A3823" t="str">
            <v>H6SD9E</v>
          </cell>
          <cell r="B3823" t="str">
            <v>FC Exchange 3年 Aruba SFP-10GE-ZR用</v>
          </cell>
          <cell r="C3823" t="str">
            <v>【ファウンデーションケア】</v>
          </cell>
        </row>
        <row r="3824">
          <cell r="A3824" t="str">
            <v>H6SE0E</v>
          </cell>
          <cell r="B3824" t="str">
            <v>FC Exchange 4年 Aruba SFP-10GE-ZR用</v>
          </cell>
          <cell r="C3824" t="str">
            <v>【ファウンデーションケア】</v>
          </cell>
        </row>
        <row r="3825">
          <cell r="A3825" t="str">
            <v>H6SE1E</v>
          </cell>
          <cell r="B3825" t="str">
            <v>FC Exchange 5年 Aruba SFP-10GE-ZR用</v>
          </cell>
          <cell r="C3825" t="str">
            <v>【ファウンデーションケア】</v>
          </cell>
        </row>
        <row r="3826">
          <cell r="A3826" t="str">
            <v>H6SE2PE</v>
          </cell>
          <cell r="B3826" t="str">
            <v>PW FC Exch 1年 Aruba SFP-10GE-ZR用</v>
          </cell>
          <cell r="C3826" t="str">
            <v>【ファウンデーションケア】</v>
          </cell>
        </row>
        <row r="3827">
          <cell r="A3827" t="str">
            <v>H6SG3E</v>
          </cell>
          <cell r="B3827" t="str">
            <v>FC Exchange 1年 Aruba PD-3501G用</v>
          </cell>
          <cell r="C3827" t="str">
            <v>【ファウンデーションケア】</v>
          </cell>
        </row>
        <row r="3828">
          <cell r="A3828" t="str">
            <v>H6SG4E</v>
          </cell>
          <cell r="B3828" t="str">
            <v>FC Exchange 3年 Aruba PD-3501G用</v>
          </cell>
          <cell r="C3828" t="str">
            <v>【ファウンデーションケア】</v>
          </cell>
        </row>
        <row r="3829">
          <cell r="A3829" t="str">
            <v>H6SG5E</v>
          </cell>
          <cell r="B3829" t="str">
            <v>FC Exchange 4年 Aruba PD-3501G用</v>
          </cell>
          <cell r="C3829" t="str">
            <v>【ファウンデーションケア】</v>
          </cell>
        </row>
        <row r="3830">
          <cell r="A3830" t="str">
            <v>H6SG6E</v>
          </cell>
          <cell r="B3830" t="str">
            <v>FC Exchange 5年 Aruba PD-3501G用</v>
          </cell>
          <cell r="C3830" t="str">
            <v>【ファウンデーションケア】</v>
          </cell>
        </row>
        <row r="3831">
          <cell r="A3831" t="str">
            <v>H6SG7PE</v>
          </cell>
          <cell r="B3831" t="str">
            <v>PW FC Exch 1年 Aruba PD-3501G用</v>
          </cell>
          <cell r="C3831" t="str">
            <v>【ファウンデーションケア】</v>
          </cell>
        </row>
        <row r="3832">
          <cell r="A3832" t="str">
            <v>H6SH8E</v>
          </cell>
          <cell r="B3832" t="str">
            <v>FC Exchange 3年 MMPSU-400AC PSU用</v>
          </cell>
          <cell r="C3832" t="str">
            <v>【ファウンデーションケア】</v>
          </cell>
        </row>
        <row r="3833">
          <cell r="A3833" t="str">
            <v>H6SK5E</v>
          </cell>
          <cell r="B3833" t="str">
            <v>FC Exchange 4年 MMPSU-400AC PSU用</v>
          </cell>
          <cell r="C3833" t="str">
            <v>【ファウンデーションケア】</v>
          </cell>
        </row>
        <row r="3834">
          <cell r="A3834" t="str">
            <v>H6SM2E</v>
          </cell>
          <cell r="B3834" t="str">
            <v>FC Exchange 5年 MMPSU-400AC PSU用</v>
          </cell>
          <cell r="C3834" t="str">
            <v>【ファウンデーションケア】</v>
          </cell>
        </row>
        <row r="3835">
          <cell r="A3835" t="str">
            <v>H7KU5E</v>
          </cell>
          <cell r="B3835" t="str">
            <v>FC Exchange 1年 Aruba PSU-150-AC 用</v>
          </cell>
          <cell r="C3835" t="str">
            <v>【ファウンデーションケア】</v>
          </cell>
        </row>
        <row r="3836">
          <cell r="A3836" t="str">
            <v>H7KU6E</v>
          </cell>
          <cell r="B3836" t="str">
            <v>FC Exchange 3年 Aruba PSU-150-AC 用</v>
          </cell>
          <cell r="C3836" t="str">
            <v>【ファウンデーションケア】</v>
          </cell>
        </row>
        <row r="3837">
          <cell r="A3837" t="str">
            <v>H7KU7E</v>
          </cell>
          <cell r="B3837" t="str">
            <v>FC Exchange 4年 Aruba PSU-150-AC 用</v>
          </cell>
          <cell r="C3837" t="str">
            <v>【ファウンデーションケア】</v>
          </cell>
        </row>
        <row r="3838">
          <cell r="A3838" t="str">
            <v>H7KU8E</v>
          </cell>
          <cell r="B3838" t="str">
            <v>FC Exchange 5年 Aruba PSU-150-AC 用</v>
          </cell>
          <cell r="C3838" t="str">
            <v>【ファウンデーションケア】</v>
          </cell>
        </row>
        <row r="3839">
          <cell r="A3839" t="str">
            <v>H7KU9PE</v>
          </cell>
          <cell r="B3839" t="str">
            <v>PW FC Exch 1年 Aruba PSU-150-AC 用</v>
          </cell>
          <cell r="C3839" t="str">
            <v>【ファウンデーションケア】</v>
          </cell>
        </row>
        <row r="3840">
          <cell r="A3840" t="str">
            <v>H7LE8E</v>
          </cell>
          <cell r="B3840" t="str">
            <v>FC 24x7  1年 MC-VA-50 VM Master Appl用</v>
          </cell>
          <cell r="C3840" t="str">
            <v>【ファウンデーションケア】</v>
          </cell>
        </row>
        <row r="3841">
          <cell r="A3841" t="str">
            <v>H7LE9E</v>
          </cell>
          <cell r="B3841" t="str">
            <v>FC 24x7  3年 MC-VA-50 VM Master Appl用</v>
          </cell>
          <cell r="C3841" t="str">
            <v>【ファウンデーションケア】</v>
          </cell>
        </row>
        <row r="3842">
          <cell r="A3842" t="str">
            <v>H7LF2E</v>
          </cell>
          <cell r="B3842" t="str">
            <v>FC 24x7  4年 MC-VA-50 VM Master Appl用</v>
          </cell>
          <cell r="C3842" t="str">
            <v>【ファウンデーションケア】</v>
          </cell>
        </row>
        <row r="3843">
          <cell r="A3843" t="str">
            <v>H7LF5E</v>
          </cell>
          <cell r="B3843" t="str">
            <v>FC 24x7  5年 MC-VA-50 VM Master Appl用</v>
          </cell>
          <cell r="C3843" t="str">
            <v>【ファウンデーションケア】</v>
          </cell>
        </row>
        <row r="3844">
          <cell r="A3844" t="str">
            <v>H7PT3E</v>
          </cell>
          <cell r="B3844" t="str">
            <v>FC Exchange 1年 PSU-550-AC PS用</v>
          </cell>
          <cell r="C3844" t="str">
            <v>【ファウンデーションケア】</v>
          </cell>
        </row>
        <row r="3845">
          <cell r="A3845" t="str">
            <v>H7PT4E</v>
          </cell>
          <cell r="B3845" t="str">
            <v>FC Exchange 3年 PSU-550-AC PS用</v>
          </cell>
          <cell r="C3845" t="str">
            <v>【ファウンデーションケア】</v>
          </cell>
        </row>
        <row r="3846">
          <cell r="A3846" t="str">
            <v>H7PT5E</v>
          </cell>
          <cell r="B3846" t="str">
            <v>FC Exchange 4年 PSU-550-AC PS用</v>
          </cell>
          <cell r="C3846" t="str">
            <v>【ファウンデーションケア】</v>
          </cell>
        </row>
        <row r="3847">
          <cell r="A3847" t="str">
            <v>H7PT6E</v>
          </cell>
          <cell r="B3847" t="str">
            <v>FC Exchange 5年 PSU-550-AC PS用</v>
          </cell>
          <cell r="C3847" t="str">
            <v>【ファウンデーションケア】</v>
          </cell>
        </row>
        <row r="3848">
          <cell r="A3848" t="str">
            <v>H7PT8E</v>
          </cell>
          <cell r="B3848" t="str">
            <v>FC Exchange 1年 HW-7280-FT 7280用</v>
          </cell>
          <cell r="C3848" t="str">
            <v>【ファウンデーションケア】</v>
          </cell>
        </row>
        <row r="3849">
          <cell r="A3849" t="str">
            <v>H7PT9E</v>
          </cell>
          <cell r="B3849" t="str">
            <v>FC Exchange 3年 HW-7280-FT 7280用</v>
          </cell>
          <cell r="C3849" t="str">
            <v>【ファウンデーションケア】</v>
          </cell>
        </row>
        <row r="3850">
          <cell r="A3850" t="str">
            <v>H7PU0E</v>
          </cell>
          <cell r="B3850" t="str">
            <v>FC Exchange 4年 HW-7280-FT 7280用</v>
          </cell>
          <cell r="C3850" t="str">
            <v>【ファウンデーションケア】</v>
          </cell>
        </row>
        <row r="3851">
          <cell r="A3851" t="str">
            <v>H7PU1E</v>
          </cell>
          <cell r="B3851" t="str">
            <v>FC Exchange 5年 HW-7280-FT 7280用</v>
          </cell>
          <cell r="C3851" t="str">
            <v>【ファウンデーションケア】</v>
          </cell>
        </row>
        <row r="3852">
          <cell r="A3852" t="str">
            <v>H8QZ5E</v>
          </cell>
          <cell r="B3852" t="str">
            <v>FC Exchange 1年 7280用</v>
          </cell>
          <cell r="C3852" t="str">
            <v>【ファウンデーションケア】</v>
          </cell>
        </row>
        <row r="3853">
          <cell r="A3853" t="str">
            <v>H8QZ7E</v>
          </cell>
          <cell r="B3853" t="str">
            <v>FC 翌日 1年 7280用</v>
          </cell>
          <cell r="C3853" t="str">
            <v>【ファウンデーションケア】</v>
          </cell>
        </row>
        <row r="3854">
          <cell r="A3854" t="str">
            <v>H8QZ9E</v>
          </cell>
          <cell r="B3854" t="str">
            <v>FC 24x7 1年 7280用</v>
          </cell>
          <cell r="C3854" t="str">
            <v>【ファウンデーションケア】</v>
          </cell>
        </row>
        <row r="3855">
          <cell r="A3855" t="str">
            <v>H8RA4E</v>
          </cell>
          <cell r="B3855" t="str">
            <v>FC Exchange 3年 7280用</v>
          </cell>
          <cell r="C3855" t="str">
            <v>【ファウンデーションケア】</v>
          </cell>
        </row>
        <row r="3856">
          <cell r="A3856" t="str">
            <v>H8RA8E</v>
          </cell>
          <cell r="B3856" t="str">
            <v>FC 翌日 3年 7280用</v>
          </cell>
          <cell r="C3856" t="str">
            <v>【ファウンデーションケア】</v>
          </cell>
        </row>
        <row r="3857">
          <cell r="A3857" t="str">
            <v>H8RB0E</v>
          </cell>
          <cell r="B3857" t="str">
            <v>FC 9x5 3年 7280用</v>
          </cell>
          <cell r="C3857" t="str">
            <v>【ファウンデーションケア】</v>
          </cell>
        </row>
        <row r="3858">
          <cell r="A3858" t="str">
            <v>H8RB5E</v>
          </cell>
          <cell r="B3858" t="str">
            <v>FC 24x7 3年 7280用</v>
          </cell>
          <cell r="C3858" t="str">
            <v>【ファウンデーションケア】</v>
          </cell>
        </row>
        <row r="3859">
          <cell r="A3859" t="str">
            <v>H8RC8E</v>
          </cell>
          <cell r="B3859" t="str">
            <v>FC Exchange 4年 7280用</v>
          </cell>
          <cell r="C3859" t="str">
            <v>【ファウンデーションケア】</v>
          </cell>
        </row>
        <row r="3860">
          <cell r="A3860" t="str">
            <v>H8RD2E</v>
          </cell>
          <cell r="B3860" t="str">
            <v>FC 翌日 4年 7280用</v>
          </cell>
          <cell r="C3860" t="str">
            <v>【ファウンデーションケア】</v>
          </cell>
        </row>
        <row r="3861">
          <cell r="A3861" t="str">
            <v>H8RD4E</v>
          </cell>
          <cell r="B3861" t="str">
            <v>FC 9x5 4年 7280用</v>
          </cell>
          <cell r="C3861" t="str">
            <v>【ファウンデーションケア】</v>
          </cell>
        </row>
        <row r="3862">
          <cell r="A3862" t="str">
            <v>H8RD9E</v>
          </cell>
          <cell r="B3862" t="str">
            <v>FC 24x7 4年 7280用</v>
          </cell>
          <cell r="C3862" t="str">
            <v>【ファウンデーションケア】</v>
          </cell>
        </row>
        <row r="3863">
          <cell r="A3863" t="str">
            <v>H8RF2E</v>
          </cell>
          <cell r="B3863" t="str">
            <v>FC Exchange 5年 7280用</v>
          </cell>
          <cell r="C3863" t="str">
            <v>【ファウンデーションケア】</v>
          </cell>
        </row>
        <row r="3864">
          <cell r="A3864" t="str">
            <v>H8RF6E</v>
          </cell>
          <cell r="B3864" t="str">
            <v>FC 翌日 5年 7280用</v>
          </cell>
          <cell r="C3864" t="str">
            <v>【ファウンデーションケア】</v>
          </cell>
        </row>
        <row r="3865">
          <cell r="A3865" t="str">
            <v>H8RF8E</v>
          </cell>
          <cell r="B3865" t="str">
            <v>FC 9x5 5年 7280用</v>
          </cell>
          <cell r="C3865" t="str">
            <v>【ファウンデーションケア】</v>
          </cell>
        </row>
        <row r="3866">
          <cell r="A3866" t="str">
            <v>H8RG3E</v>
          </cell>
          <cell r="B3866" t="str">
            <v>FC 24x7 5年 7280用</v>
          </cell>
          <cell r="C3866" t="str">
            <v>【ファウンデーションケア】</v>
          </cell>
        </row>
        <row r="3867">
          <cell r="A3867" t="str">
            <v>H8RK3E</v>
          </cell>
          <cell r="B3867" t="str">
            <v>FC Exchange 1年 7280 TAA用</v>
          </cell>
          <cell r="C3867" t="str">
            <v>【ファウンデーションケア】</v>
          </cell>
        </row>
        <row r="3868">
          <cell r="A3868" t="str">
            <v>H8RK5E</v>
          </cell>
          <cell r="B3868" t="str">
            <v>FC 翌日 1年 7280 TAA用</v>
          </cell>
          <cell r="C3868" t="str">
            <v>【ファウンデーションケア】</v>
          </cell>
        </row>
        <row r="3869">
          <cell r="A3869" t="str">
            <v>H8RK7E</v>
          </cell>
          <cell r="B3869" t="str">
            <v>FC 24x7 1年 7280 TAA用</v>
          </cell>
          <cell r="C3869" t="str">
            <v>【ファウンデーションケア】</v>
          </cell>
        </row>
        <row r="3870">
          <cell r="A3870" t="str">
            <v>H8RL2E</v>
          </cell>
          <cell r="B3870" t="str">
            <v>FC Exchange 3年 7280 TAA用</v>
          </cell>
          <cell r="C3870" t="str">
            <v>【ファウンデーションケア】</v>
          </cell>
        </row>
        <row r="3871">
          <cell r="A3871" t="str">
            <v>H8RL6E</v>
          </cell>
          <cell r="B3871" t="str">
            <v>FC 翌日 3年 7280 TAA用</v>
          </cell>
          <cell r="C3871" t="str">
            <v>【ファウンデーションケア】</v>
          </cell>
        </row>
        <row r="3872">
          <cell r="A3872" t="str">
            <v>H8RL8E</v>
          </cell>
          <cell r="B3872" t="str">
            <v>FC 9x5 3年 7280 TAA用</v>
          </cell>
          <cell r="C3872" t="str">
            <v>【ファウンデーションケア】</v>
          </cell>
        </row>
        <row r="3873">
          <cell r="A3873" t="str">
            <v>H8RM3E</v>
          </cell>
          <cell r="B3873" t="str">
            <v>FC 24x7 3年 7280 TAA用</v>
          </cell>
          <cell r="C3873" t="str">
            <v>【ファウンデーションケア】</v>
          </cell>
        </row>
        <row r="3874">
          <cell r="A3874" t="str">
            <v>H8RN6E</v>
          </cell>
          <cell r="B3874" t="str">
            <v>FC Exchange 4年 7280 TAA用</v>
          </cell>
          <cell r="C3874" t="str">
            <v>【ファウンデーションケア】</v>
          </cell>
        </row>
        <row r="3875">
          <cell r="A3875" t="str">
            <v>H8RP0E</v>
          </cell>
          <cell r="B3875" t="str">
            <v>FC 翌日 4年 7280 TAA用</v>
          </cell>
          <cell r="C3875" t="str">
            <v>【ファウンデーションケア】</v>
          </cell>
        </row>
        <row r="3876">
          <cell r="A3876" t="str">
            <v>H8RP2E</v>
          </cell>
          <cell r="B3876" t="str">
            <v>FC 9x5 4年 7280 TAA用</v>
          </cell>
          <cell r="C3876" t="str">
            <v>【ファウンデーションケア】</v>
          </cell>
        </row>
        <row r="3877">
          <cell r="A3877" t="str">
            <v>H8RP7E</v>
          </cell>
          <cell r="B3877" t="str">
            <v>FC 24x7 4年 7280 TAA用</v>
          </cell>
          <cell r="C3877" t="str">
            <v>【ファウンデーションケア】</v>
          </cell>
        </row>
        <row r="3878">
          <cell r="A3878" t="str">
            <v>H8RR0E</v>
          </cell>
          <cell r="B3878" t="str">
            <v>FC Exchange 5年 7280 TAA用</v>
          </cell>
          <cell r="C3878" t="str">
            <v>【ファウンデーションケア】</v>
          </cell>
        </row>
        <row r="3879">
          <cell r="A3879" t="str">
            <v>H8RR4E</v>
          </cell>
          <cell r="B3879" t="str">
            <v>FC 翌日 5年 7280 TAA用</v>
          </cell>
          <cell r="C3879" t="str">
            <v>【ファウンデーションケア】</v>
          </cell>
        </row>
        <row r="3880">
          <cell r="A3880" t="str">
            <v>H8RR6E</v>
          </cell>
          <cell r="B3880" t="str">
            <v>FC 9x5 5年 7280 TAA用</v>
          </cell>
          <cell r="C3880" t="str">
            <v>【ファウンデーションケア】</v>
          </cell>
        </row>
        <row r="3881">
          <cell r="A3881" t="str">
            <v>H8RS1E</v>
          </cell>
          <cell r="B3881" t="str">
            <v>FC 24x7 5年 7280 TAA用</v>
          </cell>
          <cell r="C3881" t="str">
            <v>【ファウンデーションケア】</v>
          </cell>
        </row>
        <row r="3882">
          <cell r="A3882" t="str">
            <v>H8XE8E</v>
          </cell>
          <cell r="B3882" t="str">
            <v>FC 24x7 1年 LIC-VIA 用</v>
          </cell>
          <cell r="C3882" t="str">
            <v>【ファウンデーションケア】</v>
          </cell>
        </row>
        <row r="3883">
          <cell r="A3883" t="str">
            <v>H8XE9E</v>
          </cell>
          <cell r="B3883" t="str">
            <v>FC 24x7 3年 LIC-VIA 用</v>
          </cell>
          <cell r="C3883" t="str">
            <v>【ファウンデーションケア】</v>
          </cell>
        </row>
        <row r="3884">
          <cell r="A3884" t="str">
            <v>H8XF2E</v>
          </cell>
          <cell r="B3884" t="str">
            <v>FC 24x7 4年 LIC-VIA 用</v>
          </cell>
          <cell r="C3884" t="str">
            <v>【ファウンデーションケア】</v>
          </cell>
        </row>
        <row r="3885">
          <cell r="A3885" t="str">
            <v>H8XF5E</v>
          </cell>
          <cell r="B3885" t="str">
            <v>FC 24x7 5年 LIC-VIA 用</v>
          </cell>
          <cell r="C3885" t="str">
            <v>【ファウンデーションケア】</v>
          </cell>
        </row>
        <row r="3886">
          <cell r="A3886" t="str">
            <v>U1YV7E</v>
          </cell>
          <cell r="B3886" t="str">
            <v>FC 24x7 3年 501 Wrls Cl Bridge用</v>
          </cell>
          <cell r="C3886" t="str">
            <v>【ファウンデーションケア】</v>
          </cell>
        </row>
        <row r="3887">
          <cell r="A3887" t="str">
            <v>U1ZL3E</v>
          </cell>
          <cell r="B3887" t="str">
            <v>FC 24x7 4年 501 Wrls Cl Bridge用</v>
          </cell>
          <cell r="C3887" t="str">
            <v>【ファウンデーションケア】</v>
          </cell>
        </row>
        <row r="3888">
          <cell r="A3888" t="str">
            <v>U2AH9E</v>
          </cell>
          <cell r="B3888" t="str">
            <v>FC 24x7 5年 501 Wrls Cl Bridge用</v>
          </cell>
          <cell r="C3888" t="str">
            <v>【ファウンデーションケア】</v>
          </cell>
        </row>
        <row r="3889">
          <cell r="A3889" t="str">
            <v>U3TK6E</v>
          </cell>
          <cell r="B3889" t="str">
            <v>FC 24x7 1年 501 Wrls Cl Bridge用</v>
          </cell>
          <cell r="C3889" t="str">
            <v>【ファウンデーションケア】</v>
          </cell>
        </row>
        <row r="3890">
          <cell r="A3890" t="str">
            <v>U3TP4PE</v>
          </cell>
          <cell r="B3890" t="str">
            <v>更新用 FC 24x7 1年 501 Wrls Cl Bridge</v>
          </cell>
          <cell r="C3890" t="str">
            <v>【ファウンデーションケア】</v>
          </cell>
        </row>
        <row r="3891">
          <cell r="A3891" t="str">
            <v>U3UL9E</v>
          </cell>
          <cell r="B3891" t="str">
            <v>FC 9x5 3年 501 Wrls Cl Bridge用</v>
          </cell>
          <cell r="C3891" t="str">
            <v>【ファウンデーションケア】</v>
          </cell>
        </row>
        <row r="3892">
          <cell r="A3892" t="str">
            <v>U3UQ0E</v>
          </cell>
          <cell r="B3892" t="str">
            <v>FC 9x5 4年 501 Wrls Cl Bridge用</v>
          </cell>
          <cell r="C3892" t="str">
            <v>【ファウンデーションケア】</v>
          </cell>
        </row>
        <row r="3893">
          <cell r="A3893" t="str">
            <v>U3UT2E</v>
          </cell>
          <cell r="B3893" t="str">
            <v>FC 9x5 5年 501 Wrls Cl Bridge用</v>
          </cell>
          <cell r="C3893" t="str">
            <v>【ファウンデーションケア】</v>
          </cell>
        </row>
        <row r="3894">
          <cell r="A3894" t="str">
            <v>U3UX7PE</v>
          </cell>
          <cell r="B3894" t="str">
            <v>更新用 FC 9x5 1年 501 Wrls Cl Bridge</v>
          </cell>
          <cell r="C3894" t="str">
            <v>【ファウンデーションケア】</v>
          </cell>
        </row>
        <row r="3895">
          <cell r="A3895" t="str">
            <v>H2VZ3E</v>
          </cell>
          <cell r="B3895" t="str">
            <v>FC 24x7 1年 Aruba AW-100-FR Lic用</v>
          </cell>
          <cell r="C3895" t="str">
            <v>【ファウンデーションケア】</v>
          </cell>
        </row>
        <row r="3896">
          <cell r="A3896" t="str">
            <v>H2VZ4E</v>
          </cell>
          <cell r="B3896" t="str">
            <v>FC 24x7 3年 Aruba AW-100-FR Lic用</v>
          </cell>
          <cell r="C3896" t="str">
            <v>【ファウンデーションケア】</v>
          </cell>
        </row>
        <row r="3897">
          <cell r="A3897" t="str">
            <v>H2VZ7E</v>
          </cell>
          <cell r="B3897" t="str">
            <v>FC 24x7 4年 Aruba AW-100-FR Lic用</v>
          </cell>
          <cell r="C3897" t="str">
            <v>【ファウンデーションケア】</v>
          </cell>
        </row>
        <row r="3898">
          <cell r="A3898" t="str">
            <v>H2WA0E</v>
          </cell>
          <cell r="B3898" t="str">
            <v>FC 24x7 5年 Aruba AW-100-FR Lic用</v>
          </cell>
          <cell r="C3898" t="str">
            <v>【ファウンデーションケア】</v>
          </cell>
        </row>
        <row r="3899">
          <cell r="A3899" t="str">
            <v>H2WA3E</v>
          </cell>
          <cell r="B3899" t="str">
            <v>FC 24x7 1年 Aruba AW-1000-FR Lic用</v>
          </cell>
          <cell r="C3899" t="str">
            <v>【ファウンデーションケア】</v>
          </cell>
        </row>
        <row r="3900">
          <cell r="A3900" t="str">
            <v>H2WA4E</v>
          </cell>
          <cell r="B3900" t="str">
            <v>FC 24x7 3年 Aruba AW-1000-FR Lic用</v>
          </cell>
          <cell r="C3900" t="str">
            <v>【ファウンデーションケア】</v>
          </cell>
        </row>
        <row r="3901">
          <cell r="A3901" t="str">
            <v>H2WA7E</v>
          </cell>
          <cell r="B3901" t="str">
            <v>FC 24x7 4年 Aruba AW-1000-FR Lic用</v>
          </cell>
          <cell r="C3901" t="str">
            <v>【ファウンデーションケア】</v>
          </cell>
        </row>
        <row r="3902">
          <cell r="A3902" t="str">
            <v>H2WB0E</v>
          </cell>
          <cell r="B3902" t="str">
            <v>FC 24x7 5年 Aruba AW-1000-FR Lic用</v>
          </cell>
          <cell r="C3902" t="str">
            <v>【ファウンデーションケア】</v>
          </cell>
        </row>
        <row r="3903">
          <cell r="A3903" t="str">
            <v>H2WB3E</v>
          </cell>
          <cell r="B3903" t="str">
            <v>FC 24x7 1年 Aruba AW-200-FR Lic用</v>
          </cell>
          <cell r="C3903" t="str">
            <v>【ファウンデーションケア】</v>
          </cell>
        </row>
        <row r="3904">
          <cell r="A3904" t="str">
            <v>H2WB4E</v>
          </cell>
          <cell r="B3904" t="str">
            <v>FC 24x7 3年 Aruba AW-200-FR Lic用</v>
          </cell>
          <cell r="C3904" t="str">
            <v>【ファウンデーションケア】</v>
          </cell>
        </row>
        <row r="3905">
          <cell r="A3905" t="str">
            <v>H2WB7E</v>
          </cell>
          <cell r="B3905" t="str">
            <v>FC 24x7 4年 Aruba AW-200-FR Lic用</v>
          </cell>
          <cell r="C3905" t="str">
            <v>【ファウンデーションケア】</v>
          </cell>
        </row>
        <row r="3906">
          <cell r="A3906" t="str">
            <v>H2WC0E</v>
          </cell>
          <cell r="B3906" t="str">
            <v>FC 24x7 5年 Aruba AW-200-FR Lic用</v>
          </cell>
          <cell r="C3906" t="str">
            <v>【ファウンデーションケア】</v>
          </cell>
        </row>
        <row r="3907">
          <cell r="A3907" t="str">
            <v>H2WC3E</v>
          </cell>
          <cell r="B3907" t="str">
            <v>FC 24x7 1年 Aruba AW-25-FR Lic用</v>
          </cell>
          <cell r="C3907" t="str">
            <v>【ファウンデーションケア】</v>
          </cell>
        </row>
        <row r="3908">
          <cell r="A3908" t="str">
            <v>H2WC4E</v>
          </cell>
          <cell r="B3908" t="str">
            <v>FC 24x7 3年 Aruba AW-25-FR Lic用</v>
          </cell>
          <cell r="C3908" t="str">
            <v>【ファウンデーションケア】</v>
          </cell>
        </row>
        <row r="3909">
          <cell r="A3909" t="str">
            <v>H2WC7E</v>
          </cell>
          <cell r="B3909" t="str">
            <v>FC 24x7 4年 Aruba AW-25-FR Lic用</v>
          </cell>
          <cell r="C3909" t="str">
            <v>【ファウンデーションケア】</v>
          </cell>
        </row>
        <row r="3910">
          <cell r="A3910" t="str">
            <v>H2WD0E</v>
          </cell>
          <cell r="B3910" t="str">
            <v>FC 24x7 5年 Aruba AW-25-FR Lic用</v>
          </cell>
          <cell r="C3910" t="str">
            <v>【ファウンデーションケア】</v>
          </cell>
        </row>
        <row r="3911">
          <cell r="A3911" t="str">
            <v>H2WD3E</v>
          </cell>
          <cell r="B3911" t="str">
            <v>FC 24x7 1年 Aruba AW-2500-FR Lic用</v>
          </cell>
          <cell r="C3911" t="str">
            <v>【ファウンデーションケア】</v>
          </cell>
        </row>
        <row r="3912">
          <cell r="A3912" t="str">
            <v>H2WD4E</v>
          </cell>
          <cell r="B3912" t="str">
            <v>FC 24x7 3年 Aruba AW-2500-FR Lic用</v>
          </cell>
          <cell r="C3912" t="str">
            <v>【ファウンデーションケア】</v>
          </cell>
        </row>
        <row r="3913">
          <cell r="A3913" t="str">
            <v>H2WD7E</v>
          </cell>
          <cell r="B3913" t="str">
            <v>FC 24x7 4年 Aruba AW-2500-FR Lic用</v>
          </cell>
          <cell r="C3913" t="str">
            <v>【ファウンデーションケア】</v>
          </cell>
        </row>
        <row r="3914">
          <cell r="A3914" t="str">
            <v>H2WE0E</v>
          </cell>
          <cell r="B3914" t="str">
            <v>FC 24x7 5年 Aruba AW-2500-FR Lic用</v>
          </cell>
          <cell r="C3914" t="str">
            <v>【ファウンデーションケア】</v>
          </cell>
        </row>
        <row r="3915">
          <cell r="A3915" t="str">
            <v>H2WE3E</v>
          </cell>
          <cell r="B3915" t="str">
            <v>FC 24x7 1年 Aruba AW-EXF1-2500 Lic用</v>
          </cell>
          <cell r="C3915" t="str">
            <v>【ファウンデーションケア】</v>
          </cell>
        </row>
        <row r="3916">
          <cell r="A3916" t="str">
            <v>H2WE4E</v>
          </cell>
          <cell r="B3916" t="str">
            <v>FC 24x7 3年 Aruba AW-EXF1-2500 Lic用</v>
          </cell>
          <cell r="C3916" t="str">
            <v>【ファウンデーションケア】</v>
          </cell>
        </row>
        <row r="3917">
          <cell r="A3917" t="str">
            <v>H2WE7E</v>
          </cell>
          <cell r="B3917" t="str">
            <v>FC 24x7 4年 Aruba AW-EXF1-2500 Lic用</v>
          </cell>
          <cell r="C3917" t="str">
            <v>【ファウンデーションケア】</v>
          </cell>
        </row>
        <row r="3918">
          <cell r="A3918" t="str">
            <v>H2WF0E</v>
          </cell>
          <cell r="B3918" t="str">
            <v>FC 24x7 5年 Aruba AW-EXF1-2500 Lic用</v>
          </cell>
          <cell r="C3918" t="str">
            <v>【ファウンデーションケア】</v>
          </cell>
        </row>
        <row r="3919">
          <cell r="A3919" t="str">
            <v>H2WF3E</v>
          </cell>
          <cell r="B3919" t="str">
            <v>FC 24x7 1年 Aruba AW-50-FR Lic用</v>
          </cell>
          <cell r="C3919" t="str">
            <v>【ファウンデーションケア】</v>
          </cell>
        </row>
        <row r="3920">
          <cell r="A3920" t="str">
            <v>H2WF4E</v>
          </cell>
          <cell r="B3920" t="str">
            <v>FC 24x7 3年 Aruba AW-50-FR Lic用</v>
          </cell>
          <cell r="C3920" t="str">
            <v>【ファウンデーションケア】</v>
          </cell>
        </row>
        <row r="3921">
          <cell r="A3921" t="str">
            <v>H2WF7E</v>
          </cell>
          <cell r="B3921" t="str">
            <v>FC 24x7 4年 Aruba AW-50-FR Lic用</v>
          </cell>
          <cell r="C3921" t="str">
            <v>【ファウンデーションケア】</v>
          </cell>
        </row>
        <row r="3922">
          <cell r="A3922" t="str">
            <v>H2WG0E</v>
          </cell>
          <cell r="B3922" t="str">
            <v>FC 24x7 5年 Aruba AW-50-FR Lic用</v>
          </cell>
          <cell r="C3922" t="str">
            <v>【ファウンデーションケア】</v>
          </cell>
        </row>
        <row r="3923">
          <cell r="A3923" t="str">
            <v>H2WG3E</v>
          </cell>
          <cell r="B3923" t="str">
            <v>FC 24x7 1年 Aruba AW-EXF1-50 Lic用</v>
          </cell>
          <cell r="C3923" t="str">
            <v>【ファウンデーションケア】</v>
          </cell>
        </row>
        <row r="3924">
          <cell r="A3924" t="str">
            <v>H2WG4E</v>
          </cell>
          <cell r="B3924" t="str">
            <v>FC 24x7 3年 Aruba AW-EXF1-50 Lic用</v>
          </cell>
          <cell r="C3924" t="str">
            <v>【ファウンデーションケア】</v>
          </cell>
        </row>
        <row r="3925">
          <cell r="A3925" t="str">
            <v>H2WG7E</v>
          </cell>
          <cell r="B3925" t="str">
            <v>FC 24x7 4年 Aruba AW-EXF1-50 Lic用</v>
          </cell>
          <cell r="C3925" t="str">
            <v>【ファウンデーションケア】</v>
          </cell>
        </row>
        <row r="3926">
          <cell r="A3926" t="str">
            <v>H2WH0E</v>
          </cell>
          <cell r="B3926" t="str">
            <v>FC 24x7 5年 Aruba AW-EXF1-50 Lic用</v>
          </cell>
          <cell r="C3926" t="str">
            <v>【ファウンデーションケア】</v>
          </cell>
        </row>
        <row r="3927">
          <cell r="A3927" t="str">
            <v>H2WH3E</v>
          </cell>
          <cell r="B3927" t="str">
            <v>FC 24x7 1年 Aruba AW-500-FR Lic用</v>
          </cell>
          <cell r="C3927" t="str">
            <v>【ファウンデーションケア】</v>
          </cell>
        </row>
        <row r="3928">
          <cell r="A3928" t="str">
            <v>H2WH4E</v>
          </cell>
          <cell r="B3928" t="str">
            <v>FC 24x7 3年 Aruba AW-500-FR Lic用</v>
          </cell>
          <cell r="C3928" t="str">
            <v>【ファウンデーションケア】</v>
          </cell>
        </row>
        <row r="3929">
          <cell r="A3929" t="str">
            <v>H2WH7E</v>
          </cell>
          <cell r="B3929" t="str">
            <v>FC 24x7 4年 Aruba AW-500-FR Lic用</v>
          </cell>
          <cell r="C3929" t="str">
            <v>【ファウンデーションケア】</v>
          </cell>
        </row>
        <row r="3930">
          <cell r="A3930" t="str">
            <v>H2WJ0E</v>
          </cell>
          <cell r="B3930" t="str">
            <v>FC 24x7 5年 Aruba AW-500-FR Lic用</v>
          </cell>
          <cell r="C3930" t="str">
            <v>【ファウンデーションケア】</v>
          </cell>
        </row>
        <row r="3931">
          <cell r="A3931" t="str">
            <v>H2WJ3E</v>
          </cell>
          <cell r="B3931" t="str">
            <v>FC 24x7 1年 Aruba AW-MASTER Lic用</v>
          </cell>
          <cell r="C3931" t="str">
            <v>【ファウンデーションケア】</v>
          </cell>
        </row>
        <row r="3932">
          <cell r="A3932" t="str">
            <v>H2WJ4E</v>
          </cell>
          <cell r="B3932" t="str">
            <v>FC 24x7 3年 Aruba AW-MASTER Lic用</v>
          </cell>
          <cell r="C3932" t="str">
            <v>【ファウンデーションケア】</v>
          </cell>
        </row>
        <row r="3933">
          <cell r="A3933" t="str">
            <v>H2WJ7E</v>
          </cell>
          <cell r="B3933" t="str">
            <v>FC 24x7 4年 Aruba AW-MASTER Lic用</v>
          </cell>
          <cell r="C3933" t="str">
            <v>【ファウンデーションケア】</v>
          </cell>
        </row>
        <row r="3934">
          <cell r="A3934" t="str">
            <v>H2WK0E</v>
          </cell>
          <cell r="B3934" t="str">
            <v>FC 24x7 5年 Aruba AW-MASTER Lic用</v>
          </cell>
          <cell r="C3934" t="str">
            <v>【ファウンデーションケア】</v>
          </cell>
        </row>
        <row r="3935">
          <cell r="A3935" t="str">
            <v>H2YT3E</v>
          </cell>
          <cell r="B3935" t="str">
            <v>FC 24x7 1年 Aruba LIC-ALE-1 Lic用</v>
          </cell>
          <cell r="C3935" t="str">
            <v>【ファウンデーションケア】</v>
          </cell>
        </row>
        <row r="3936">
          <cell r="A3936" t="str">
            <v>H2YT4E</v>
          </cell>
          <cell r="B3936" t="str">
            <v>FC 24x7 3年 Aruba LIC-ALE-1 Lic用</v>
          </cell>
          <cell r="C3936" t="str">
            <v>【ファウンデーションケア】</v>
          </cell>
        </row>
        <row r="3937">
          <cell r="A3937" t="str">
            <v>H2YT7E</v>
          </cell>
          <cell r="B3937" t="str">
            <v>FC 24x7 4年 Aruba LIC-ALE-1 Lic用</v>
          </cell>
          <cell r="C3937" t="str">
            <v>【ファウンデーションケア】</v>
          </cell>
        </row>
        <row r="3938">
          <cell r="A3938" t="str">
            <v>H2YU0E</v>
          </cell>
          <cell r="B3938" t="str">
            <v>FC 24x7 5年 Aruba LIC-ALE-1 Lic用</v>
          </cell>
          <cell r="C3938" t="str">
            <v>【ファウンデーションケア】</v>
          </cell>
        </row>
        <row r="3939">
          <cell r="A3939" t="str">
            <v>H2YV3E</v>
          </cell>
          <cell r="B3939" t="str">
            <v>FC 24x7 1年 Aruba Airwave 1 Dev Lic用</v>
          </cell>
          <cell r="C3939" t="str">
            <v>【ファウンデーションケア】</v>
          </cell>
        </row>
        <row r="3940">
          <cell r="A3940" t="str">
            <v>H2YV4E</v>
          </cell>
          <cell r="B3940" t="str">
            <v>FC 24x7 3年 Aruba Airwave 1 Dev Lic用</v>
          </cell>
          <cell r="C3940" t="str">
            <v>【ファウンデーションケア】</v>
          </cell>
        </row>
        <row r="3941">
          <cell r="A3941" t="str">
            <v>H2YV7E</v>
          </cell>
          <cell r="B3941" t="str">
            <v>FC 24x7 4年 Aruba Airwave 1 Dev Lic用</v>
          </cell>
          <cell r="C3941" t="str">
            <v>【ファウンデーションケア】</v>
          </cell>
        </row>
        <row r="3942">
          <cell r="A3942" t="str">
            <v>H2YW0E</v>
          </cell>
          <cell r="B3942" t="str">
            <v>FC 24x7 5年 Aruba Airwave 1 Dev Lic用</v>
          </cell>
          <cell r="C3942" t="str">
            <v>【ファウンデーションケア】</v>
          </cell>
        </row>
        <row r="3943">
          <cell r="A3943" t="str">
            <v>H5AJ1E</v>
          </cell>
          <cell r="B3943" t="str">
            <v>FC Exchange 1年 AW DL360 ENT Appliance用</v>
          </cell>
          <cell r="C3943" t="str">
            <v>【ファウンデーションケア】</v>
          </cell>
        </row>
        <row r="3944">
          <cell r="A3944" t="str">
            <v>H5AJ3E</v>
          </cell>
          <cell r="B3944" t="str">
            <v>FC 翌日 1年 AW DL360 ENT Appliance用</v>
          </cell>
          <cell r="C3944" t="str">
            <v>【ファウンデーションケア】</v>
          </cell>
        </row>
        <row r="3945">
          <cell r="A3945" t="str">
            <v>H5AJ4E</v>
          </cell>
          <cell r="B3945" t="str">
            <v>FC 24x7 1年 AW DL360 ENT Appliance用</v>
          </cell>
          <cell r="C3945" t="str">
            <v>【ファウンデーションケア】</v>
          </cell>
        </row>
        <row r="3946">
          <cell r="A3946" t="str">
            <v>H5AJ6E</v>
          </cell>
          <cell r="B3946" t="str">
            <v>FC Exchange 3年 AW DL360 ENT Appliance用</v>
          </cell>
          <cell r="C3946" t="str">
            <v>【ファウンデーションケア】</v>
          </cell>
        </row>
        <row r="3947">
          <cell r="A3947" t="str">
            <v>H5AJ8E</v>
          </cell>
          <cell r="B3947" t="str">
            <v>FC 翌日 3年 AW DL360 ENT Appliance用</v>
          </cell>
          <cell r="C3947" t="str">
            <v>【ファウンデーションケア】</v>
          </cell>
        </row>
        <row r="3948">
          <cell r="A3948" t="str">
            <v>H5AK0E</v>
          </cell>
          <cell r="B3948" t="str">
            <v>FC 9x5 3年 AW DL360 ENT Appliance用</v>
          </cell>
          <cell r="C3948" t="str">
            <v>【ファウンデーションケア】</v>
          </cell>
        </row>
        <row r="3949">
          <cell r="A3949" t="str">
            <v>H5AK5E</v>
          </cell>
          <cell r="B3949" t="str">
            <v>FC 24x7 3年 AW DL360 ENT Appliance用</v>
          </cell>
          <cell r="C3949" t="str">
            <v>【ファウンデーションケア】</v>
          </cell>
        </row>
        <row r="3950">
          <cell r="A3950" t="str">
            <v>H5AL7E</v>
          </cell>
          <cell r="B3950" t="str">
            <v>FC Exchange 4年 AW DL360 ENT Appliance用</v>
          </cell>
          <cell r="C3950" t="str">
            <v>【ファウンデーションケア】</v>
          </cell>
        </row>
        <row r="3951">
          <cell r="A3951" t="str">
            <v>H5AL9E</v>
          </cell>
          <cell r="B3951" t="str">
            <v>FC 翌日 4年 AW DL360 ENT Appliance用</v>
          </cell>
          <cell r="C3951" t="str">
            <v>【ファウンデーションケア】</v>
          </cell>
        </row>
        <row r="3952">
          <cell r="A3952" t="str">
            <v>H5AM1E</v>
          </cell>
          <cell r="B3952" t="str">
            <v>FC 9x5 4年 AW DL360 ENT Appliance用</v>
          </cell>
          <cell r="C3952" t="str">
            <v>【ファウンデーションケア】</v>
          </cell>
        </row>
        <row r="3953">
          <cell r="A3953" t="str">
            <v>H5AM6E</v>
          </cell>
          <cell r="B3953" t="str">
            <v>FC 24x7 4年 AW DL360 ENT Appliance用</v>
          </cell>
          <cell r="C3953" t="str">
            <v>【ファウンデーションケア】</v>
          </cell>
        </row>
        <row r="3954">
          <cell r="A3954" t="str">
            <v>H5AN8E</v>
          </cell>
          <cell r="B3954" t="str">
            <v>FC Exchange 5年 AW DL360 ENT Appliance用</v>
          </cell>
          <cell r="C3954" t="str">
            <v>【ファウンデーションケア】</v>
          </cell>
        </row>
        <row r="3955">
          <cell r="A3955" t="str">
            <v>H5AP0E</v>
          </cell>
          <cell r="B3955" t="str">
            <v>FC 翌日 5年 AW DL360 ENT Appliance用</v>
          </cell>
          <cell r="C3955" t="str">
            <v>【ファウンデーションケア】</v>
          </cell>
        </row>
        <row r="3956">
          <cell r="A3956" t="str">
            <v>H5AP2E</v>
          </cell>
          <cell r="B3956" t="str">
            <v>FC 9x5 5年 AW DL360 ENT Appliance用</v>
          </cell>
          <cell r="C3956" t="str">
            <v>【ファウンデーションケア】</v>
          </cell>
        </row>
        <row r="3957">
          <cell r="A3957" t="str">
            <v>H5AP7E</v>
          </cell>
          <cell r="B3957" t="str">
            <v>FC 24x7 5年 AW DL360 ENT Appliance用</v>
          </cell>
          <cell r="C3957" t="str">
            <v>【ファウンデーションケア】</v>
          </cell>
        </row>
        <row r="3958">
          <cell r="A3958" t="str">
            <v>H5AQ9PE</v>
          </cell>
          <cell r="B3958" t="str">
            <v>PW FC Exch 1年 AW DL360 ENT Appliance用</v>
          </cell>
          <cell r="C3958" t="str">
            <v>【ファウンデーションケア】</v>
          </cell>
        </row>
        <row r="3959">
          <cell r="A3959" t="str">
            <v>H5AS5E</v>
          </cell>
          <cell r="B3959" t="str">
            <v>FC Exchange 1年 AW DL360 PRO Appliance用</v>
          </cell>
          <cell r="C3959" t="str">
            <v>【ファウンデーションケア】</v>
          </cell>
        </row>
        <row r="3960">
          <cell r="A3960" t="str">
            <v>H5AS7E</v>
          </cell>
          <cell r="B3960" t="str">
            <v>FC 翌日 1年 AW DL360 PRO Appliance用</v>
          </cell>
          <cell r="C3960" t="str">
            <v>【ファウンデーションケア】</v>
          </cell>
        </row>
        <row r="3961">
          <cell r="A3961" t="str">
            <v>H5AS8E</v>
          </cell>
          <cell r="B3961" t="str">
            <v>FC 24x7 1年 AW DL360 PRO Appliance用</v>
          </cell>
          <cell r="C3961" t="str">
            <v>【ファウンデーションケア】</v>
          </cell>
        </row>
        <row r="3962">
          <cell r="A3962" t="str">
            <v>H5AT0E</v>
          </cell>
          <cell r="B3962" t="str">
            <v>FC Exchange 3年 AW DL360 PRO Appliance用</v>
          </cell>
          <cell r="C3962" t="str">
            <v>【ファウンデーションケア】</v>
          </cell>
        </row>
        <row r="3963">
          <cell r="A3963" t="str">
            <v>H5AT2E</v>
          </cell>
          <cell r="B3963" t="str">
            <v>FC 翌日 3年 AW DL360 PRO Appliance用</v>
          </cell>
          <cell r="C3963" t="str">
            <v>【ファウンデーションケア】</v>
          </cell>
        </row>
        <row r="3964">
          <cell r="A3964" t="str">
            <v>H5AT4E</v>
          </cell>
          <cell r="B3964" t="str">
            <v>FC 9x5 3年 AW DL360 PRO Appliance用</v>
          </cell>
          <cell r="C3964" t="str">
            <v>【ファウンデーションケア】</v>
          </cell>
        </row>
        <row r="3965">
          <cell r="A3965" t="str">
            <v>H5AT9E</v>
          </cell>
          <cell r="B3965" t="str">
            <v>FC 24x7 3年 AW DL360 PRO Appliance用</v>
          </cell>
          <cell r="C3965" t="str">
            <v>【ファウンデーションケア】</v>
          </cell>
        </row>
        <row r="3966">
          <cell r="A3966" t="str">
            <v>H5AV1E</v>
          </cell>
          <cell r="B3966" t="str">
            <v>FC Exchange 4年 AW DL360 PRO Appliance用</v>
          </cell>
          <cell r="C3966" t="str">
            <v>【ファウンデーションケア】</v>
          </cell>
        </row>
        <row r="3967">
          <cell r="A3967" t="str">
            <v>H5AV3E</v>
          </cell>
          <cell r="B3967" t="str">
            <v>FC 翌日 4年 AW DL360 PRO Appliance用</v>
          </cell>
          <cell r="C3967" t="str">
            <v>【ファウンデーションケア】</v>
          </cell>
        </row>
        <row r="3968">
          <cell r="A3968" t="str">
            <v>H5AV5E</v>
          </cell>
          <cell r="B3968" t="str">
            <v>FC 9x5 4年 AW DL360 PRO Appliance用</v>
          </cell>
          <cell r="C3968" t="str">
            <v>【ファウンデーションケア】</v>
          </cell>
        </row>
        <row r="3969">
          <cell r="A3969" t="str">
            <v>H5AW0E</v>
          </cell>
          <cell r="B3969" t="str">
            <v>FC 24x7 4年 AW DL360 PRO Appliance用</v>
          </cell>
          <cell r="C3969" t="str">
            <v>【ファウンデーションケア】</v>
          </cell>
        </row>
        <row r="3970">
          <cell r="A3970" t="str">
            <v>H5AX2E</v>
          </cell>
          <cell r="B3970" t="str">
            <v>FC Exchange 5年 AW DL360 PRO Appliance用</v>
          </cell>
          <cell r="C3970" t="str">
            <v>【ファウンデーションケア】</v>
          </cell>
        </row>
        <row r="3971">
          <cell r="A3971" t="str">
            <v>H5AX4E</v>
          </cell>
          <cell r="B3971" t="str">
            <v>FC 翌日 5年 AW DL360 PRO Appliance用</v>
          </cell>
          <cell r="C3971" t="str">
            <v>【ファウンデーションケア】</v>
          </cell>
        </row>
        <row r="3972">
          <cell r="A3972" t="str">
            <v>H5AX6E</v>
          </cell>
          <cell r="B3972" t="str">
            <v>FC 9x5 5年 AW DL360 PRO Appliance用</v>
          </cell>
          <cell r="C3972" t="str">
            <v>【ファウンデーションケア】</v>
          </cell>
        </row>
        <row r="3973">
          <cell r="A3973" t="str">
            <v>H5AY1E</v>
          </cell>
          <cell r="B3973" t="str">
            <v>FC 24x7 5年 AW DL360 PRO Appliance用</v>
          </cell>
          <cell r="C3973" t="str">
            <v>【ファウンデーションケア】</v>
          </cell>
        </row>
        <row r="3974">
          <cell r="A3974" t="str">
            <v>H5AZ3PE</v>
          </cell>
          <cell r="B3974" t="str">
            <v>PW FC Exch 1年 AW DL360 PRO Appliance用</v>
          </cell>
          <cell r="C3974" t="str">
            <v>【ファウンデーションケア】</v>
          </cell>
        </row>
        <row r="3975">
          <cell r="A3975" t="str">
            <v>H6RD1E</v>
          </cell>
          <cell r="B3975" t="str">
            <v>FC Exchange 5年 Aruba CP AW DL360 PSU用</v>
          </cell>
          <cell r="C3975" t="str">
            <v>【ファウンデーションケア】</v>
          </cell>
        </row>
        <row r="3976">
          <cell r="A3976" t="str">
            <v>H6RD2PE</v>
          </cell>
          <cell r="B3976" t="str">
            <v>PW FC Exch 1年 Aruba CP AW DL360 PSU用</v>
          </cell>
          <cell r="C3976" t="str">
            <v>【ファウンデーションケア】</v>
          </cell>
        </row>
        <row r="3977">
          <cell r="A3977" t="str">
            <v>H6SG8E</v>
          </cell>
          <cell r="B3977" t="str">
            <v>FC Exchange 1年 Aruba CP AW DL360 PSU用</v>
          </cell>
          <cell r="C3977" t="str">
            <v>【ファウンデーションケア】</v>
          </cell>
        </row>
        <row r="3978">
          <cell r="A3978" t="str">
            <v>H6SG9E</v>
          </cell>
          <cell r="B3978" t="str">
            <v>FC Exchange 3年 Aruba CP AW DL360 PSU用</v>
          </cell>
          <cell r="C3978" t="str">
            <v>【ファウンデーションケア】</v>
          </cell>
        </row>
        <row r="3979">
          <cell r="A3979" t="str">
            <v>H6SH0E</v>
          </cell>
          <cell r="B3979" t="str">
            <v>FC Exchange 4年 Aruba CP AW DL360 PSU用</v>
          </cell>
          <cell r="C3979" t="str">
            <v>【ファウンデーションケア】</v>
          </cell>
        </row>
        <row r="3980">
          <cell r="A3980" t="str">
            <v>H7KT0E</v>
          </cell>
          <cell r="B3980" t="str">
            <v>FC 24x7  1年 Aruba AW-VA-GLASS用</v>
          </cell>
          <cell r="C3980" t="str">
            <v>【ファウンデーションケア】</v>
          </cell>
        </row>
        <row r="3981">
          <cell r="A3981" t="str">
            <v>H7KT1E</v>
          </cell>
          <cell r="B3981" t="str">
            <v>FC 24x7  3年 Aruba AW-VA-GLASS用</v>
          </cell>
          <cell r="C3981" t="str">
            <v>【ファウンデーションケア】</v>
          </cell>
        </row>
        <row r="3982">
          <cell r="A3982" t="str">
            <v>H7KT4E</v>
          </cell>
          <cell r="B3982" t="str">
            <v>FC 24x7  4年 Aruba AW-VA-GLASS用</v>
          </cell>
          <cell r="C3982" t="str">
            <v>【ファウンデーションケア】</v>
          </cell>
        </row>
        <row r="3983">
          <cell r="A3983" t="str">
            <v>H7KT7E</v>
          </cell>
          <cell r="B3983" t="str">
            <v>FC 24x7  5年 Aruba AW-VA-GLASS用</v>
          </cell>
          <cell r="C3983" t="str">
            <v>【ファウンデーションケア】</v>
          </cell>
        </row>
        <row r="3984">
          <cell r="A3984" t="str">
            <v>H7KV0E</v>
          </cell>
          <cell r="B3984" t="str">
            <v>FC Exchange 1年 Aruba AW-HW-GLASS用</v>
          </cell>
          <cell r="C3984" t="str">
            <v>【ファウンデーションケア】</v>
          </cell>
        </row>
        <row r="3985">
          <cell r="A3985" t="str">
            <v>H7KV2E</v>
          </cell>
          <cell r="B3985" t="str">
            <v>FC 翌日 1年 Aruba AW-HW-GLASS用</v>
          </cell>
          <cell r="C3985" t="str">
            <v>【ファウンデーションケア】</v>
          </cell>
        </row>
        <row r="3986">
          <cell r="A3986" t="str">
            <v>H7KV4E</v>
          </cell>
          <cell r="B3986" t="str">
            <v>FC 24x7 1年 Aruba AW-HW-GLASS用</v>
          </cell>
          <cell r="C3986" t="str">
            <v>【ファウンデーションケア】</v>
          </cell>
        </row>
        <row r="3987">
          <cell r="A3987" t="str">
            <v>H7KV9E</v>
          </cell>
          <cell r="B3987" t="str">
            <v>FC Exchange 3年 Aruba AW-HW-GLASS用</v>
          </cell>
          <cell r="C3987" t="str">
            <v>【ファウンデーションケア】</v>
          </cell>
        </row>
        <row r="3988">
          <cell r="A3988" t="str">
            <v>H7KW3E</v>
          </cell>
          <cell r="B3988" t="str">
            <v>FC 翌日 3年 Aruba AW-HW-GLASS用</v>
          </cell>
          <cell r="C3988" t="str">
            <v>【ファウンデーションケア】</v>
          </cell>
        </row>
        <row r="3989">
          <cell r="A3989" t="str">
            <v>H7KW5E</v>
          </cell>
          <cell r="B3989" t="str">
            <v>FC 9x5 3年 Aruba AW-HW-GLASS用</v>
          </cell>
          <cell r="C3989" t="str">
            <v>【ファウンデーションケア】</v>
          </cell>
        </row>
        <row r="3990">
          <cell r="A3990" t="str">
            <v>H7KX0E</v>
          </cell>
          <cell r="B3990" t="str">
            <v>FC 24x7 3年 Aruba AW-HW-GLASS用</v>
          </cell>
          <cell r="C3990" t="str">
            <v>【ファウンデーションケア】</v>
          </cell>
        </row>
        <row r="3991">
          <cell r="A3991" t="str">
            <v>H7KY3E</v>
          </cell>
          <cell r="B3991" t="str">
            <v>FC Exchange 4年 Aruba AW-HW-GLASS用</v>
          </cell>
          <cell r="C3991" t="str">
            <v>【ファウンデーションケア】</v>
          </cell>
        </row>
        <row r="3992">
          <cell r="A3992" t="str">
            <v>H7KY7E</v>
          </cell>
          <cell r="B3992" t="str">
            <v>FC 翌日 4年 Aruba AW-HW-GLASS用</v>
          </cell>
          <cell r="C3992" t="str">
            <v>【ファウンデーションケア】</v>
          </cell>
        </row>
        <row r="3993">
          <cell r="A3993" t="str">
            <v>H7KY9E</v>
          </cell>
          <cell r="B3993" t="str">
            <v>FC 9x5 4年 Aruba AW-HW-GLASS用</v>
          </cell>
          <cell r="C3993" t="str">
            <v>【ファウンデーションケア】</v>
          </cell>
        </row>
        <row r="3994">
          <cell r="A3994" t="str">
            <v>H7KZ4E</v>
          </cell>
          <cell r="B3994" t="str">
            <v>FC 24x7 4年 Aruba AW-HW-GLASS用</v>
          </cell>
          <cell r="C3994" t="str">
            <v>【ファウンデーションケア】</v>
          </cell>
        </row>
        <row r="3995">
          <cell r="A3995" t="str">
            <v>H7LA7E</v>
          </cell>
          <cell r="B3995" t="str">
            <v>FC Exchange 5年 Aruba AW-HW-GLASS用</v>
          </cell>
          <cell r="C3995" t="str">
            <v>【ファウンデーションケア】</v>
          </cell>
        </row>
        <row r="3996">
          <cell r="A3996" t="str">
            <v>H7LB1E</v>
          </cell>
          <cell r="B3996" t="str">
            <v>FC 翌日 5年 Aruba AW-HW-GLASS用</v>
          </cell>
          <cell r="C3996" t="str">
            <v>【ファウンデーションケア】</v>
          </cell>
        </row>
        <row r="3997">
          <cell r="A3997" t="str">
            <v>H7LB3E</v>
          </cell>
          <cell r="B3997" t="str">
            <v>FC 9x5 5年 Aruba AW-HW-GLASS用</v>
          </cell>
          <cell r="C3997" t="str">
            <v>【ファウンデーションケア】</v>
          </cell>
        </row>
        <row r="3998">
          <cell r="A3998" t="str">
            <v>H7LB8E</v>
          </cell>
          <cell r="B3998" t="str">
            <v>FC 24x7 5年 Aruba AW-HW-GLASS用</v>
          </cell>
          <cell r="C3998" t="str">
            <v>【ファウンデーションケア】</v>
          </cell>
        </row>
        <row r="3999">
          <cell r="A3999" t="str">
            <v>H2WK3E</v>
          </cell>
          <cell r="B3999" t="str">
            <v>FC 24x7 1年 Aruba ClrPass Ent 100 EP用</v>
          </cell>
          <cell r="C3999" t="str">
            <v>【ファウンデーションケア】</v>
          </cell>
        </row>
        <row r="4000">
          <cell r="A4000" t="str">
            <v>H2WK4E</v>
          </cell>
          <cell r="B4000" t="str">
            <v>FC 24x7 3年 Aruba ClrPass Ent 100 EP用</v>
          </cell>
          <cell r="C4000" t="str">
            <v>【ファウンデーションケア】</v>
          </cell>
        </row>
        <row r="4001">
          <cell r="A4001" t="str">
            <v>H2WK7E</v>
          </cell>
          <cell r="B4001" t="str">
            <v>FC 24x7 4年 Aruba ClrPass Ent 100 EP用</v>
          </cell>
          <cell r="C4001" t="str">
            <v>【ファウンデーションケア】</v>
          </cell>
        </row>
        <row r="4002">
          <cell r="A4002" t="str">
            <v>H2WL0E</v>
          </cell>
          <cell r="B4002" t="str">
            <v>FC 24x7 5年 Aruba ClrPass Ent 100 EP用</v>
          </cell>
          <cell r="C4002" t="str">
            <v>【ファウンデーションケア】</v>
          </cell>
        </row>
        <row r="4003">
          <cell r="A4003" t="str">
            <v>H2WL3E</v>
          </cell>
          <cell r="B4003" t="str">
            <v>FC 24x7 1年 Aruba ClrPass Ent 10K EP用</v>
          </cell>
          <cell r="C4003" t="str">
            <v>【ファウンデーションケア】</v>
          </cell>
        </row>
        <row r="4004">
          <cell r="A4004" t="str">
            <v>H2WL4E</v>
          </cell>
          <cell r="B4004" t="str">
            <v>FC 24x7 3年 Aruba ClrPass Ent 10K EP用</v>
          </cell>
          <cell r="C4004" t="str">
            <v>【ファウンデーションケア】</v>
          </cell>
        </row>
        <row r="4005">
          <cell r="A4005" t="str">
            <v>H2WL7E</v>
          </cell>
          <cell r="B4005" t="str">
            <v>FC 24x7 4年 Aruba ClrPass Ent 10K EP用</v>
          </cell>
          <cell r="C4005" t="str">
            <v>【ファウンデーションケア】</v>
          </cell>
        </row>
        <row r="4006">
          <cell r="A4006" t="str">
            <v>H2WM0E</v>
          </cell>
          <cell r="B4006" t="str">
            <v>FC 24x7 5年 Aruba ClrPass Ent 10K EP用</v>
          </cell>
          <cell r="C4006" t="str">
            <v>【ファウンデーションケア】</v>
          </cell>
        </row>
        <row r="4007">
          <cell r="A4007" t="str">
            <v>H2WM3E</v>
          </cell>
          <cell r="B4007" t="str">
            <v>FC 24x7 1年 Aruba ClrPass Ent 1K EP用</v>
          </cell>
          <cell r="C4007" t="str">
            <v>【ファウンデーションケア】</v>
          </cell>
        </row>
        <row r="4008">
          <cell r="A4008" t="str">
            <v>H2WM4E</v>
          </cell>
          <cell r="B4008" t="str">
            <v>FC 24x7 3年 Aruba ClrPass Ent 1K EP用</v>
          </cell>
          <cell r="C4008" t="str">
            <v>【ファウンデーションケア】</v>
          </cell>
        </row>
        <row r="4009">
          <cell r="A4009" t="str">
            <v>H2WM7E</v>
          </cell>
          <cell r="B4009" t="str">
            <v>FC 24x7 4年 Aruba ClrPass Ent 1K EP用</v>
          </cell>
          <cell r="C4009" t="str">
            <v>【ファウンデーションケア】</v>
          </cell>
        </row>
        <row r="4010">
          <cell r="A4010" t="str">
            <v>H2WN0E</v>
          </cell>
          <cell r="B4010" t="str">
            <v>FC 24x7 5年 Aruba ClrPass Ent 1K EP用</v>
          </cell>
          <cell r="C4010" t="str">
            <v>【ファウンデーションケア】</v>
          </cell>
        </row>
        <row r="4011">
          <cell r="A4011" t="str">
            <v>H2WN3E</v>
          </cell>
          <cell r="B4011" t="str">
            <v>FC 24x7 1年 Aruba ClrPass Ent 2500 EP用</v>
          </cell>
          <cell r="C4011" t="str">
            <v>【ファウンデーションケア】</v>
          </cell>
        </row>
        <row r="4012">
          <cell r="A4012" t="str">
            <v>H2WN4E</v>
          </cell>
          <cell r="B4012" t="str">
            <v>FC 24x7 3年 Aruba ClrPass Ent 2500 EP用</v>
          </cell>
          <cell r="C4012" t="str">
            <v>【ファウンデーションケア】</v>
          </cell>
        </row>
        <row r="4013">
          <cell r="A4013" t="str">
            <v>H2WN7E</v>
          </cell>
          <cell r="B4013" t="str">
            <v>FC 24x7 4年 Aruba ClrPass Ent 2500 EP用</v>
          </cell>
          <cell r="C4013" t="str">
            <v>【ファウンデーションケア】</v>
          </cell>
        </row>
        <row r="4014">
          <cell r="A4014" t="str">
            <v>H2WP0E</v>
          </cell>
          <cell r="B4014" t="str">
            <v>FC 24x7 5年 Aruba ClrPass Ent 2500 EP用</v>
          </cell>
          <cell r="C4014" t="str">
            <v>【ファウンデーションケア】</v>
          </cell>
        </row>
        <row r="4015">
          <cell r="A4015" t="str">
            <v>H2WP3E</v>
          </cell>
          <cell r="B4015" t="str">
            <v>FC 24x7 1年 Aruba ClrPass Ent 25K EP用</v>
          </cell>
          <cell r="C4015" t="str">
            <v>【ファウンデーションケア】</v>
          </cell>
        </row>
        <row r="4016">
          <cell r="A4016" t="str">
            <v>H2WP4E</v>
          </cell>
          <cell r="B4016" t="str">
            <v>FC 24x7 3年 Aruba ClrPass Ent 25K EP用</v>
          </cell>
          <cell r="C4016" t="str">
            <v>【ファウンデーションケア】</v>
          </cell>
        </row>
        <row r="4017">
          <cell r="A4017" t="str">
            <v>H2WP7E</v>
          </cell>
          <cell r="B4017" t="str">
            <v>FC 24x7 4年 Aruba ClrPass Ent 25K EP用</v>
          </cell>
          <cell r="C4017" t="str">
            <v>【ファウンデーションケア】</v>
          </cell>
        </row>
        <row r="4018">
          <cell r="A4018" t="str">
            <v>H2WQ0E</v>
          </cell>
          <cell r="B4018" t="str">
            <v>FC 24x7 5年 Aruba ClrPass Ent 25K EP用</v>
          </cell>
          <cell r="C4018" t="str">
            <v>【ファウンデーションケア】</v>
          </cell>
        </row>
        <row r="4019">
          <cell r="A4019" t="str">
            <v>H2WQ3E</v>
          </cell>
          <cell r="B4019" t="str">
            <v>FC 24x7 1年 Aruba ClrPass Ent 500 EP用</v>
          </cell>
          <cell r="C4019" t="str">
            <v>【ファウンデーションケア】</v>
          </cell>
        </row>
        <row r="4020">
          <cell r="A4020" t="str">
            <v>H2WQ4E</v>
          </cell>
          <cell r="B4020" t="str">
            <v>FC 24x7 3年 Aruba ClrPass Ent 500 EP用</v>
          </cell>
          <cell r="C4020" t="str">
            <v>【ファウンデーションケア】</v>
          </cell>
        </row>
        <row r="4021">
          <cell r="A4021" t="str">
            <v>H2WQ7E</v>
          </cell>
          <cell r="B4021" t="str">
            <v>FC 24x7 4年 Aruba ClrPass Ent 500 EP用</v>
          </cell>
          <cell r="C4021" t="str">
            <v>【ファウンデーションケア】</v>
          </cell>
        </row>
        <row r="4022">
          <cell r="A4022" t="str">
            <v>H2WR0E</v>
          </cell>
          <cell r="B4022" t="str">
            <v>FC 24x7 5年 Aruba ClrPass Ent 500 EP用</v>
          </cell>
          <cell r="C4022" t="str">
            <v>【ファウンデーションケア】</v>
          </cell>
        </row>
        <row r="4023">
          <cell r="A4023" t="str">
            <v>H2WR3E</v>
          </cell>
          <cell r="B4023" t="str">
            <v>FC 24x7 1年 Aruba ClrPass Ent 50K EP用</v>
          </cell>
          <cell r="C4023" t="str">
            <v>【ファウンデーションケア】</v>
          </cell>
        </row>
        <row r="4024">
          <cell r="A4024" t="str">
            <v>H2WR4E</v>
          </cell>
          <cell r="B4024" t="str">
            <v>FC 24x7 3年 Aruba ClrPass Ent 50K EP用</v>
          </cell>
          <cell r="C4024" t="str">
            <v>【ファウンデーションケア】</v>
          </cell>
        </row>
        <row r="4025">
          <cell r="A4025" t="str">
            <v>H2WR7E</v>
          </cell>
          <cell r="B4025" t="str">
            <v>FC 24x7 4年 Aruba ClrPass Ent 50K EP用</v>
          </cell>
          <cell r="C4025" t="str">
            <v>【ファウンデーションケア】</v>
          </cell>
        </row>
        <row r="4026">
          <cell r="A4026" t="str">
            <v>H2WS0E</v>
          </cell>
          <cell r="B4026" t="str">
            <v>FC 24x7 5年 Aruba ClrPass Ent 50K EP用</v>
          </cell>
          <cell r="C4026" t="str">
            <v>【ファウンデーションケア】</v>
          </cell>
        </row>
        <row r="4027">
          <cell r="A4027" t="str">
            <v>H2WS3E</v>
          </cell>
          <cell r="B4027" t="str">
            <v>FC 24x7 1年 Aruba ClrPass Ent 5K EP用</v>
          </cell>
          <cell r="C4027" t="str">
            <v>【ファウンデーションケア】</v>
          </cell>
        </row>
        <row r="4028">
          <cell r="A4028" t="str">
            <v>H2WS4E</v>
          </cell>
          <cell r="B4028" t="str">
            <v>FC 24x7 3年 Aruba ClrPass Ent 5K EP用</v>
          </cell>
          <cell r="C4028" t="str">
            <v>【ファウンデーションケア】</v>
          </cell>
        </row>
        <row r="4029">
          <cell r="A4029" t="str">
            <v>H2WS7E</v>
          </cell>
          <cell r="B4029" t="str">
            <v>FC 24x7 4年 Aruba ClrPass Ent 5K EP用</v>
          </cell>
          <cell r="C4029" t="str">
            <v>【ファウンデーションケア】</v>
          </cell>
        </row>
        <row r="4030">
          <cell r="A4030" t="str">
            <v>H2WT0E</v>
          </cell>
          <cell r="B4030" t="str">
            <v>FC 24x7 5年 Aruba ClrPass Ent 5K EP用</v>
          </cell>
          <cell r="C4030" t="str">
            <v>【ファウンデーションケア】</v>
          </cell>
        </row>
        <row r="4031">
          <cell r="A4031" t="str">
            <v>H2WT3E</v>
          </cell>
          <cell r="B4031" t="str">
            <v>FC 24x7 1年 Aruba ClrPass Gst 100 EP用</v>
          </cell>
          <cell r="C4031" t="str">
            <v>【ファウンデーションケア】</v>
          </cell>
        </row>
        <row r="4032">
          <cell r="A4032" t="str">
            <v>H2WT4E</v>
          </cell>
          <cell r="B4032" t="str">
            <v>FC 24x7 3年 Aruba ClrPass Gst 100 EP用</v>
          </cell>
          <cell r="C4032" t="str">
            <v>【ファウンデーションケア】</v>
          </cell>
        </row>
        <row r="4033">
          <cell r="A4033" t="str">
            <v>H2WT7E</v>
          </cell>
          <cell r="B4033" t="str">
            <v>FC 24x7 4年 Aruba ClrPass Gst 100 EP用</v>
          </cell>
          <cell r="C4033" t="str">
            <v>【ファウンデーションケア】</v>
          </cell>
        </row>
        <row r="4034">
          <cell r="A4034" t="str">
            <v>H2WU0E</v>
          </cell>
          <cell r="B4034" t="str">
            <v>FC 24x7 5年 Aruba ClrPass Gst 100 EP用</v>
          </cell>
          <cell r="C4034" t="str">
            <v>【ファウンデーションケア】</v>
          </cell>
        </row>
        <row r="4035">
          <cell r="A4035" t="str">
            <v>H2WU3E</v>
          </cell>
          <cell r="B4035" t="str">
            <v>FC 24x7 1年 Aruba ClrPass Gst 100K EP用</v>
          </cell>
          <cell r="C4035" t="str">
            <v>【ファウンデーションケア】</v>
          </cell>
        </row>
        <row r="4036">
          <cell r="A4036" t="str">
            <v>H2WU4E</v>
          </cell>
          <cell r="B4036" t="str">
            <v>FC 24x7 3年 Aruba ClrPass Gst 100K EP用</v>
          </cell>
          <cell r="C4036" t="str">
            <v>【ファウンデーションケア】</v>
          </cell>
        </row>
        <row r="4037">
          <cell r="A4037" t="str">
            <v>H2WU7E</v>
          </cell>
          <cell r="B4037" t="str">
            <v>FC 24x7 4年 Aruba ClrPass Gst 100K EP用</v>
          </cell>
          <cell r="C4037" t="str">
            <v>【ファウンデーションケア】</v>
          </cell>
        </row>
        <row r="4038">
          <cell r="A4038" t="str">
            <v>H2WV0E</v>
          </cell>
          <cell r="B4038" t="str">
            <v>FC 24x7 5年 Aruba ClrPass Gst 100K EP用</v>
          </cell>
          <cell r="C4038" t="str">
            <v>【ファウンデーションケア】</v>
          </cell>
        </row>
        <row r="4039">
          <cell r="A4039" t="str">
            <v>H2WV3E</v>
          </cell>
          <cell r="B4039" t="str">
            <v>FC 24x7 1年 Aruba ClrPass Gst 10K EP用</v>
          </cell>
          <cell r="C4039" t="str">
            <v>【ファウンデーションケア】</v>
          </cell>
        </row>
        <row r="4040">
          <cell r="A4040" t="str">
            <v>H2WV4E</v>
          </cell>
          <cell r="B4040" t="str">
            <v>FC 24x7 3年 Aruba ClrPass Gst 10K EP用</v>
          </cell>
          <cell r="C4040" t="str">
            <v>【ファウンデーションケア】</v>
          </cell>
        </row>
        <row r="4041">
          <cell r="A4041" t="str">
            <v>H2WV7E</v>
          </cell>
          <cell r="B4041" t="str">
            <v>FC 24x7 4年 Aruba ClrPass Gst 10K EP用</v>
          </cell>
          <cell r="C4041" t="str">
            <v>【ファウンデーションケア】</v>
          </cell>
        </row>
        <row r="4042">
          <cell r="A4042" t="str">
            <v>H2WW0E</v>
          </cell>
          <cell r="B4042" t="str">
            <v>FC 24x7 5年 Aruba ClrPass Gst 10K EP用</v>
          </cell>
          <cell r="C4042" t="str">
            <v>【ファウンデーションケア】</v>
          </cell>
        </row>
        <row r="4043">
          <cell r="A4043" t="str">
            <v>H2WW3E</v>
          </cell>
          <cell r="B4043" t="str">
            <v>FC 24x7 1年 Aruba ClrPass Gst 1K EP用</v>
          </cell>
          <cell r="C4043" t="str">
            <v>【ファウンデーションケア】</v>
          </cell>
        </row>
        <row r="4044">
          <cell r="A4044" t="str">
            <v>H2WW4E</v>
          </cell>
          <cell r="B4044" t="str">
            <v>FC 24x7 3年 Aruba ClrPass Gst 1K EP用</v>
          </cell>
          <cell r="C4044" t="str">
            <v>【ファウンデーションケア】</v>
          </cell>
        </row>
        <row r="4045">
          <cell r="A4045" t="str">
            <v>H2WW7E</v>
          </cell>
          <cell r="B4045" t="str">
            <v>FC 24x7 4年 Aruba ClrPass Gst 1K EP用</v>
          </cell>
          <cell r="C4045" t="str">
            <v>【ファウンデーションケア】</v>
          </cell>
        </row>
        <row r="4046">
          <cell r="A4046" t="str">
            <v>H2WX0E</v>
          </cell>
          <cell r="B4046" t="str">
            <v>FC 24x7 5年 Aruba ClrPass Gst 1K EP用</v>
          </cell>
          <cell r="C4046" t="str">
            <v>【ファウンデーションケア】</v>
          </cell>
        </row>
        <row r="4047">
          <cell r="A4047" t="str">
            <v>H2WX3E</v>
          </cell>
          <cell r="B4047" t="str">
            <v>FC 24x7 1年 Aruba ClrPass Gst 2500 EP用</v>
          </cell>
          <cell r="C4047" t="str">
            <v>【ファウンデーションケア】</v>
          </cell>
        </row>
        <row r="4048">
          <cell r="A4048" t="str">
            <v>H2WX4E</v>
          </cell>
          <cell r="B4048" t="str">
            <v>FC 24x7 3年 Aruba ClrPass Gst 2500 EP用</v>
          </cell>
          <cell r="C4048" t="str">
            <v>【ファウンデーションケア】</v>
          </cell>
        </row>
        <row r="4049">
          <cell r="A4049" t="str">
            <v>H2WX7E</v>
          </cell>
          <cell r="B4049" t="str">
            <v>FC 24x7 4年 Aruba ClrPass Gst 2500 EP用</v>
          </cell>
          <cell r="C4049" t="str">
            <v>【ファウンデーションケア】</v>
          </cell>
        </row>
        <row r="4050">
          <cell r="A4050" t="str">
            <v>H2WY0E</v>
          </cell>
          <cell r="B4050" t="str">
            <v>FC 24x7 5年 Aruba ClrPass Gst 2500 EP用</v>
          </cell>
          <cell r="C4050" t="str">
            <v>【ファウンデーションケア】</v>
          </cell>
        </row>
        <row r="4051">
          <cell r="A4051" t="str">
            <v>H2WY3E</v>
          </cell>
          <cell r="B4051" t="str">
            <v>FC 24x7 1年 Aruba ClrPass Gst 25K EP用</v>
          </cell>
          <cell r="C4051" t="str">
            <v>【ファウンデーションケア】</v>
          </cell>
        </row>
        <row r="4052">
          <cell r="A4052" t="str">
            <v>H2WY4E</v>
          </cell>
          <cell r="B4052" t="str">
            <v>FC 24x7 3年 Aruba ClrPass Gst 25K EP用</v>
          </cell>
          <cell r="C4052" t="str">
            <v>【ファウンデーションケア】</v>
          </cell>
        </row>
        <row r="4053">
          <cell r="A4053" t="str">
            <v>H2WY7E</v>
          </cell>
          <cell r="B4053" t="str">
            <v>FC 24x7 4年 Aruba ClrPass Gst 25K EP用</v>
          </cell>
          <cell r="C4053" t="str">
            <v>【ファウンデーションケア】</v>
          </cell>
        </row>
        <row r="4054">
          <cell r="A4054" t="str">
            <v>H2WZ0E</v>
          </cell>
          <cell r="B4054" t="str">
            <v>FC 24x7 5年 Aruba ClrPass Gst 25K EP用</v>
          </cell>
          <cell r="C4054" t="str">
            <v>【ファウンデーションケア】</v>
          </cell>
        </row>
        <row r="4055">
          <cell r="A4055" t="str">
            <v>H2WZ3E</v>
          </cell>
          <cell r="B4055" t="str">
            <v>FC 24x7 1年 Aruba ClrPass Gst 500 EP用</v>
          </cell>
          <cell r="C4055" t="str">
            <v>【ファウンデーションケア】</v>
          </cell>
        </row>
        <row r="4056">
          <cell r="A4056" t="str">
            <v>H2WZ4E</v>
          </cell>
          <cell r="B4056" t="str">
            <v>FC 24x7 3年 Aruba ClrPass Gst 500 EP用</v>
          </cell>
          <cell r="C4056" t="str">
            <v>【ファウンデーションケア】</v>
          </cell>
        </row>
        <row r="4057">
          <cell r="A4057" t="str">
            <v>H2WZ7E</v>
          </cell>
          <cell r="B4057" t="str">
            <v>FC 24x7 4年 Aruba ClrPass Gst 500 EP用</v>
          </cell>
          <cell r="C4057" t="str">
            <v>【ファウンデーションケア】</v>
          </cell>
        </row>
        <row r="4058">
          <cell r="A4058" t="str">
            <v>H2XA0E</v>
          </cell>
          <cell r="B4058" t="str">
            <v>FC 24x7 5年 Aruba ClrPass Gst 500 EP用</v>
          </cell>
          <cell r="C4058" t="str">
            <v>【ファウンデーションケア】</v>
          </cell>
        </row>
        <row r="4059">
          <cell r="A4059" t="str">
            <v>H2XA3E</v>
          </cell>
          <cell r="B4059" t="str">
            <v>FC 24x7 1年 Aruba ClrPass Gst 50K EP用</v>
          </cell>
          <cell r="C4059" t="str">
            <v>【ファウンデーションケア】</v>
          </cell>
        </row>
        <row r="4060">
          <cell r="A4060" t="str">
            <v>H2XA4E</v>
          </cell>
          <cell r="B4060" t="str">
            <v>FC 24x7 3年 Aruba ClrPass Gst 50K EP用</v>
          </cell>
          <cell r="C4060" t="str">
            <v>【ファウンデーションケア】</v>
          </cell>
        </row>
        <row r="4061">
          <cell r="A4061" t="str">
            <v>H2XA7E</v>
          </cell>
          <cell r="B4061" t="str">
            <v>FC 24x7 4年 Aruba ClrPass Gst 50K EP用</v>
          </cell>
          <cell r="C4061" t="str">
            <v>【ファウンデーションケア】</v>
          </cell>
        </row>
        <row r="4062">
          <cell r="A4062" t="str">
            <v>H2XB0E</v>
          </cell>
          <cell r="B4062" t="str">
            <v>FC 24x7 5年 Aruba ClrPass Gst 50K EP用</v>
          </cell>
          <cell r="C4062" t="str">
            <v>【ファウンデーションケア】</v>
          </cell>
        </row>
        <row r="4063">
          <cell r="A4063" t="str">
            <v>H2XB3E</v>
          </cell>
          <cell r="B4063" t="str">
            <v>FC 24x7 1年 Aruba ClrPass Gst 5K EP用</v>
          </cell>
          <cell r="C4063" t="str">
            <v>【ファウンデーションケア】</v>
          </cell>
        </row>
        <row r="4064">
          <cell r="A4064" t="str">
            <v>H2XB4E</v>
          </cell>
          <cell r="B4064" t="str">
            <v>FC 24x7 3年 Aruba ClrPass Gst 5K EP用</v>
          </cell>
          <cell r="C4064" t="str">
            <v>【ファウンデーションケア】</v>
          </cell>
        </row>
        <row r="4065">
          <cell r="A4065" t="str">
            <v>H2XB7E</v>
          </cell>
          <cell r="B4065" t="str">
            <v>FC 24x7 4年 Aruba ClrPass Gst 5K EP用</v>
          </cell>
          <cell r="C4065" t="str">
            <v>【ファウンデーションケア】</v>
          </cell>
        </row>
        <row r="4066">
          <cell r="A4066" t="str">
            <v>H2XC0E</v>
          </cell>
          <cell r="B4066" t="str">
            <v>FC 24x7 5年 Aruba ClrPass Gst 5K EP用</v>
          </cell>
          <cell r="C4066" t="str">
            <v>【ファウンデーションケア】</v>
          </cell>
        </row>
        <row r="4067">
          <cell r="A4067" t="str">
            <v>H2XC3E</v>
          </cell>
          <cell r="B4067" t="str">
            <v>FC 24x7 1年 Aruba ClrPass OB 1K Dev用</v>
          </cell>
          <cell r="C4067" t="str">
            <v>【ファウンデーションケア】</v>
          </cell>
        </row>
        <row r="4068">
          <cell r="A4068" t="str">
            <v>H2XC4E</v>
          </cell>
          <cell r="B4068" t="str">
            <v>FC 24x7 3年 Aruba ClrPass OB 1K Dev用</v>
          </cell>
          <cell r="C4068" t="str">
            <v>【ファウンデーションケア】</v>
          </cell>
        </row>
        <row r="4069">
          <cell r="A4069" t="str">
            <v>H2XC7E</v>
          </cell>
          <cell r="B4069" t="str">
            <v>FC 24x7 4年 Aruba ClrPass OB 1K Dev用</v>
          </cell>
          <cell r="C4069" t="str">
            <v>【ファウンデーションケア】</v>
          </cell>
        </row>
        <row r="4070">
          <cell r="A4070" t="str">
            <v>H2XD0E</v>
          </cell>
          <cell r="B4070" t="str">
            <v>FC 24x7 5年 Aruba ClrPass OB 1K Dev用</v>
          </cell>
          <cell r="C4070" t="str">
            <v>【ファウンデーションケア】</v>
          </cell>
        </row>
        <row r="4071">
          <cell r="A4071" t="str">
            <v>H2XD3E</v>
          </cell>
          <cell r="B4071" t="str">
            <v>FC 24x7 1年 Aruba ClrPass OB 100 Dev用</v>
          </cell>
          <cell r="C4071" t="str">
            <v>【ファウンデーションケア】</v>
          </cell>
        </row>
        <row r="4072">
          <cell r="A4072" t="str">
            <v>H2XD4E</v>
          </cell>
          <cell r="B4072" t="str">
            <v>FC 24x7 3年 Aruba ClrPass OB 100 Dev用</v>
          </cell>
          <cell r="C4072" t="str">
            <v>【ファウンデーションケア】</v>
          </cell>
        </row>
        <row r="4073">
          <cell r="A4073" t="str">
            <v>H2XD7E</v>
          </cell>
          <cell r="B4073" t="str">
            <v>FC 24x7 4年 Aruba ClrPass OB 100 Dev用</v>
          </cell>
          <cell r="C4073" t="str">
            <v>【ファウンデーションケア】</v>
          </cell>
        </row>
        <row r="4074">
          <cell r="A4074" t="str">
            <v>H2XE0E</v>
          </cell>
          <cell r="B4074" t="str">
            <v>FC 24x7 5年 Aruba ClrPass OB 100 Dev用</v>
          </cell>
          <cell r="C4074" t="str">
            <v>【ファウンデーションケア】</v>
          </cell>
        </row>
        <row r="4075">
          <cell r="A4075" t="str">
            <v>H2XE3E</v>
          </cell>
          <cell r="B4075" t="str">
            <v>FC 24x7 1年 Aruba ClrPass OB 100K Dev用</v>
          </cell>
          <cell r="C4075" t="str">
            <v>【ファウンデーションケア】</v>
          </cell>
        </row>
        <row r="4076">
          <cell r="A4076" t="str">
            <v>H2XE4E</v>
          </cell>
          <cell r="B4076" t="str">
            <v>FC 24x7 3年 Aruba ClrPass OB 100K Dev用</v>
          </cell>
          <cell r="C4076" t="str">
            <v>【ファウンデーションケア】</v>
          </cell>
        </row>
        <row r="4077">
          <cell r="A4077" t="str">
            <v>H2XE7E</v>
          </cell>
          <cell r="B4077" t="str">
            <v>FC 24x7 4年 Aruba ClrPass OB 100K Dev用</v>
          </cell>
          <cell r="C4077" t="str">
            <v>【ファウンデーションケア】</v>
          </cell>
        </row>
        <row r="4078">
          <cell r="A4078" t="str">
            <v>H2XF0E</v>
          </cell>
          <cell r="B4078" t="str">
            <v>FC 24x7 5年 Aruba ClrPass OB 100K Dev用</v>
          </cell>
          <cell r="C4078" t="str">
            <v>【ファウンデーションケア】</v>
          </cell>
        </row>
        <row r="4079">
          <cell r="A4079" t="str">
            <v>H2XF3E</v>
          </cell>
          <cell r="B4079" t="str">
            <v>FC 24x7 1年 Aruba ClrPass OB 2500 Dev用</v>
          </cell>
          <cell r="C4079" t="str">
            <v>【ファウンデーションケア】</v>
          </cell>
        </row>
        <row r="4080">
          <cell r="A4080" t="str">
            <v>H2XF4E</v>
          </cell>
          <cell r="B4080" t="str">
            <v>FC 24x7 3年 Aruba ClrPass OB 2500 Dev用</v>
          </cell>
          <cell r="C4080" t="str">
            <v>【ファウンデーションケア】</v>
          </cell>
        </row>
        <row r="4081">
          <cell r="A4081" t="str">
            <v>H2XF7E</v>
          </cell>
          <cell r="B4081" t="str">
            <v>FC 24x7 4年 Aruba ClrPass OB 2500 Dev用</v>
          </cell>
          <cell r="C4081" t="str">
            <v>【ファウンデーションケア】</v>
          </cell>
        </row>
        <row r="4082">
          <cell r="A4082" t="str">
            <v>H2XG0E</v>
          </cell>
          <cell r="B4082" t="str">
            <v>FC 24x7 5年 Aruba ClrPass OB 2500 Dev用</v>
          </cell>
          <cell r="C4082" t="str">
            <v>【ファウンデーションケア】</v>
          </cell>
        </row>
        <row r="4083">
          <cell r="A4083" t="str">
            <v>H2XG3E</v>
          </cell>
          <cell r="B4083" t="str">
            <v>FC 24x7 1年 Aruba ClrPass OB 25K Dev用</v>
          </cell>
          <cell r="C4083" t="str">
            <v>【ファウンデーションケア】</v>
          </cell>
        </row>
        <row r="4084">
          <cell r="A4084" t="str">
            <v>H2XG4E</v>
          </cell>
          <cell r="B4084" t="str">
            <v>FC 24x7 3年 Aruba ClrPass OB 25K Dev用</v>
          </cell>
          <cell r="C4084" t="str">
            <v>【ファウンデーションケア】</v>
          </cell>
        </row>
        <row r="4085">
          <cell r="A4085" t="str">
            <v>H2XG7E</v>
          </cell>
          <cell r="B4085" t="str">
            <v>FC 24x7 4年 Aruba ClrPass OB 25K Dev用</v>
          </cell>
          <cell r="C4085" t="str">
            <v>【ファウンデーションケア】</v>
          </cell>
        </row>
        <row r="4086">
          <cell r="A4086" t="str">
            <v>H2XH0E</v>
          </cell>
          <cell r="B4086" t="str">
            <v>FC 24x7 5年 Aruba ClrPass OB 25K Dev用</v>
          </cell>
          <cell r="C4086" t="str">
            <v>【ファウンデーションケア】</v>
          </cell>
        </row>
        <row r="4087">
          <cell r="A4087" t="str">
            <v>H2XH3E</v>
          </cell>
          <cell r="B4087" t="str">
            <v>FC 24x7 1年 Aruba ClrPass OB 500 Dev用</v>
          </cell>
          <cell r="C4087" t="str">
            <v>【ファウンデーションケア】</v>
          </cell>
        </row>
        <row r="4088">
          <cell r="A4088" t="str">
            <v>H2XH4E</v>
          </cell>
          <cell r="B4088" t="str">
            <v>FC 24x7 3年 Aruba ClrPass OB 500 Dev用</v>
          </cell>
          <cell r="C4088" t="str">
            <v>【ファウンデーションケア】</v>
          </cell>
        </row>
        <row r="4089">
          <cell r="A4089" t="str">
            <v>H2XH7E</v>
          </cell>
          <cell r="B4089" t="str">
            <v>FC 24x7 4年 Aruba ClrPass OB 500 Dev用</v>
          </cell>
          <cell r="C4089" t="str">
            <v>【ファウンデーションケア】</v>
          </cell>
        </row>
        <row r="4090">
          <cell r="A4090" t="str">
            <v>H2XJ0E</v>
          </cell>
          <cell r="B4090" t="str">
            <v>FC 24x7 5年 Aruba ClrPass OB 500 Dev用</v>
          </cell>
          <cell r="C4090" t="str">
            <v>【ファウンデーションケア】</v>
          </cell>
        </row>
        <row r="4091">
          <cell r="A4091" t="str">
            <v>H2XJ3E</v>
          </cell>
          <cell r="B4091" t="str">
            <v>FC 24x7 1年 Aruba ClrPass OB 50K Dev用</v>
          </cell>
          <cell r="C4091" t="str">
            <v>【ファウンデーションケア】</v>
          </cell>
        </row>
        <row r="4092">
          <cell r="A4092" t="str">
            <v>H2XJ4E</v>
          </cell>
          <cell r="B4092" t="str">
            <v>FC 24x7 3年 Aruba ClrPass OB 50K Dev用</v>
          </cell>
          <cell r="C4092" t="str">
            <v>【ファウンデーションケア】</v>
          </cell>
        </row>
        <row r="4093">
          <cell r="A4093" t="str">
            <v>H2XJ7E</v>
          </cell>
          <cell r="B4093" t="str">
            <v>FC 24x7 4年 Aruba ClrPass OB 50K Dev用</v>
          </cell>
          <cell r="C4093" t="str">
            <v>【ファウンデーションケア】</v>
          </cell>
        </row>
        <row r="4094">
          <cell r="A4094" t="str">
            <v>H2XK0E</v>
          </cell>
          <cell r="B4094" t="str">
            <v>FC 24x7 5年 Aruba ClrPass OB 50K Dev用</v>
          </cell>
          <cell r="C4094" t="str">
            <v>【ファウンデーションケア】</v>
          </cell>
        </row>
        <row r="4095">
          <cell r="A4095" t="str">
            <v>H2XK3E</v>
          </cell>
          <cell r="B4095" t="str">
            <v>FC 24x7 1年 Aruba ClrPass OB 5K Dev用</v>
          </cell>
          <cell r="C4095" t="str">
            <v>【ファウンデーションケア】</v>
          </cell>
        </row>
        <row r="4096">
          <cell r="A4096" t="str">
            <v>H2XK4E</v>
          </cell>
          <cell r="B4096" t="str">
            <v>FC 24x7 3年 Aruba ClrPass OB 5K Dev用</v>
          </cell>
          <cell r="C4096" t="str">
            <v>【ファウンデーションケア】</v>
          </cell>
        </row>
        <row r="4097">
          <cell r="A4097" t="str">
            <v>H2XK7E</v>
          </cell>
          <cell r="B4097" t="str">
            <v>FC 24x7 4年 Aruba ClrPass OB 5K Dev用</v>
          </cell>
          <cell r="C4097" t="str">
            <v>【ファウンデーションケア】</v>
          </cell>
        </row>
        <row r="4098">
          <cell r="A4098" t="str">
            <v>H2XL0E</v>
          </cell>
          <cell r="B4098" t="str">
            <v>FC 24x7 5年 Aruba ClrPass OB 5K Dev用</v>
          </cell>
          <cell r="C4098" t="str">
            <v>【ファウンデーションケア】</v>
          </cell>
        </row>
        <row r="4099">
          <cell r="A4099" t="str">
            <v>H2XL3E</v>
          </cell>
          <cell r="B4099" t="str">
            <v>FC 24x7 1年 Aruba ClrPass OG 1K EP用</v>
          </cell>
          <cell r="C4099" t="str">
            <v>【ファウンデーションケア】</v>
          </cell>
        </row>
        <row r="4100">
          <cell r="A4100" t="str">
            <v>H2XL4E</v>
          </cell>
          <cell r="B4100" t="str">
            <v>FC 24x7 3年 Aruba ClrPass OG 1K EP用</v>
          </cell>
          <cell r="C4100" t="str">
            <v>【ファウンデーションケア】</v>
          </cell>
        </row>
        <row r="4101">
          <cell r="A4101" t="str">
            <v>H2XL7E</v>
          </cell>
          <cell r="B4101" t="str">
            <v>FC 24x7 4年 Aruba ClrPass OG 1K EP用</v>
          </cell>
          <cell r="C4101" t="str">
            <v>【ファウンデーションケア】</v>
          </cell>
        </row>
        <row r="4102">
          <cell r="A4102" t="str">
            <v>H2XM0E</v>
          </cell>
          <cell r="B4102" t="str">
            <v>FC 24x7 5年 Aruba ClrPass OG 1K EP用</v>
          </cell>
          <cell r="C4102" t="str">
            <v>【ファウンデーションケア】</v>
          </cell>
        </row>
        <row r="4103">
          <cell r="A4103" t="str">
            <v>H2XM3E</v>
          </cell>
          <cell r="B4103" t="str">
            <v>FC 24x7 1年 Aruba ClrPass OG 100 EP用</v>
          </cell>
          <cell r="C4103" t="str">
            <v>【ファウンデーションケア】</v>
          </cell>
        </row>
        <row r="4104">
          <cell r="A4104" t="str">
            <v>H2XM4E</v>
          </cell>
          <cell r="B4104" t="str">
            <v>FC 24x7 3年 Aruba ClrPass OG 100 EP用</v>
          </cell>
          <cell r="C4104" t="str">
            <v>【ファウンデーションケア】</v>
          </cell>
        </row>
        <row r="4105">
          <cell r="A4105" t="str">
            <v>H2XM7E</v>
          </cell>
          <cell r="B4105" t="str">
            <v>FC 24x7 4年 Aruba ClrPass OG 100 EP用</v>
          </cell>
          <cell r="C4105" t="str">
            <v>【ファウンデーションケア】</v>
          </cell>
        </row>
        <row r="4106">
          <cell r="A4106" t="str">
            <v>H2XN0E</v>
          </cell>
          <cell r="B4106" t="str">
            <v>FC 24x7 5年 Aruba ClrPass OG 100 EP用</v>
          </cell>
          <cell r="C4106" t="str">
            <v>【ファウンデーションケア】</v>
          </cell>
        </row>
        <row r="4107">
          <cell r="A4107" t="str">
            <v>H2XN3E</v>
          </cell>
          <cell r="B4107" t="str">
            <v>FC 24x7 1年 Aruba ClrPass OG 100K EP用</v>
          </cell>
          <cell r="C4107" t="str">
            <v>【ファウンデーションケア】</v>
          </cell>
        </row>
        <row r="4108">
          <cell r="A4108" t="str">
            <v>H2XN4E</v>
          </cell>
          <cell r="B4108" t="str">
            <v>FC 24x7 3年 Aruba ClrPass OG 100K EP用</v>
          </cell>
          <cell r="C4108" t="str">
            <v>【ファウンデーションケア】</v>
          </cell>
        </row>
        <row r="4109">
          <cell r="A4109" t="str">
            <v>H2XN7E</v>
          </cell>
          <cell r="B4109" t="str">
            <v>FC 24x7 4年 Aruba ClrPass OG 100K EP用</v>
          </cell>
          <cell r="C4109" t="str">
            <v>【ファウンデーションケア】</v>
          </cell>
        </row>
        <row r="4110">
          <cell r="A4110" t="str">
            <v>H2XP0E</v>
          </cell>
          <cell r="B4110" t="str">
            <v>FC 24x7 5年 Aruba ClrPass OG 100K EP用</v>
          </cell>
          <cell r="C4110" t="str">
            <v>【ファウンデーションケア】</v>
          </cell>
        </row>
        <row r="4111">
          <cell r="A4111" t="str">
            <v>H2XP3E</v>
          </cell>
          <cell r="B4111" t="str">
            <v>FC 24x7 1年 Aruba ClrPass OG 10K EP用</v>
          </cell>
          <cell r="C4111" t="str">
            <v>【ファウンデーションケア】</v>
          </cell>
        </row>
        <row r="4112">
          <cell r="A4112" t="str">
            <v>H2XP4E</v>
          </cell>
          <cell r="B4112" t="str">
            <v>FC 24x7 3年 Aruba ClrPass OG 10K EP用</v>
          </cell>
          <cell r="C4112" t="str">
            <v>【ファウンデーションケア】</v>
          </cell>
        </row>
        <row r="4113">
          <cell r="A4113" t="str">
            <v>H2XP7E</v>
          </cell>
          <cell r="B4113" t="str">
            <v>FC 24x7 4年 Aruba ClrPass OG 10K EP用</v>
          </cell>
          <cell r="C4113" t="str">
            <v>【ファウンデーションケア】</v>
          </cell>
        </row>
        <row r="4114">
          <cell r="A4114" t="str">
            <v>H2XQ0E</v>
          </cell>
          <cell r="B4114" t="str">
            <v>FC 24x7 5年 Aruba ClrPass OG 10K EP用</v>
          </cell>
          <cell r="C4114" t="str">
            <v>【ファウンデーションケア】</v>
          </cell>
        </row>
        <row r="4115">
          <cell r="A4115" t="str">
            <v>H2XQ3E</v>
          </cell>
          <cell r="B4115" t="str">
            <v>FC 24x7 1年 Aruba ClrPass OG 2500 EP用</v>
          </cell>
          <cell r="C4115" t="str">
            <v>【ファウンデーションケア】</v>
          </cell>
        </row>
        <row r="4116">
          <cell r="A4116" t="str">
            <v>H2XQ4E</v>
          </cell>
          <cell r="B4116" t="str">
            <v>FC 24x7 3年 Aruba ClrPass OG 2500 EP用</v>
          </cell>
          <cell r="C4116" t="str">
            <v>【ファウンデーションケア】</v>
          </cell>
        </row>
        <row r="4117">
          <cell r="A4117" t="str">
            <v>H2XQ7E</v>
          </cell>
          <cell r="B4117" t="str">
            <v>FC 24x7 4年 Aruba ClrPass OG 2500 EP用</v>
          </cell>
          <cell r="C4117" t="str">
            <v>【ファウンデーションケア】</v>
          </cell>
        </row>
        <row r="4118">
          <cell r="A4118" t="str">
            <v>H2XR0E</v>
          </cell>
          <cell r="B4118" t="str">
            <v>FC 24x7 5年 Aruba ClrPass OG 2500 EP用</v>
          </cell>
          <cell r="C4118" t="str">
            <v>【ファウンデーションケア】</v>
          </cell>
        </row>
        <row r="4119">
          <cell r="A4119" t="str">
            <v>H2XR3E</v>
          </cell>
          <cell r="B4119" t="str">
            <v>FC 24x7 1年 Aruba ClrPass OG 25K EP用</v>
          </cell>
          <cell r="C4119" t="str">
            <v>【ファウンデーションケア】</v>
          </cell>
        </row>
        <row r="4120">
          <cell r="A4120" t="str">
            <v>H2XR4E</v>
          </cell>
          <cell r="B4120" t="str">
            <v>FC 24x7 3年 Aruba ClrPass OG 25K EP用</v>
          </cell>
          <cell r="C4120" t="str">
            <v>【ファウンデーションケア】</v>
          </cell>
        </row>
        <row r="4121">
          <cell r="A4121" t="str">
            <v>H2XR7E</v>
          </cell>
          <cell r="B4121" t="str">
            <v>FC 24x7 4年 Aruba ClrPass OG 25K EP用</v>
          </cell>
          <cell r="C4121" t="str">
            <v>【ファウンデーションケア】</v>
          </cell>
        </row>
        <row r="4122">
          <cell r="A4122" t="str">
            <v>H2XS0E</v>
          </cell>
          <cell r="B4122" t="str">
            <v>FC 24x7 5年 Aruba ClrPass OG 25K EP用</v>
          </cell>
          <cell r="C4122" t="str">
            <v>【ファウンデーションケア】</v>
          </cell>
        </row>
        <row r="4123">
          <cell r="A4123" t="str">
            <v>H2XS3E</v>
          </cell>
          <cell r="B4123" t="str">
            <v>FC 24x7 1年 Aruba ClrPass OG 500 EP用</v>
          </cell>
          <cell r="C4123" t="str">
            <v>【ファウンデーションケア】</v>
          </cell>
        </row>
        <row r="4124">
          <cell r="A4124" t="str">
            <v>H2XS4E</v>
          </cell>
          <cell r="B4124" t="str">
            <v>FC 24x7 3年 Aruba ClrPass OG 500 EP用</v>
          </cell>
          <cell r="C4124" t="str">
            <v>【ファウンデーションケア】</v>
          </cell>
        </row>
        <row r="4125">
          <cell r="A4125" t="str">
            <v>H2XS7E</v>
          </cell>
          <cell r="B4125" t="str">
            <v>FC 24x7 4年 Aruba ClrPass OG 500 EP用</v>
          </cell>
          <cell r="C4125" t="str">
            <v>【ファウンデーションケア】</v>
          </cell>
        </row>
        <row r="4126">
          <cell r="A4126" t="str">
            <v>H2XT0E</v>
          </cell>
          <cell r="B4126" t="str">
            <v>FC 24x7 5年 Aruba ClrPass OG 500 EP用</v>
          </cell>
          <cell r="C4126" t="str">
            <v>【ファウンデーションケア】</v>
          </cell>
        </row>
        <row r="4127">
          <cell r="A4127" t="str">
            <v>H2XT3E</v>
          </cell>
          <cell r="B4127" t="str">
            <v>FC 24x7 1年 Aruba ClrPass OG 50K EP用</v>
          </cell>
          <cell r="C4127" t="str">
            <v>【ファウンデーションケア】</v>
          </cell>
        </row>
        <row r="4128">
          <cell r="A4128" t="str">
            <v>H2XT4E</v>
          </cell>
          <cell r="B4128" t="str">
            <v>FC 24x7 3年 Aruba ClrPass OG 50K EP用</v>
          </cell>
          <cell r="C4128" t="str">
            <v>【ファウンデーションケア】</v>
          </cell>
        </row>
        <row r="4129">
          <cell r="A4129" t="str">
            <v>H2XT7E</v>
          </cell>
          <cell r="B4129" t="str">
            <v>FC 24x7 4年 Aruba ClrPass OG 50K EP用</v>
          </cell>
          <cell r="C4129" t="str">
            <v>【ファウンデーションケア】</v>
          </cell>
        </row>
        <row r="4130">
          <cell r="A4130" t="str">
            <v>H2XU0E</v>
          </cell>
          <cell r="B4130" t="str">
            <v>FC 24x7 5年 Aruba ClrPass OG 50K EP用</v>
          </cell>
          <cell r="C4130" t="str">
            <v>【ファウンデーションケア】</v>
          </cell>
        </row>
        <row r="4131">
          <cell r="A4131" t="str">
            <v>H2XU3E</v>
          </cell>
          <cell r="B4131" t="str">
            <v>FC 24x7 1年 Aruba ClrPass OG 5K EP用</v>
          </cell>
          <cell r="C4131" t="str">
            <v>【ファウンデーションケア】</v>
          </cell>
        </row>
        <row r="4132">
          <cell r="A4132" t="str">
            <v>H2XU4E</v>
          </cell>
          <cell r="B4132" t="str">
            <v>FC 24x7 3年 Aruba ClrPass OG 5K EP用</v>
          </cell>
          <cell r="C4132" t="str">
            <v>【ファウンデーションケア】</v>
          </cell>
        </row>
        <row r="4133">
          <cell r="A4133" t="str">
            <v>H2XU7E</v>
          </cell>
          <cell r="B4133" t="str">
            <v>FC 24x7 4年 Aruba ClrPass OG 5K EP用</v>
          </cell>
          <cell r="C4133" t="str">
            <v>【ファウンデーションケア】</v>
          </cell>
        </row>
        <row r="4134">
          <cell r="A4134" t="str">
            <v>H2XV0E</v>
          </cell>
          <cell r="B4134" t="str">
            <v>FC 24x7 5年 Aruba ClrPass OG 5K EP用</v>
          </cell>
          <cell r="C4134" t="str">
            <v>【ファウンデーションケア】</v>
          </cell>
        </row>
        <row r="4135">
          <cell r="A4135" t="str">
            <v>H2YF3E</v>
          </cell>
          <cell r="B4135" t="str">
            <v>FC 24x7 1年 Aruba ClrPass Ent 100K EP用</v>
          </cell>
          <cell r="C4135" t="str">
            <v>【ファウンデーションケア】</v>
          </cell>
        </row>
        <row r="4136">
          <cell r="A4136" t="str">
            <v>H2YF4E</v>
          </cell>
          <cell r="B4136" t="str">
            <v>FC 24x7 3年 Aruba ClrPass Ent 100K EP用</v>
          </cell>
          <cell r="C4136" t="str">
            <v>【ファウンデーションケア】</v>
          </cell>
        </row>
        <row r="4137">
          <cell r="A4137" t="str">
            <v>H2YF7E</v>
          </cell>
          <cell r="B4137" t="str">
            <v>FC 24x7 4年 Aruba ClrPass Ent 100K EP用</v>
          </cell>
          <cell r="C4137" t="str">
            <v>【ファウンデーションケア】</v>
          </cell>
        </row>
        <row r="4138">
          <cell r="A4138" t="str">
            <v>H2YG0E</v>
          </cell>
          <cell r="B4138" t="str">
            <v>FC 24x7 5年 Aruba ClrPass Ent 100K EP用</v>
          </cell>
          <cell r="C4138" t="str">
            <v>【ファウンデーションケア】</v>
          </cell>
        </row>
        <row r="4139">
          <cell r="A4139" t="str">
            <v>H2YG3E</v>
          </cell>
          <cell r="B4139" t="str">
            <v>FC 24x7 1年 Aruba ClrPass OB 10K Dev用</v>
          </cell>
          <cell r="C4139" t="str">
            <v>【ファウンデーションケア】</v>
          </cell>
        </row>
        <row r="4140">
          <cell r="A4140" t="str">
            <v>H2YG4E</v>
          </cell>
          <cell r="B4140" t="str">
            <v>FC 24x7 3年 Aruba ClrPass OB 10K Dev用</v>
          </cell>
          <cell r="C4140" t="str">
            <v>【ファウンデーションケア】</v>
          </cell>
        </row>
        <row r="4141">
          <cell r="A4141" t="str">
            <v>H2YG7E</v>
          </cell>
          <cell r="B4141" t="str">
            <v>FC 24x7 4年 Aruba ClrPass OB 10K Dev用</v>
          </cell>
          <cell r="C4141" t="str">
            <v>【ファウンデーションケア】</v>
          </cell>
        </row>
        <row r="4142">
          <cell r="A4142" t="str">
            <v>H2YH0E</v>
          </cell>
          <cell r="B4142" t="str">
            <v>FC 24x7 5年 Aruba ClrPass OB 10K Dev用</v>
          </cell>
          <cell r="C4142" t="str">
            <v>【ファウンデーションケア】</v>
          </cell>
        </row>
        <row r="4143">
          <cell r="A4143" t="str">
            <v>H2YH3E</v>
          </cell>
          <cell r="B4143" t="str">
            <v>FC 24x7 1年 Aruba 25K Vrtl App Lic用</v>
          </cell>
          <cell r="C4143" t="str">
            <v>【ファウンデーションケア】</v>
          </cell>
        </row>
        <row r="4144">
          <cell r="A4144" t="str">
            <v>H2YH4E</v>
          </cell>
          <cell r="B4144" t="str">
            <v>FC 24x7 3年 Aruba 25K Vrtl App Lic用</v>
          </cell>
          <cell r="C4144" t="str">
            <v>【ファウンデーションケア】</v>
          </cell>
        </row>
        <row r="4145">
          <cell r="A4145" t="str">
            <v>H2YH7E</v>
          </cell>
          <cell r="B4145" t="str">
            <v>FC 24x7 4年 Aruba 25K Vrtl App Lic用</v>
          </cell>
          <cell r="C4145" t="str">
            <v>【ファウンデーションケア】</v>
          </cell>
        </row>
        <row r="4146">
          <cell r="A4146" t="str">
            <v>H2YJ0E</v>
          </cell>
          <cell r="B4146" t="str">
            <v>FC 24x7 5年 Aruba 25K Vrtl App Lic用</v>
          </cell>
          <cell r="C4146" t="str">
            <v>【ファウンデーションケア】</v>
          </cell>
        </row>
        <row r="4147">
          <cell r="A4147" t="str">
            <v>H2YJ3E</v>
          </cell>
          <cell r="B4147" t="str">
            <v>FC 24x7 1年 Aruba 500 Vrtl App Lic用</v>
          </cell>
          <cell r="C4147" t="str">
            <v>【ファウンデーションケア】</v>
          </cell>
        </row>
        <row r="4148">
          <cell r="A4148" t="str">
            <v>H2YJ4E</v>
          </cell>
          <cell r="B4148" t="str">
            <v>FC 24x7 3年 Aruba 500 Vrtl App Lic用</v>
          </cell>
          <cell r="C4148" t="str">
            <v>【ファウンデーションケア】</v>
          </cell>
        </row>
        <row r="4149">
          <cell r="A4149" t="str">
            <v>H2YJ7E</v>
          </cell>
          <cell r="B4149" t="str">
            <v>FC 24x7 4年 Aruba 500 Vrtl App Lic用</v>
          </cell>
          <cell r="C4149" t="str">
            <v>【ファウンデーションケア】</v>
          </cell>
        </row>
        <row r="4150">
          <cell r="A4150" t="str">
            <v>H2YK0E</v>
          </cell>
          <cell r="B4150" t="str">
            <v>FC 24x7 5年 Aruba 500 Vrtl App Lic用</v>
          </cell>
          <cell r="C4150" t="str">
            <v>【ファウンデーションケア】</v>
          </cell>
        </row>
        <row r="4151">
          <cell r="A4151" t="str">
            <v>H2YK3E</v>
          </cell>
          <cell r="B4151" t="str">
            <v>FC 24x7 1年 Aruba 5K Vrtl App Lic用</v>
          </cell>
          <cell r="C4151" t="str">
            <v>【ファウンデーションケア】</v>
          </cell>
        </row>
        <row r="4152">
          <cell r="A4152" t="str">
            <v>H2YK4E</v>
          </cell>
          <cell r="B4152" t="str">
            <v>FC 24x7 3年 Aruba 5K Vrtl App Lic用</v>
          </cell>
          <cell r="C4152" t="str">
            <v>【ファウンデーションケア】</v>
          </cell>
        </row>
        <row r="4153">
          <cell r="A4153" t="str">
            <v>H2YK7E</v>
          </cell>
          <cell r="B4153" t="str">
            <v>FC 24x7 4年 Aruba 5K Vrtl App Lic用</v>
          </cell>
          <cell r="C4153" t="str">
            <v>【ファウンデーションケア】</v>
          </cell>
        </row>
        <row r="4154">
          <cell r="A4154" t="str">
            <v>H2YL0E</v>
          </cell>
          <cell r="B4154" t="str">
            <v>FC 24x7 5年 Aruba 5K Vrtl App Lic用</v>
          </cell>
          <cell r="C4154" t="str">
            <v>【ファウンデーションケア】</v>
          </cell>
        </row>
        <row r="4155">
          <cell r="A4155" t="str">
            <v>H3UC9E</v>
          </cell>
          <cell r="B4155" t="str">
            <v>FC Exchange 1年 ClearPass 500用</v>
          </cell>
          <cell r="C4155" t="str">
            <v>【ファウンデーションケア】</v>
          </cell>
        </row>
        <row r="4156">
          <cell r="A4156" t="str">
            <v>H3UD1E</v>
          </cell>
          <cell r="B4156" t="str">
            <v>FC 翌日 1年 ClearPass 500用</v>
          </cell>
          <cell r="C4156" t="str">
            <v>【ファウンデーションケア】</v>
          </cell>
        </row>
        <row r="4157">
          <cell r="A4157" t="str">
            <v>H3UD3E</v>
          </cell>
          <cell r="B4157" t="str">
            <v>FC 24x7 1年 ClearPass 500用</v>
          </cell>
          <cell r="C4157" t="str">
            <v>【ファウンデーションケア】</v>
          </cell>
        </row>
        <row r="4158">
          <cell r="A4158" t="str">
            <v>H3UD7E</v>
          </cell>
          <cell r="B4158" t="str">
            <v>FC Exchange 3年 ClearPass 500用</v>
          </cell>
          <cell r="C4158" t="str">
            <v>【ファウンデーションケア】</v>
          </cell>
        </row>
        <row r="4159">
          <cell r="A4159" t="str">
            <v>H3UE1E</v>
          </cell>
          <cell r="B4159" t="str">
            <v>FC 翌日 3年 ClearPass 500用</v>
          </cell>
          <cell r="C4159" t="str">
            <v>【ファウンデーションケア】</v>
          </cell>
        </row>
        <row r="4160">
          <cell r="A4160" t="str">
            <v>H3UE3E</v>
          </cell>
          <cell r="B4160" t="str">
            <v>FC 9x5 3年 ClearPass 500用</v>
          </cell>
          <cell r="C4160" t="str">
            <v>【ファウンデーションケア】</v>
          </cell>
        </row>
        <row r="4161">
          <cell r="A4161" t="str">
            <v>H3UE8E</v>
          </cell>
          <cell r="B4161" t="str">
            <v>FC 24x7 3年 ClearPass 500用</v>
          </cell>
          <cell r="C4161" t="str">
            <v>【ファウンデーションケア】</v>
          </cell>
        </row>
        <row r="4162">
          <cell r="A4162" t="str">
            <v>H3UG0E</v>
          </cell>
          <cell r="B4162" t="str">
            <v>FC Exchange 4年 ClearPass 500用</v>
          </cell>
          <cell r="C4162" t="str">
            <v>【ファウンデーションケア】</v>
          </cell>
        </row>
        <row r="4163">
          <cell r="A4163" t="str">
            <v>H3UG4E</v>
          </cell>
          <cell r="B4163" t="str">
            <v>FC 翌日 4年 ClearPass 500用</v>
          </cell>
          <cell r="C4163" t="str">
            <v>【ファウンデーションケア】</v>
          </cell>
        </row>
        <row r="4164">
          <cell r="A4164" t="str">
            <v>H3UG6E</v>
          </cell>
          <cell r="B4164" t="str">
            <v>FC 9x5 4年 ClearPass 500用</v>
          </cell>
          <cell r="C4164" t="str">
            <v>【ファウンデーションケア】</v>
          </cell>
        </row>
        <row r="4165">
          <cell r="A4165" t="str">
            <v>H3UH1E</v>
          </cell>
          <cell r="B4165" t="str">
            <v>FC 24x7 4年 ClearPass 500用</v>
          </cell>
          <cell r="C4165" t="str">
            <v>【ファウンデーションケア】</v>
          </cell>
        </row>
        <row r="4166">
          <cell r="A4166" t="str">
            <v>H3UJ3E</v>
          </cell>
          <cell r="B4166" t="str">
            <v>FC Exchange 5年 ClearPass 500用</v>
          </cell>
          <cell r="C4166" t="str">
            <v>【ファウンデーションケア】</v>
          </cell>
        </row>
        <row r="4167">
          <cell r="A4167" t="str">
            <v>H3UJ7E</v>
          </cell>
          <cell r="B4167" t="str">
            <v>FC 翌日 5年 ClearPass 500用</v>
          </cell>
          <cell r="C4167" t="str">
            <v>【ファウンデーションケア】</v>
          </cell>
        </row>
        <row r="4168">
          <cell r="A4168" t="str">
            <v>H3UJ9E</v>
          </cell>
          <cell r="B4168" t="str">
            <v>FC 9x5 5年 ClearPass 500用</v>
          </cell>
          <cell r="C4168" t="str">
            <v>【ファウンデーションケア】</v>
          </cell>
        </row>
        <row r="4169">
          <cell r="A4169" t="str">
            <v>H3UK4E</v>
          </cell>
          <cell r="B4169" t="str">
            <v>FC 24x7 5年 ClearPass 500用</v>
          </cell>
          <cell r="C4169" t="str">
            <v>【ファウンデーションケア】</v>
          </cell>
        </row>
        <row r="4170">
          <cell r="A4170" t="str">
            <v>H3UL6PE</v>
          </cell>
          <cell r="B4170" t="str">
            <v>PW FC Exch 1年 ClearPass 500用</v>
          </cell>
          <cell r="C4170" t="str">
            <v>【ファウンデーションケア】</v>
          </cell>
        </row>
        <row r="4171">
          <cell r="A4171" t="str">
            <v>H5BA9E</v>
          </cell>
          <cell r="B4171" t="str">
            <v>FC Exchange 1年ClearPass 5K HW Appliance</v>
          </cell>
          <cell r="C4171" t="str">
            <v>【ファウンデーションケア】</v>
          </cell>
        </row>
        <row r="4172">
          <cell r="A4172" t="str">
            <v>H5BB1E</v>
          </cell>
          <cell r="B4172" t="str">
            <v>FC 翌日 1年 ClearPass 5K HW Appliance用</v>
          </cell>
          <cell r="C4172" t="str">
            <v>【ファウンデーションケア】</v>
          </cell>
        </row>
        <row r="4173">
          <cell r="A4173" t="str">
            <v>H5BB2E</v>
          </cell>
          <cell r="B4173" t="str">
            <v>FC 24x7 1年 ClearPass 5K HW Appliance用</v>
          </cell>
          <cell r="C4173" t="str">
            <v>【ファウンデーションケア】</v>
          </cell>
        </row>
        <row r="4174">
          <cell r="A4174" t="str">
            <v>H5BB4E</v>
          </cell>
          <cell r="B4174" t="str">
            <v>FC Exchange 3年ClearPass 5K HW Appliance</v>
          </cell>
          <cell r="C4174" t="str">
            <v>【ファウンデーションケア】</v>
          </cell>
        </row>
        <row r="4175">
          <cell r="A4175" t="str">
            <v>H5BB6E</v>
          </cell>
          <cell r="B4175" t="str">
            <v>FC 翌日 3年 ClearPass 5K HW Appliance用</v>
          </cell>
          <cell r="C4175" t="str">
            <v>【ファウンデーションケア】</v>
          </cell>
        </row>
        <row r="4176">
          <cell r="A4176" t="str">
            <v>H5BB8E</v>
          </cell>
          <cell r="B4176" t="str">
            <v>FC 9x5 3年 ClearPass 5K HW Appliance用</v>
          </cell>
          <cell r="C4176" t="str">
            <v>【ファウンデーションケア】</v>
          </cell>
        </row>
        <row r="4177">
          <cell r="A4177" t="str">
            <v>H5BC3E</v>
          </cell>
          <cell r="B4177" t="str">
            <v>FC 24x7 3年 ClearPass 5K HW Appliance用</v>
          </cell>
          <cell r="C4177" t="str">
            <v>【ファウンデーションケア】</v>
          </cell>
        </row>
        <row r="4178">
          <cell r="A4178" t="str">
            <v>H5BD5E</v>
          </cell>
          <cell r="B4178" t="str">
            <v>FC Exchange 4年ClearPass 5K HW Appliance</v>
          </cell>
          <cell r="C4178" t="str">
            <v>【ファウンデーションケア】</v>
          </cell>
        </row>
        <row r="4179">
          <cell r="A4179" t="str">
            <v>H5BD7E</v>
          </cell>
          <cell r="B4179" t="str">
            <v>FC 翌日 4年 ClearPass 5K HW Appliance用</v>
          </cell>
          <cell r="C4179" t="str">
            <v>【ファウンデーションケア】</v>
          </cell>
        </row>
        <row r="4180">
          <cell r="A4180" t="str">
            <v>H5BD9E</v>
          </cell>
          <cell r="B4180" t="str">
            <v>FC 9x5 4年 ClearPass 5K HW Appliance用</v>
          </cell>
          <cell r="C4180" t="str">
            <v>【ファウンデーションケア】</v>
          </cell>
        </row>
        <row r="4181">
          <cell r="A4181" t="str">
            <v>H5BE4E</v>
          </cell>
          <cell r="B4181" t="str">
            <v>FC 24x7 4年 ClearPass 5K HW Appliance用</v>
          </cell>
          <cell r="C4181" t="str">
            <v>【ファウンデーションケア】</v>
          </cell>
        </row>
        <row r="4182">
          <cell r="A4182" t="str">
            <v>H5BF6E</v>
          </cell>
          <cell r="B4182" t="str">
            <v>FC Exchange 5年ClearPass 5K HW Appliance</v>
          </cell>
          <cell r="C4182" t="str">
            <v>【ファウンデーションケア】</v>
          </cell>
        </row>
        <row r="4183">
          <cell r="A4183" t="str">
            <v>H5BF8E</v>
          </cell>
          <cell r="B4183" t="str">
            <v>FC 翌日 5年 ClearPass 5K HW Appliance用</v>
          </cell>
          <cell r="C4183" t="str">
            <v>【ファウンデーションケア】</v>
          </cell>
        </row>
        <row r="4184">
          <cell r="A4184" t="str">
            <v>H5BG0E</v>
          </cell>
          <cell r="B4184" t="str">
            <v>FC 9x5 5年 ClearPass 5K HW Appliance用</v>
          </cell>
          <cell r="C4184" t="str">
            <v>【ファウンデーションケア】</v>
          </cell>
        </row>
        <row r="4185">
          <cell r="A4185" t="str">
            <v>H5BG5E</v>
          </cell>
          <cell r="B4185" t="str">
            <v>FC 24x7 5年 ClearPass 5K HW Appliance用</v>
          </cell>
          <cell r="C4185" t="str">
            <v>【ファウンデーションケア】</v>
          </cell>
        </row>
        <row r="4186">
          <cell r="A4186" t="str">
            <v>H5BH7PE</v>
          </cell>
          <cell r="B4186" t="str">
            <v>PW FC Exch 1年 ClearPass 5K HW Appliance</v>
          </cell>
          <cell r="C4186" t="str">
            <v>【ファウンデーションケア】</v>
          </cell>
        </row>
        <row r="4187">
          <cell r="A4187" t="str">
            <v>H5BK3E</v>
          </cell>
          <cell r="B4187" t="str">
            <v>FC Exchange 1年ClearPass25K HW Appliance</v>
          </cell>
          <cell r="C4187" t="str">
            <v>【ファウンデーションケア】</v>
          </cell>
        </row>
        <row r="4188">
          <cell r="A4188" t="str">
            <v>H5BK5E</v>
          </cell>
          <cell r="B4188" t="str">
            <v>FC 翌日 1年 ClearPass 25K HW Appliance用</v>
          </cell>
          <cell r="C4188" t="str">
            <v>【ファウンデーションケア】</v>
          </cell>
        </row>
        <row r="4189">
          <cell r="A4189" t="str">
            <v>H5BK6E</v>
          </cell>
          <cell r="B4189" t="str">
            <v>FC 24x7 1年 ClearPass 25K HW Appliance用</v>
          </cell>
          <cell r="C4189" t="str">
            <v>【ファウンデーションケア】</v>
          </cell>
        </row>
        <row r="4190">
          <cell r="A4190" t="str">
            <v>H5BK8E</v>
          </cell>
          <cell r="B4190" t="str">
            <v>FC Exchange 3年ClearPass25K HW Appliance</v>
          </cell>
          <cell r="C4190" t="str">
            <v>【ファウンデーションケア】</v>
          </cell>
        </row>
        <row r="4191">
          <cell r="A4191" t="str">
            <v>H5BL0E</v>
          </cell>
          <cell r="B4191" t="str">
            <v>FC 翌日 3年 ClearPass 25K HW Appliance用</v>
          </cell>
          <cell r="C4191" t="str">
            <v>【ファウンデーションケア】</v>
          </cell>
        </row>
        <row r="4192">
          <cell r="A4192" t="str">
            <v>H5BL2E</v>
          </cell>
          <cell r="B4192" t="str">
            <v>FC 9x5 3年 ClearPass 25K HW Appliance用</v>
          </cell>
          <cell r="C4192" t="str">
            <v>【ファウンデーションケア】</v>
          </cell>
        </row>
        <row r="4193">
          <cell r="A4193" t="str">
            <v>H5BL7E</v>
          </cell>
          <cell r="B4193" t="str">
            <v>FC 24x7 3年 ClearPass 25K HW Appliance用</v>
          </cell>
          <cell r="C4193" t="str">
            <v>【ファウンデーションケア】</v>
          </cell>
        </row>
        <row r="4194">
          <cell r="A4194" t="str">
            <v>H5BM9E</v>
          </cell>
          <cell r="B4194" t="str">
            <v>FC Exchange 4年ClearPass25K HW Appliance</v>
          </cell>
          <cell r="C4194" t="str">
            <v>【ファウンデーションケア】</v>
          </cell>
        </row>
        <row r="4195">
          <cell r="A4195" t="str">
            <v>H5BN1E</v>
          </cell>
          <cell r="B4195" t="str">
            <v>FC 翌日 4年 ClearPass 25K HW Appliance用</v>
          </cell>
          <cell r="C4195" t="str">
            <v>【ファウンデーションケア】</v>
          </cell>
        </row>
        <row r="4196">
          <cell r="A4196" t="str">
            <v>H5BN3E</v>
          </cell>
          <cell r="B4196" t="str">
            <v>FC 9x5 4年 ClearPass 25K HW Appliance用</v>
          </cell>
          <cell r="C4196" t="str">
            <v>【ファウンデーションケア】</v>
          </cell>
        </row>
        <row r="4197">
          <cell r="A4197" t="str">
            <v>H5BN8E</v>
          </cell>
          <cell r="B4197" t="str">
            <v>FC 24x7 4年 ClearPass 25K HW Appliance用</v>
          </cell>
          <cell r="C4197" t="str">
            <v>【ファウンデーションケア】</v>
          </cell>
        </row>
        <row r="4198">
          <cell r="A4198" t="str">
            <v>H5BQ0E</v>
          </cell>
          <cell r="B4198" t="str">
            <v>FC Exchange 5年ClearPass25K HW Appliance</v>
          </cell>
          <cell r="C4198" t="str">
            <v>【ファウンデーションケア】</v>
          </cell>
        </row>
        <row r="4199">
          <cell r="A4199" t="str">
            <v>H5BQ2E</v>
          </cell>
          <cell r="B4199" t="str">
            <v>FC 翌日 5年 ClearPass 25K HW Appliance用</v>
          </cell>
          <cell r="C4199" t="str">
            <v>【ファウンデーションケア】</v>
          </cell>
        </row>
        <row r="4200">
          <cell r="A4200" t="str">
            <v>H5BQ4E</v>
          </cell>
          <cell r="B4200" t="str">
            <v>FC 9x5 5年 ClearPass 25K HW Appliance用</v>
          </cell>
          <cell r="C4200" t="str">
            <v>【ファウンデーションケア】</v>
          </cell>
        </row>
        <row r="4201">
          <cell r="A4201" t="str">
            <v>H5BQ9E</v>
          </cell>
          <cell r="B4201" t="str">
            <v>FC 24x7 5年 ClearPass 25K HW Appliance用</v>
          </cell>
          <cell r="C4201" t="str">
            <v>【ファウンデーションケア】</v>
          </cell>
        </row>
        <row r="4202">
          <cell r="A4202" t="str">
            <v>H5BS1PE</v>
          </cell>
          <cell r="B4202" t="str">
            <v>PW FC Exch 1年 ClearPass25K HW Appliance</v>
          </cell>
          <cell r="C4202" t="str">
            <v>【ファウンデーションケア】</v>
          </cell>
        </row>
        <row r="4203">
          <cell r="A4203" t="str">
            <v>H7KU0E</v>
          </cell>
          <cell r="B4203" t="str">
            <v>FC Exchange 1年 Aruba CP DL20 PSU用</v>
          </cell>
          <cell r="C4203" t="str">
            <v>【ファウンデーションケア】</v>
          </cell>
        </row>
        <row r="4204">
          <cell r="A4204" t="str">
            <v>H7KU1E</v>
          </cell>
          <cell r="B4204" t="str">
            <v>FC Exchange 3年 Aruba CP DL20 PSU用</v>
          </cell>
          <cell r="C4204" t="str">
            <v>【ファウンデーションケア】</v>
          </cell>
        </row>
        <row r="4205">
          <cell r="A4205" t="str">
            <v>H7KU2E</v>
          </cell>
          <cell r="B4205" t="str">
            <v>FC Exchange 4年 Aruba CP DL20 PSU用</v>
          </cell>
          <cell r="C4205" t="str">
            <v>【ファウンデーションケア】</v>
          </cell>
        </row>
        <row r="4206">
          <cell r="A4206" t="str">
            <v>H7KU3E</v>
          </cell>
          <cell r="B4206" t="str">
            <v>FC Exchange 5年 Aruba CP DL20 PSU用</v>
          </cell>
          <cell r="C4206" t="str">
            <v>【ファウンデーションケア】</v>
          </cell>
        </row>
        <row r="4207">
          <cell r="A4207" t="str">
            <v>H7KU4PE</v>
          </cell>
          <cell r="B4207" t="str">
            <v>PW FC Exch 1年 Aruba CP DL20 PSU用</v>
          </cell>
          <cell r="C4207" t="str">
            <v>【ファウンデーションケア】</v>
          </cell>
        </row>
        <row r="4208">
          <cell r="A4208" t="str">
            <v>H9TT3E</v>
          </cell>
          <cell r="B4208" t="str">
            <v>FC Exchange 1年 CP C1kS-1200 Appl用</v>
          </cell>
          <cell r="C4208" t="str">
            <v>【ファウンデーションケア】</v>
          </cell>
        </row>
        <row r="4209">
          <cell r="A4209" t="str">
            <v>H9TT5E</v>
          </cell>
          <cell r="B4209" t="str">
            <v>FC翌日 1年 CP C1kS-1200 R4 HWAppl用</v>
          </cell>
          <cell r="C4209" t="str">
            <v>【ファウンデーションケア】</v>
          </cell>
        </row>
        <row r="4210">
          <cell r="A4210" t="str">
            <v>H9TT7E</v>
          </cell>
          <cell r="B4210" t="str">
            <v>FC 24x7 1年 CP C1kS-1200 R4 HWAppl用</v>
          </cell>
          <cell r="C4210" t="str">
            <v>【ファウンデーションケア】</v>
          </cell>
        </row>
        <row r="4211">
          <cell r="A4211" t="str">
            <v>H9TU1E</v>
          </cell>
          <cell r="B4211" t="str">
            <v>FC Exchange 3年 CP C1kS-1200 Appl用</v>
          </cell>
          <cell r="C4211" t="str">
            <v>【ファウンデーションケア】</v>
          </cell>
        </row>
        <row r="4212">
          <cell r="A4212" t="str">
            <v>H9TU5E</v>
          </cell>
          <cell r="B4212" t="str">
            <v>FC翌日 3年 CP C1kS-1200 R4 HWAppl用</v>
          </cell>
          <cell r="C4212" t="str">
            <v>【ファウンデーションケア】</v>
          </cell>
        </row>
        <row r="4213">
          <cell r="A4213" t="str">
            <v>H9TU7E</v>
          </cell>
          <cell r="B4213" t="str">
            <v>FC 9x5 3年 CP C1kS-1200 R4 HWAppl用</v>
          </cell>
          <cell r="C4213" t="str">
            <v>【ファウンデーションケア】</v>
          </cell>
        </row>
        <row r="4214">
          <cell r="A4214" t="str">
            <v>H9TV2E</v>
          </cell>
          <cell r="B4214" t="str">
            <v>FC 24x7 3年 CP C1kS-1200 R4 HWAppl用</v>
          </cell>
          <cell r="C4214" t="str">
            <v>【ファウンデーションケア】</v>
          </cell>
        </row>
        <row r="4215">
          <cell r="A4215" t="str">
            <v>H9TW4E</v>
          </cell>
          <cell r="B4215" t="str">
            <v>FC Exchange 4年 CP C1kS-1200 Appl用</v>
          </cell>
          <cell r="C4215" t="str">
            <v>【ファウンデーションケア】</v>
          </cell>
        </row>
        <row r="4216">
          <cell r="A4216" t="str">
            <v>H9TW8E</v>
          </cell>
          <cell r="B4216" t="str">
            <v>FC翌日 4年 CP C1kS-1200 R4 HWAppl用</v>
          </cell>
          <cell r="C4216" t="str">
            <v>【ファウンデーションケア】</v>
          </cell>
        </row>
        <row r="4217">
          <cell r="A4217" t="str">
            <v>H9TX0E</v>
          </cell>
          <cell r="B4217" t="str">
            <v>FC 9x5 4年 CP C1kS-1200 R4 HWAppl用</v>
          </cell>
          <cell r="C4217" t="str">
            <v>【ファウンデーションケア】</v>
          </cell>
        </row>
        <row r="4218">
          <cell r="A4218" t="str">
            <v>H9TX5E</v>
          </cell>
          <cell r="B4218" t="str">
            <v>FC 24x7 4年 CP C1kS-1200 R4 HWAppl用</v>
          </cell>
          <cell r="C4218" t="str">
            <v>【ファウンデーションケア】</v>
          </cell>
        </row>
        <row r="4219">
          <cell r="A4219" t="str">
            <v>H9TY7E</v>
          </cell>
          <cell r="B4219" t="str">
            <v>FC Exchange 5年 CP C1kS-1200 Appl用</v>
          </cell>
          <cell r="C4219" t="str">
            <v>【ファウンデーションケア】</v>
          </cell>
        </row>
        <row r="4220">
          <cell r="A4220" t="str">
            <v>H9TZ1E</v>
          </cell>
          <cell r="B4220" t="str">
            <v>FC翌日 5年 CP C1kS-1200 R4 HWAppl用</v>
          </cell>
          <cell r="C4220" t="str">
            <v>【ファウンデーションケア】</v>
          </cell>
        </row>
        <row r="4221">
          <cell r="A4221" t="str">
            <v>H9TZ3E</v>
          </cell>
          <cell r="B4221" t="str">
            <v>FC 9x5 5年 CP C1kS-1200 R4 HWAppl用</v>
          </cell>
          <cell r="C4221" t="str">
            <v>【ファウンデーションケア】</v>
          </cell>
        </row>
        <row r="4222">
          <cell r="A4222" t="str">
            <v>H9TZ8E</v>
          </cell>
          <cell r="B4222" t="str">
            <v>FC 24x7 5年 CP C1kS-1200 R4 HWAppl用</v>
          </cell>
          <cell r="C4222" t="str">
            <v>【ファウンデーションケア】</v>
          </cell>
        </row>
        <row r="4223">
          <cell r="A4223" t="str">
            <v>H9UJ8E</v>
          </cell>
          <cell r="B4223" t="str">
            <v>FC Exchange 1年 CP C2k DL20 Appl用</v>
          </cell>
          <cell r="C4223" t="str">
            <v>【ファウンデーションケア】</v>
          </cell>
        </row>
        <row r="4224">
          <cell r="A4224" t="str">
            <v>H9UK0E</v>
          </cell>
          <cell r="B4224" t="str">
            <v>FC翌日 1年 CP C2k DL20 G9 HWAppl用</v>
          </cell>
          <cell r="C4224" t="str">
            <v>【ファウンデーションケア】</v>
          </cell>
        </row>
        <row r="4225">
          <cell r="A4225" t="str">
            <v>H9UK2E</v>
          </cell>
          <cell r="B4225" t="str">
            <v>FC 24x7 1年 CP C2k DL20 G9 HWAppl用</v>
          </cell>
          <cell r="C4225" t="str">
            <v>【ファウンデーションケア】</v>
          </cell>
        </row>
        <row r="4226">
          <cell r="A4226" t="str">
            <v>H9UK6E</v>
          </cell>
          <cell r="B4226" t="str">
            <v>FC Exchange 3年 CP C2k DL20 Appl用</v>
          </cell>
          <cell r="C4226" t="str">
            <v>【ファウンデーションケア】</v>
          </cell>
        </row>
        <row r="4227">
          <cell r="A4227" t="str">
            <v>H9UL0E</v>
          </cell>
          <cell r="B4227" t="str">
            <v>FC翌日 3年 CP C2k DL20 G9 HWAppl用</v>
          </cell>
          <cell r="C4227" t="str">
            <v>【ファウンデーションケア】</v>
          </cell>
        </row>
        <row r="4228">
          <cell r="A4228" t="str">
            <v>H9UL2E</v>
          </cell>
          <cell r="B4228" t="str">
            <v>FC 9x5 3年 CP C2k DL20 G9 HWAppl用</v>
          </cell>
          <cell r="C4228" t="str">
            <v>【ファウンデーションケア】</v>
          </cell>
        </row>
        <row r="4229">
          <cell r="A4229" t="str">
            <v>H9UL7E</v>
          </cell>
          <cell r="B4229" t="str">
            <v>FC 24x7 3年 CP C2k DL20 G9 HWAppl用</v>
          </cell>
          <cell r="C4229" t="str">
            <v>【ファウンデーションケア】</v>
          </cell>
        </row>
        <row r="4230">
          <cell r="A4230" t="str">
            <v>H9UM9E</v>
          </cell>
          <cell r="B4230" t="str">
            <v>FC Exchange 4年 CP C2k DL20 Appl用</v>
          </cell>
          <cell r="C4230" t="str">
            <v>【ファウンデーションケア】</v>
          </cell>
        </row>
        <row r="4231">
          <cell r="A4231" t="str">
            <v>H9UN3E</v>
          </cell>
          <cell r="B4231" t="str">
            <v>FC翌日 4年 CP C2k DL20 G9 HWAppl用</v>
          </cell>
          <cell r="C4231" t="str">
            <v>【ファウンデーションケア】</v>
          </cell>
        </row>
        <row r="4232">
          <cell r="A4232" t="str">
            <v>H9UN5E</v>
          </cell>
          <cell r="B4232" t="str">
            <v>FC 9x5 4年 CP C2k DL20 G9 HWAppl用</v>
          </cell>
          <cell r="C4232" t="str">
            <v>【ファウンデーションケア】</v>
          </cell>
        </row>
        <row r="4233">
          <cell r="A4233" t="str">
            <v>H9UP0E</v>
          </cell>
          <cell r="B4233" t="str">
            <v>FC 24x7 4年 CP C2k DL20 G9 HWAppl用</v>
          </cell>
          <cell r="C4233" t="str">
            <v>【ファウンデーションケア】</v>
          </cell>
        </row>
        <row r="4234">
          <cell r="A4234" t="str">
            <v>H9UQ2E</v>
          </cell>
          <cell r="B4234" t="str">
            <v>FC Exchange 5年 CP C2k DL20 Appl用</v>
          </cell>
          <cell r="C4234" t="str">
            <v>【ファウンデーションケア】</v>
          </cell>
        </row>
        <row r="4235">
          <cell r="A4235" t="str">
            <v>H9UQ6E</v>
          </cell>
          <cell r="B4235" t="str">
            <v>FC翌日 5年 CP C2k DL20 G9 HWAppl用</v>
          </cell>
          <cell r="C4235" t="str">
            <v>【ファウンデーションケア】</v>
          </cell>
        </row>
        <row r="4236">
          <cell r="A4236" t="str">
            <v>H9UQ8E</v>
          </cell>
          <cell r="B4236" t="str">
            <v>FC 9x5 5年 CP C2k DL20 G9 HWAppl用</v>
          </cell>
          <cell r="C4236" t="str">
            <v>【ファウンデーションケア】</v>
          </cell>
        </row>
        <row r="4237">
          <cell r="A4237" t="str">
            <v>H9UR3E</v>
          </cell>
          <cell r="B4237" t="str">
            <v>FC 24x7 5年 CP C2k DL20 G9 HWAppl用</v>
          </cell>
          <cell r="C4237" t="str">
            <v>【ファウンデーションケア】</v>
          </cell>
        </row>
        <row r="4238">
          <cell r="A4238" t="str">
            <v>H9VA3E</v>
          </cell>
          <cell r="B4238" t="str">
            <v>FC Exchange 1年 CP C3k DL360 Appl用</v>
          </cell>
          <cell r="C4238" t="str">
            <v>【ファウンデーションケア】</v>
          </cell>
        </row>
        <row r="4239">
          <cell r="A4239" t="str">
            <v>H9VA5E</v>
          </cell>
          <cell r="B4239" t="str">
            <v>FC翌日 1年 CP C3k DL360 G9 HWAppl用</v>
          </cell>
          <cell r="C4239" t="str">
            <v>【ファウンデーションケア】</v>
          </cell>
        </row>
        <row r="4240">
          <cell r="A4240" t="str">
            <v>H9VA7E</v>
          </cell>
          <cell r="B4240" t="str">
            <v>FC 24x7 1年 CP C3k DL360 G9 Appl用</v>
          </cell>
          <cell r="C4240" t="str">
            <v>【ファウンデーションケア】</v>
          </cell>
        </row>
        <row r="4241">
          <cell r="A4241" t="str">
            <v>H9VB1E</v>
          </cell>
          <cell r="B4241" t="str">
            <v>FC Exchange 3年 CP C3k DL360 Appl用</v>
          </cell>
          <cell r="C4241" t="str">
            <v>【ファウンデーションケア】</v>
          </cell>
        </row>
        <row r="4242">
          <cell r="A4242" t="str">
            <v>H9VB5E</v>
          </cell>
          <cell r="B4242" t="str">
            <v>FC翌日 3年 CP C3k DL360 G9 HWAppl用</v>
          </cell>
          <cell r="C4242" t="str">
            <v>【ファウンデーションケア】</v>
          </cell>
        </row>
        <row r="4243">
          <cell r="A4243" t="str">
            <v>H9VB7E</v>
          </cell>
          <cell r="B4243" t="str">
            <v>FC 9x5 3年 CP C3k DL360 G9 HWAppl用</v>
          </cell>
          <cell r="C4243" t="str">
            <v>【ファウンデーションケア】</v>
          </cell>
        </row>
        <row r="4244">
          <cell r="A4244" t="str">
            <v>H9VC2E</v>
          </cell>
          <cell r="B4244" t="str">
            <v>FC 24x7 3年 CP C3k DL360 G9 Appl用</v>
          </cell>
          <cell r="C4244" t="str">
            <v>【ファウンデーションケア】</v>
          </cell>
        </row>
        <row r="4245">
          <cell r="A4245" t="str">
            <v>H9VD4E</v>
          </cell>
          <cell r="B4245" t="str">
            <v>FC Exchange 4年 CP C3k DL360 Appl用</v>
          </cell>
          <cell r="C4245" t="str">
            <v>【ファウンデーションケア】</v>
          </cell>
        </row>
        <row r="4246">
          <cell r="A4246" t="str">
            <v>H9VD8E</v>
          </cell>
          <cell r="B4246" t="str">
            <v>FC翌日 4年 CP C3k DL360 G9 HWAppl用</v>
          </cell>
          <cell r="C4246" t="str">
            <v>【ファウンデーションケア】</v>
          </cell>
        </row>
        <row r="4247">
          <cell r="A4247" t="str">
            <v>H9VE0E</v>
          </cell>
          <cell r="B4247" t="str">
            <v>FC 9x5 4年 CP C3k DL360 G9 HWAppl用</v>
          </cell>
          <cell r="C4247" t="str">
            <v>【ファウンデーションケア】</v>
          </cell>
        </row>
        <row r="4248">
          <cell r="A4248" t="str">
            <v>H9VE5E</v>
          </cell>
          <cell r="B4248" t="str">
            <v>FC 24x7 4年 CP C3k DL360 G9 Appl用</v>
          </cell>
          <cell r="C4248" t="str">
            <v>【ファウンデーションケア】</v>
          </cell>
        </row>
        <row r="4249">
          <cell r="A4249" t="str">
            <v>H9VF7E</v>
          </cell>
          <cell r="B4249" t="str">
            <v>FC Exchange 5年 CP C3k DL360 Appl用</v>
          </cell>
          <cell r="C4249" t="str">
            <v>【ファウンデーションケア】</v>
          </cell>
        </row>
        <row r="4250">
          <cell r="A4250" t="str">
            <v>H9VG1E</v>
          </cell>
          <cell r="B4250" t="str">
            <v>FC翌日 5年 CP C3k DL360 G9 HWAppl用</v>
          </cell>
          <cell r="C4250" t="str">
            <v>【ファウンデーションケア】</v>
          </cell>
        </row>
        <row r="4251">
          <cell r="A4251" t="str">
            <v>H9VG3E</v>
          </cell>
          <cell r="B4251" t="str">
            <v>FC 9x5 5年 CP C3k DL360 G9 HWAppl用</v>
          </cell>
          <cell r="C4251" t="str">
            <v>【ファウンデーションケア】</v>
          </cell>
        </row>
        <row r="4252">
          <cell r="A4252" t="str">
            <v>H9VG8E</v>
          </cell>
          <cell r="B4252" t="str">
            <v>FC 24x7 5年 CP C3k DL360 G9 Appl用</v>
          </cell>
          <cell r="C4252" t="str">
            <v>【ファウンデーションケア】</v>
          </cell>
        </row>
        <row r="4253">
          <cell r="A4253" t="str">
            <v>H9WR2E</v>
          </cell>
          <cell r="B4253" t="str">
            <v>FC 24x7 1年 CP NL OG 100 EP用</v>
          </cell>
          <cell r="C4253" t="str">
            <v>【ファウンデーションケア】</v>
          </cell>
        </row>
        <row r="4254">
          <cell r="A4254" t="str">
            <v>H9WR3E</v>
          </cell>
          <cell r="B4254" t="str">
            <v>FC 24x7 3年 CP NL OG 100 EP用</v>
          </cell>
          <cell r="C4254" t="str">
            <v>【ファウンデーションケア】</v>
          </cell>
        </row>
        <row r="4255">
          <cell r="A4255" t="str">
            <v>H9WR6E</v>
          </cell>
          <cell r="B4255" t="str">
            <v>FC 24x7 4年 CP NL OG 100 EP用</v>
          </cell>
          <cell r="C4255" t="str">
            <v>【ファウンデーションケア】</v>
          </cell>
        </row>
        <row r="4256">
          <cell r="A4256" t="str">
            <v>H9WR9E</v>
          </cell>
          <cell r="B4256" t="str">
            <v>FC 24x7 5年 CP NL OG 100 EP用</v>
          </cell>
          <cell r="C4256" t="str">
            <v>【ファウンデーションケア】</v>
          </cell>
        </row>
        <row r="4257">
          <cell r="A4257" t="str">
            <v>H9WT2E</v>
          </cell>
          <cell r="B4257" t="str">
            <v>FC 24x7 1年 CP NL AC 100CE用</v>
          </cell>
          <cell r="C4257" t="str">
            <v>【ファウンデーションケア】</v>
          </cell>
        </row>
        <row r="4258">
          <cell r="A4258" t="str">
            <v>H9WT3E</v>
          </cell>
          <cell r="B4258" t="str">
            <v>FC 24x7 3年 CP NL AC 100CE用</v>
          </cell>
          <cell r="C4258" t="str">
            <v>【ファウンデーションケア】</v>
          </cell>
        </row>
        <row r="4259">
          <cell r="A4259" t="str">
            <v>H9WT6E</v>
          </cell>
          <cell r="B4259" t="str">
            <v>FC 24x7 4年 CP NL AC 100CE用</v>
          </cell>
          <cell r="C4259" t="str">
            <v>【ファウンデーションケア】</v>
          </cell>
        </row>
        <row r="4260">
          <cell r="A4260" t="str">
            <v>H9WT9E</v>
          </cell>
          <cell r="B4260" t="str">
            <v>FC 24x7 5年 CP NL AC 100CE用</v>
          </cell>
          <cell r="C4260" t="str">
            <v>【ファウンデーションケア】</v>
          </cell>
        </row>
        <row r="4261">
          <cell r="A4261" t="str">
            <v>H9WV2E</v>
          </cell>
          <cell r="B4261" t="str">
            <v>FC 24x7 1年 CP NL OB 100用</v>
          </cell>
          <cell r="C4261" t="str">
            <v>【ファウンデーションケア】</v>
          </cell>
        </row>
        <row r="4262">
          <cell r="A4262" t="str">
            <v>H9WV3E</v>
          </cell>
          <cell r="B4262" t="str">
            <v>FC 24x7 3年 CP NL OB 100用</v>
          </cell>
          <cell r="C4262" t="str">
            <v>【ファウンデーションケア】</v>
          </cell>
        </row>
        <row r="4263">
          <cell r="A4263" t="str">
            <v>H9WV6E</v>
          </cell>
          <cell r="B4263" t="str">
            <v>FC 24x7 4年 CP NL OB 100用</v>
          </cell>
          <cell r="C4263" t="str">
            <v>【ファウンデーションケア】</v>
          </cell>
        </row>
        <row r="4264">
          <cell r="A4264" t="str">
            <v>H9WV9E</v>
          </cell>
          <cell r="B4264" t="str">
            <v>FC 24x7 5年 CP NL OB 100用</v>
          </cell>
          <cell r="C4264" t="str">
            <v>【ファウンデーションケア】</v>
          </cell>
        </row>
        <row r="4265">
          <cell r="A4265" t="str">
            <v>H9WX2E</v>
          </cell>
          <cell r="B4265" t="str">
            <v>FC 24x7 1年 CP Cx000V VM用</v>
          </cell>
          <cell r="C4265" t="str">
            <v>【ファウンデーションケア】</v>
          </cell>
        </row>
        <row r="4266">
          <cell r="A4266" t="str">
            <v>H9WX3E</v>
          </cell>
          <cell r="B4266" t="str">
            <v>FC 24x7 3年 CP Cx000V VM用</v>
          </cell>
          <cell r="C4266" t="str">
            <v>【ファウンデーションケア】</v>
          </cell>
        </row>
        <row r="4267">
          <cell r="A4267" t="str">
            <v>H9WX6E</v>
          </cell>
          <cell r="B4267" t="str">
            <v>FC 24x7 4年 CP Cx000V VM用</v>
          </cell>
          <cell r="C4267" t="str">
            <v>【ファウンデーションケア】</v>
          </cell>
        </row>
        <row r="4268">
          <cell r="A4268" t="str">
            <v>H9WX9E</v>
          </cell>
          <cell r="B4268" t="str">
            <v>FC 24x7 5年 CP Cx000V VM用</v>
          </cell>
          <cell r="C4268" t="str">
            <v>【ファウンデーションケア】</v>
          </cell>
        </row>
        <row r="4269">
          <cell r="A4269" t="str">
            <v>H9WZ2E</v>
          </cell>
          <cell r="B4269" t="str">
            <v>FC 24x7 1年 CP NL OG 500 EP用</v>
          </cell>
          <cell r="C4269" t="str">
            <v>【ファウンデーションケア】</v>
          </cell>
        </row>
        <row r="4270">
          <cell r="A4270" t="str">
            <v>H9WZ3E</v>
          </cell>
          <cell r="B4270" t="str">
            <v>FC 24x7 3年 CP NL OG 500 EP用</v>
          </cell>
          <cell r="C4270" t="str">
            <v>【ファウンデーションケア】</v>
          </cell>
        </row>
        <row r="4271">
          <cell r="A4271" t="str">
            <v>H9WZ6E</v>
          </cell>
          <cell r="B4271" t="str">
            <v>FC 24x7 4年 CP NL OG 500 EP用</v>
          </cell>
          <cell r="C4271" t="str">
            <v>【ファウンデーションケア】</v>
          </cell>
        </row>
        <row r="4272">
          <cell r="A4272" t="str">
            <v>H9WZ9E</v>
          </cell>
          <cell r="B4272" t="str">
            <v>FC 24x7 5年 CP NL OG 500 EP用</v>
          </cell>
          <cell r="C4272" t="str">
            <v>【ファウンデーションケア】</v>
          </cell>
        </row>
        <row r="4273">
          <cell r="A4273" t="str">
            <v>H9XB2E</v>
          </cell>
          <cell r="B4273" t="str">
            <v>FC 24x7 1年 CP NL AC 500CE用</v>
          </cell>
          <cell r="C4273" t="str">
            <v>【ファウンデーションケア】</v>
          </cell>
        </row>
        <row r="4274">
          <cell r="A4274" t="str">
            <v>H9XB3E</v>
          </cell>
          <cell r="B4274" t="str">
            <v>FC 24x7 3年 CP NL AC 500CE用</v>
          </cell>
          <cell r="C4274" t="str">
            <v>【ファウンデーションケア】</v>
          </cell>
        </row>
        <row r="4275">
          <cell r="A4275" t="str">
            <v>H9XB6E</v>
          </cell>
          <cell r="B4275" t="str">
            <v>FC 24x7 4年 CP NL AC 500CE用</v>
          </cell>
          <cell r="C4275" t="str">
            <v>【ファウンデーションケア】</v>
          </cell>
        </row>
        <row r="4276">
          <cell r="A4276" t="str">
            <v>H9XB9E</v>
          </cell>
          <cell r="B4276" t="str">
            <v>FC 24x7 5年 CP NL AC 500CE用</v>
          </cell>
          <cell r="C4276" t="str">
            <v>【ファウンデーションケア】</v>
          </cell>
        </row>
        <row r="4277">
          <cell r="A4277" t="str">
            <v>H9XD2E</v>
          </cell>
          <cell r="B4277" t="str">
            <v>FC 24x7 1年 CP NL OB 500 USR用</v>
          </cell>
          <cell r="C4277" t="str">
            <v>【ファウンデーションケア】</v>
          </cell>
        </row>
        <row r="4278">
          <cell r="A4278" t="str">
            <v>H9XD3E</v>
          </cell>
          <cell r="B4278" t="str">
            <v>FC 24x7 3年 CP NL OB 500 USR用</v>
          </cell>
          <cell r="C4278" t="str">
            <v>【ファウンデーションケア】</v>
          </cell>
        </row>
        <row r="4279">
          <cell r="A4279" t="str">
            <v>H9XD6E</v>
          </cell>
          <cell r="B4279" t="str">
            <v>FC 24x7 4年 CP NL OB 500 USR用</v>
          </cell>
          <cell r="C4279" t="str">
            <v>【ファウンデーションケア】</v>
          </cell>
        </row>
        <row r="4280">
          <cell r="A4280" t="str">
            <v>H9XD9E</v>
          </cell>
          <cell r="B4280" t="str">
            <v>FC 24x7 5年 CP NL OB 500 USR用</v>
          </cell>
          <cell r="C4280" t="str">
            <v>【ファウンデーションケア】</v>
          </cell>
        </row>
        <row r="4281">
          <cell r="A4281" t="str">
            <v>H9XF2E</v>
          </cell>
          <cell r="B4281" t="str">
            <v>FC 24x7 1年 CP NL OG 1K EP用</v>
          </cell>
          <cell r="C4281" t="str">
            <v>【ファウンデーションケア】</v>
          </cell>
        </row>
        <row r="4282">
          <cell r="A4282" t="str">
            <v>H9XF3E</v>
          </cell>
          <cell r="B4282" t="str">
            <v>FC 24x7 3年 CP NL OG 1K EP用</v>
          </cell>
          <cell r="C4282" t="str">
            <v>【ファウンデーションケア】</v>
          </cell>
        </row>
        <row r="4283">
          <cell r="A4283" t="str">
            <v>H9XF6E</v>
          </cell>
          <cell r="B4283" t="str">
            <v>FC 24x7 4年 CP NL OG 1K EP用</v>
          </cell>
          <cell r="C4283" t="str">
            <v>【ファウンデーションケア】</v>
          </cell>
        </row>
        <row r="4284">
          <cell r="A4284" t="str">
            <v>H9XF9E</v>
          </cell>
          <cell r="B4284" t="str">
            <v>FC 24x7 5年 CP NL OG 1K EP用</v>
          </cell>
          <cell r="C4284" t="str">
            <v>【ファウンデーションケア】</v>
          </cell>
        </row>
        <row r="4285">
          <cell r="A4285" t="str">
            <v>H9XH2E</v>
          </cell>
          <cell r="B4285" t="str">
            <v>FC 24x7 1年 CP NL AC 1KCE用</v>
          </cell>
          <cell r="C4285" t="str">
            <v>【ファウンデーションケア】</v>
          </cell>
        </row>
        <row r="4286">
          <cell r="A4286" t="str">
            <v>H9XH3E</v>
          </cell>
          <cell r="B4286" t="str">
            <v>FC 24x7 3年 CP NL AC 1KCE用</v>
          </cell>
          <cell r="C4286" t="str">
            <v>【ファウンデーションケア】</v>
          </cell>
        </row>
        <row r="4287">
          <cell r="A4287" t="str">
            <v>H9XH6E</v>
          </cell>
          <cell r="B4287" t="str">
            <v>FC 24x7 4年 CP NL AC 1KCE用</v>
          </cell>
          <cell r="C4287" t="str">
            <v>【ファウンデーションケア】</v>
          </cell>
        </row>
        <row r="4288">
          <cell r="A4288" t="str">
            <v>H9XH9E</v>
          </cell>
          <cell r="B4288" t="str">
            <v>FC 24x7 5年 CP NL AC 1KCE用</v>
          </cell>
          <cell r="C4288" t="str">
            <v>【ファウンデーションケア】</v>
          </cell>
        </row>
        <row r="4289">
          <cell r="A4289" t="str">
            <v>H9XK2E</v>
          </cell>
          <cell r="B4289" t="str">
            <v>FC 24x7 1年 CP NL OB 1K USR用</v>
          </cell>
          <cell r="C4289" t="str">
            <v>【ファウンデーションケア】</v>
          </cell>
        </row>
        <row r="4290">
          <cell r="A4290" t="str">
            <v>H9XK3E</v>
          </cell>
          <cell r="B4290" t="str">
            <v>FC 24x7 3年 CP NL OB 1K USR用</v>
          </cell>
          <cell r="C4290" t="str">
            <v>【ファウンデーションケア】</v>
          </cell>
        </row>
        <row r="4291">
          <cell r="A4291" t="str">
            <v>H9XK6E</v>
          </cell>
          <cell r="B4291" t="str">
            <v>FC 24x7 4年 CP NL OB 1K USR用</v>
          </cell>
          <cell r="C4291" t="str">
            <v>【ファウンデーションケア】</v>
          </cell>
        </row>
        <row r="4292">
          <cell r="A4292" t="str">
            <v>H9XK9E</v>
          </cell>
          <cell r="B4292" t="str">
            <v>FC 24x7 5年 CP NL OB 1K USR用</v>
          </cell>
          <cell r="C4292" t="str">
            <v>【ファウンデーションケア】</v>
          </cell>
        </row>
        <row r="4293">
          <cell r="A4293" t="str">
            <v>H9XL6E</v>
          </cell>
          <cell r="B4293" t="str">
            <v>FC 24x7 1年 CP NL OB 2500用</v>
          </cell>
          <cell r="C4293" t="str">
            <v>【ファウンデーションケア】</v>
          </cell>
        </row>
        <row r="4294">
          <cell r="A4294" t="str">
            <v>H9XL7E</v>
          </cell>
          <cell r="B4294" t="str">
            <v>FC 24x7 3年 CP NL OB 2500用</v>
          </cell>
          <cell r="C4294" t="str">
            <v>【ファウンデーションケア】</v>
          </cell>
        </row>
        <row r="4295">
          <cell r="A4295" t="str">
            <v>H9XM0E</v>
          </cell>
          <cell r="B4295" t="str">
            <v>FC 24x7 4年 CP NL OB 2500用</v>
          </cell>
          <cell r="C4295" t="str">
            <v>【ファウンデーションケア】</v>
          </cell>
        </row>
        <row r="4296">
          <cell r="A4296" t="str">
            <v>H9XM3E</v>
          </cell>
          <cell r="B4296" t="str">
            <v>FC 24x7 5年 CP NL OB 2500用</v>
          </cell>
          <cell r="C4296" t="str">
            <v>【ファウンデーションケア】</v>
          </cell>
        </row>
        <row r="4297">
          <cell r="A4297" t="str">
            <v>H9XN6E</v>
          </cell>
          <cell r="B4297" t="str">
            <v>FC 24x7 1年 CP NL OG 5K EP用</v>
          </cell>
          <cell r="C4297" t="str">
            <v>【ファウンデーションケア】</v>
          </cell>
        </row>
        <row r="4298">
          <cell r="A4298" t="str">
            <v>H9XN7E</v>
          </cell>
          <cell r="B4298" t="str">
            <v>FC 24x7 3年 CP NL OG 5K EP用</v>
          </cell>
          <cell r="C4298" t="str">
            <v>【ファウンデーションケア】</v>
          </cell>
        </row>
        <row r="4299">
          <cell r="A4299" t="str">
            <v>H9XP0E</v>
          </cell>
          <cell r="B4299" t="str">
            <v>FC 24x7 4年 CP NL OG 5K EP用</v>
          </cell>
          <cell r="C4299" t="str">
            <v>【ファウンデーションケア】</v>
          </cell>
        </row>
        <row r="4300">
          <cell r="A4300" t="str">
            <v>H9XP3E</v>
          </cell>
          <cell r="B4300" t="str">
            <v>FC 24x7 5年 CP NL OG 5K EP用</v>
          </cell>
          <cell r="C4300" t="str">
            <v>【ファウンデーションケア】</v>
          </cell>
        </row>
        <row r="4301">
          <cell r="A4301" t="str">
            <v>H9XQ6E</v>
          </cell>
          <cell r="B4301" t="str">
            <v>FC 24x7 1年 CP NL AC 5KCE用</v>
          </cell>
          <cell r="C4301" t="str">
            <v>【ファウンデーションケア】</v>
          </cell>
        </row>
        <row r="4302">
          <cell r="A4302" t="str">
            <v>H9XQ7E</v>
          </cell>
          <cell r="B4302" t="str">
            <v>FC 24x7 3年 CP NL AC 5KCE用</v>
          </cell>
          <cell r="C4302" t="str">
            <v>【ファウンデーションケア】</v>
          </cell>
        </row>
        <row r="4303">
          <cell r="A4303" t="str">
            <v>HA0A9E</v>
          </cell>
          <cell r="B4303" t="str">
            <v>FC 24x7 1年 CP NL AC 2500CE用</v>
          </cell>
          <cell r="C4303" t="str">
            <v>【ファウンデーションケア】</v>
          </cell>
        </row>
        <row r="4304">
          <cell r="A4304" t="str">
            <v>HA0B0E</v>
          </cell>
          <cell r="B4304" t="str">
            <v>FC 24x7 3年 CP NL AC 2500CE用</v>
          </cell>
          <cell r="C4304" t="str">
            <v>【ファウンデーションケア】</v>
          </cell>
        </row>
        <row r="4305">
          <cell r="A4305" t="str">
            <v>HA0B3E</v>
          </cell>
          <cell r="B4305" t="str">
            <v>FC 24x7 4年 CP NLAC 2500CE用</v>
          </cell>
          <cell r="C4305" t="str">
            <v>【ファウンデーションケア】</v>
          </cell>
        </row>
        <row r="4306">
          <cell r="A4306" t="str">
            <v>HA0B6E</v>
          </cell>
          <cell r="B4306" t="str">
            <v>FC 24x7 5年 CP NLAC 2500CE用</v>
          </cell>
          <cell r="C4306" t="str">
            <v>【ファウンデーションケア】</v>
          </cell>
        </row>
        <row r="4307">
          <cell r="A4307" t="str">
            <v>HA0C9E</v>
          </cell>
          <cell r="B4307" t="str">
            <v>FC 24x7 1年 CP NL OG 2500 EP用</v>
          </cell>
          <cell r="C4307" t="str">
            <v>【ファウンデーションケア】</v>
          </cell>
        </row>
        <row r="4308">
          <cell r="A4308" t="str">
            <v>HA0D0E</v>
          </cell>
          <cell r="B4308" t="str">
            <v>FC 24x7 3年 CP NL OG 2500 EP用</v>
          </cell>
          <cell r="C4308" t="str">
            <v>【ファウンデーションケア】</v>
          </cell>
        </row>
        <row r="4309">
          <cell r="A4309" t="str">
            <v>HA0D3E</v>
          </cell>
          <cell r="B4309" t="str">
            <v>FC 24x7 4年 CP NL OG 2500 EP用</v>
          </cell>
          <cell r="C4309" t="str">
            <v>【ファウンデーションケア】</v>
          </cell>
        </row>
        <row r="4310">
          <cell r="A4310" t="str">
            <v>HA0D6E</v>
          </cell>
          <cell r="B4310" t="str">
            <v>FC 24x7 5年 CP NL OG 2500 EP用</v>
          </cell>
          <cell r="C4310" t="str">
            <v>【ファウンデーションケア】</v>
          </cell>
        </row>
        <row r="4311">
          <cell r="A4311" t="str">
            <v>HA0E7E</v>
          </cell>
          <cell r="B4311" t="str">
            <v>FC 24x7 4年 CP NL AC 5KCE用</v>
          </cell>
          <cell r="C4311" t="str">
            <v>【ファウンデーションケア】</v>
          </cell>
        </row>
        <row r="4312">
          <cell r="A4312" t="str">
            <v>HA0F0E</v>
          </cell>
          <cell r="B4312" t="str">
            <v>FC 24x7 5年 CP NL AC 5KCE用</v>
          </cell>
          <cell r="C4312" t="str">
            <v>【ファウンデーションケア】</v>
          </cell>
        </row>
        <row r="4313">
          <cell r="A4313" t="str">
            <v>HA0G3E</v>
          </cell>
          <cell r="B4313" t="str">
            <v>FC 24x7 1年 CP NL OB 5K USR用</v>
          </cell>
          <cell r="C4313" t="str">
            <v>【ファウンデーションケア】</v>
          </cell>
        </row>
        <row r="4314">
          <cell r="A4314" t="str">
            <v>HT8Z1E</v>
          </cell>
          <cell r="B4314" t="str">
            <v>FC 24x7 3年 CP NL OB 5K USR用</v>
          </cell>
          <cell r="C4314" t="str">
            <v>【ファウンデーションケア】</v>
          </cell>
        </row>
        <row r="4315">
          <cell r="A4315" t="str">
            <v>HT8Z4E</v>
          </cell>
          <cell r="B4315" t="str">
            <v>FC 24x7 4年 CP NL OB 5K USR用</v>
          </cell>
          <cell r="C4315" t="str">
            <v>【ファウンデーションケア】</v>
          </cell>
        </row>
        <row r="4316">
          <cell r="A4316" t="str">
            <v>HT8Z7E</v>
          </cell>
          <cell r="B4316" t="str">
            <v>FC 24x7 5年 CP NL OB 5K USR用</v>
          </cell>
          <cell r="C4316" t="str">
            <v>【ファウンデーションケア】</v>
          </cell>
        </row>
        <row r="4317">
          <cell r="A4317" t="str">
            <v>HT9B0E</v>
          </cell>
          <cell r="B4317" t="str">
            <v>FC 24x7 1年 CP NL AC 10KCE用</v>
          </cell>
          <cell r="C4317" t="str">
            <v>【ファウンデーションケア】</v>
          </cell>
        </row>
        <row r="4318">
          <cell r="A4318" t="str">
            <v>HT9B1E</v>
          </cell>
          <cell r="B4318" t="str">
            <v>FC 24x7 3年 CP NL AC 10KCE用</v>
          </cell>
          <cell r="C4318" t="str">
            <v>【ファウンデーションケア】</v>
          </cell>
        </row>
        <row r="4319">
          <cell r="A4319" t="str">
            <v>HT9B4E</v>
          </cell>
          <cell r="B4319" t="str">
            <v>FC 24x7 4年 CP NL AC 10KCE用</v>
          </cell>
          <cell r="C4319" t="str">
            <v>【ファウンデーションケア】</v>
          </cell>
        </row>
        <row r="4320">
          <cell r="A4320" t="str">
            <v>HT9B7E</v>
          </cell>
          <cell r="B4320" t="str">
            <v>FC 24x7 5年 CP NL AC 10KCE用</v>
          </cell>
          <cell r="C4320" t="str">
            <v>【ファウンデーションケア】</v>
          </cell>
        </row>
        <row r="4321">
          <cell r="A4321" t="str">
            <v>HT9D0E</v>
          </cell>
          <cell r="B4321" t="str">
            <v>FC 24x7 1年 CP NL OG 10K EP用</v>
          </cell>
          <cell r="C4321" t="str">
            <v>【ファウンデーションケア】</v>
          </cell>
        </row>
        <row r="4322">
          <cell r="A4322" t="str">
            <v>HT9D1E</v>
          </cell>
          <cell r="B4322" t="str">
            <v>FC 24x7 3年 CP NL OG 10K EP用</v>
          </cell>
          <cell r="C4322" t="str">
            <v>【ファウンデーションケア】</v>
          </cell>
        </row>
        <row r="4323">
          <cell r="A4323" t="str">
            <v>HT9D4E</v>
          </cell>
          <cell r="B4323" t="str">
            <v>FC 24x7 4年 CP NL OG 10K EP用</v>
          </cell>
          <cell r="C4323" t="str">
            <v>【ファウンデーションケア】</v>
          </cell>
        </row>
        <row r="4324">
          <cell r="A4324" t="str">
            <v>HT9D7E</v>
          </cell>
          <cell r="B4324" t="str">
            <v>FC 24x7 5年 CP NL OG 10K EP用</v>
          </cell>
          <cell r="C4324" t="str">
            <v>【ファウンデーションケア】</v>
          </cell>
        </row>
        <row r="4325">
          <cell r="A4325" t="str">
            <v>HT9F0E</v>
          </cell>
          <cell r="B4325" t="str">
            <v>FC 24x7 1年 CP NL OB 10K USR用</v>
          </cell>
          <cell r="C4325" t="str">
            <v>【ファウンデーションケア】</v>
          </cell>
        </row>
        <row r="4326">
          <cell r="A4326" t="str">
            <v>HT9F1E</v>
          </cell>
          <cell r="B4326" t="str">
            <v>FC 24x7 3年 CP NL OB 10K USR用</v>
          </cell>
          <cell r="C4326" t="str">
            <v>【ファウンデーションケア】</v>
          </cell>
        </row>
        <row r="4327">
          <cell r="A4327" t="str">
            <v>HT9F4E</v>
          </cell>
          <cell r="B4327" t="str">
            <v>FC 24x7 4年 CP NL OB 10K USR用</v>
          </cell>
          <cell r="C4327" t="str">
            <v>【ファウンデーションケア】</v>
          </cell>
        </row>
        <row r="4328">
          <cell r="A4328" t="str">
            <v>HT9F7E</v>
          </cell>
          <cell r="B4328" t="str">
            <v>FC 24x7 5年 CP NL OB 10K USR用</v>
          </cell>
          <cell r="C4328" t="str">
            <v>【ファウンデーションケア】</v>
          </cell>
        </row>
        <row r="4329">
          <cell r="A4329" t="str">
            <v>H1AG4E</v>
          </cell>
          <cell r="B4329" t="str">
            <v>FC Exchange 3年 EL10用</v>
          </cell>
          <cell r="C4329" t="str">
            <v>【ファウンデーションケア】</v>
          </cell>
        </row>
        <row r="4330">
          <cell r="A4330" t="str">
            <v>H1AG5E</v>
          </cell>
          <cell r="B4330" t="str">
            <v>FC Exchange 4年 EL10用</v>
          </cell>
          <cell r="C4330" t="str">
            <v>【ファウンデーションケア】</v>
          </cell>
        </row>
        <row r="4331">
          <cell r="A4331" t="str">
            <v>H1AG6E</v>
          </cell>
          <cell r="B4331" t="str">
            <v>FC Exchange 5年 EL10用</v>
          </cell>
          <cell r="C4331" t="str">
            <v>【ファウンデーションケア】</v>
          </cell>
        </row>
        <row r="4332">
          <cell r="A4332" t="str">
            <v>H1AG7E</v>
          </cell>
          <cell r="B4332" t="str">
            <v>FC Exchange 3年 EL20用</v>
          </cell>
          <cell r="C4332" t="str">
            <v>【ファウンデーションケア】</v>
          </cell>
        </row>
        <row r="4333">
          <cell r="A4333" t="str">
            <v>H1AG8E</v>
          </cell>
          <cell r="B4333" t="str">
            <v>FC Exchange 4年 EL20用</v>
          </cell>
          <cell r="C4333" t="str">
            <v>【ファウンデーションケア】</v>
          </cell>
        </row>
        <row r="4334">
          <cell r="A4334" t="str">
            <v>H1AG9E</v>
          </cell>
          <cell r="B4334" t="str">
            <v>FC Exchange 5年 EL20用</v>
          </cell>
          <cell r="C4334" t="str">
            <v>【ファウンデーションケア】</v>
          </cell>
        </row>
        <row r="4335">
          <cell r="A4335" t="str">
            <v>U0GK9E</v>
          </cell>
          <cell r="B4335" t="str">
            <v>FC 24x7 1年 560 Wireless AP用</v>
          </cell>
          <cell r="C4335" t="str">
            <v>【ファウンデーションケア】</v>
          </cell>
        </row>
        <row r="4336">
          <cell r="A4336" t="str">
            <v>U0GL7E</v>
          </cell>
          <cell r="B4336" t="str">
            <v>FC 9x5 3年 560 Wireless AP用</v>
          </cell>
          <cell r="C4336" t="str">
            <v>【ファウンデーションケア】</v>
          </cell>
        </row>
        <row r="4337">
          <cell r="A4337" t="str">
            <v>U0GL8E</v>
          </cell>
          <cell r="B4337" t="str">
            <v>FC 24x7 3年 560 Wireless AP用</v>
          </cell>
          <cell r="C4337" t="str">
            <v>【ファウンデーションケア】</v>
          </cell>
        </row>
        <row r="4338">
          <cell r="A4338" t="str">
            <v>U0GM1E</v>
          </cell>
          <cell r="B4338" t="str">
            <v>FC 9x5 4年 560 Wireless AP用</v>
          </cell>
          <cell r="C4338" t="str">
            <v>【ファウンデーションケア】</v>
          </cell>
        </row>
        <row r="4339">
          <cell r="A4339" t="str">
            <v>U0GM3E</v>
          </cell>
          <cell r="B4339" t="str">
            <v>FC 24x7 4年 560 Wireless AP用</v>
          </cell>
          <cell r="C4339" t="str">
            <v>【ファウンデーションケア】</v>
          </cell>
        </row>
        <row r="4340">
          <cell r="A4340" t="str">
            <v>U0GM4E</v>
          </cell>
          <cell r="B4340" t="str">
            <v>FC 9x5 5年 560 Wireless AP用</v>
          </cell>
          <cell r="C4340" t="str">
            <v>【ファウンデーションケア】</v>
          </cell>
        </row>
        <row r="4341">
          <cell r="A4341" t="str">
            <v>U0GM5E</v>
          </cell>
          <cell r="B4341" t="str">
            <v>FC 24x7 5年 560 Wireless AP用</v>
          </cell>
          <cell r="C4341" t="str">
            <v>【ファウンデーションケア】</v>
          </cell>
        </row>
        <row r="4342">
          <cell r="A4342" t="str">
            <v>U0GN0PE</v>
          </cell>
          <cell r="B4342" t="str">
            <v>更新用 FC 24x7 1年 560 Wireless AP用</v>
          </cell>
          <cell r="C4342" t="str">
            <v>【ファウンデーションケア】</v>
          </cell>
        </row>
        <row r="4343">
          <cell r="A4343" t="str">
            <v>U1RP0E</v>
          </cell>
          <cell r="B4343" t="str">
            <v>FC 24x7 3年 870 U Wire-WLAN Ctrl</v>
          </cell>
          <cell r="C4343" t="str">
            <v>【ファウンデーションケア】</v>
          </cell>
        </row>
        <row r="4344">
          <cell r="A4344" t="str">
            <v>U1RP1E</v>
          </cell>
          <cell r="B4344" t="str">
            <v>FC 24x7 4年 870 U Wire-WLAN Ctrl</v>
          </cell>
          <cell r="C4344" t="str">
            <v>【ファウンデーションケア】</v>
          </cell>
        </row>
        <row r="4345">
          <cell r="A4345" t="str">
            <v>U1RP2E</v>
          </cell>
          <cell r="B4345" t="str">
            <v>FC 24x7 5年 870 U Wire-WLAN Ctrl</v>
          </cell>
          <cell r="C4345" t="str">
            <v>【ファウンデーションケア】</v>
          </cell>
        </row>
        <row r="4346">
          <cell r="A4346" t="str">
            <v>U1RP3PE</v>
          </cell>
          <cell r="B4346" t="str">
            <v>更新用 FC 24x7 1年  870 U Wire-WLAN Ctrl</v>
          </cell>
          <cell r="C4346" t="str">
            <v>【ファウンデーションケア】</v>
          </cell>
        </row>
        <row r="4347">
          <cell r="A4347" t="str">
            <v>U1RP4E</v>
          </cell>
          <cell r="B4347" t="str">
            <v>FC 24x7 1年 870 U Wire-WLAN Ctrl</v>
          </cell>
          <cell r="C4347" t="str">
            <v>【ファウンデーションケア】</v>
          </cell>
        </row>
        <row r="4348">
          <cell r="A4348" t="str">
            <v>U1RR5E</v>
          </cell>
          <cell r="B4348" t="str">
            <v>FC 9x5 3年 870 U Wire-WLAN Ctrl</v>
          </cell>
          <cell r="C4348" t="str">
            <v>【ファウンデーションケア】</v>
          </cell>
        </row>
        <row r="4349">
          <cell r="A4349" t="str">
            <v>U1RR6E</v>
          </cell>
          <cell r="B4349" t="str">
            <v>FC 9x5 4年 870 U Wire-WLAN Ctrl</v>
          </cell>
          <cell r="C4349" t="str">
            <v>【ファウンデーションケア】</v>
          </cell>
        </row>
        <row r="4350">
          <cell r="A4350" t="str">
            <v>U1RR7E</v>
          </cell>
          <cell r="B4350" t="str">
            <v>FC 9x5 5年 870 U Wire-WLAN Ctrl</v>
          </cell>
          <cell r="C4350" t="str">
            <v>【ファウンデーションケア】</v>
          </cell>
        </row>
        <row r="4351">
          <cell r="A4351" t="str">
            <v>U1YW0E</v>
          </cell>
          <cell r="B4351" t="str">
            <v>FC 24x7 3年 MSM410/415用</v>
          </cell>
          <cell r="C4351" t="str">
            <v>【ファウンデーションケア】</v>
          </cell>
        </row>
        <row r="4352">
          <cell r="A4352" t="str">
            <v>U1YW3E</v>
          </cell>
          <cell r="B4352" t="str">
            <v>FC 24x7 3年 MSM430 Access Point用</v>
          </cell>
          <cell r="C4352" t="str">
            <v>【ファウンデーションケア】</v>
          </cell>
        </row>
        <row r="4353">
          <cell r="A4353" t="str">
            <v>U1YW5E</v>
          </cell>
          <cell r="B4353" t="str">
            <v>FC 24x7 3年 MSM46x Access Point用</v>
          </cell>
          <cell r="C4353" t="str">
            <v>【ファウンデーションケア】</v>
          </cell>
        </row>
        <row r="4354">
          <cell r="A4354" t="str">
            <v>U1YX1E</v>
          </cell>
          <cell r="B4354" t="str">
            <v>FC 24x7 3年 MSM720 Access Contr用</v>
          </cell>
          <cell r="C4354" t="str">
            <v>【ファウンデーションケア】</v>
          </cell>
        </row>
        <row r="4355">
          <cell r="A4355" t="str">
            <v>U1YX3E</v>
          </cell>
          <cell r="B4355" t="str">
            <v>FC 24x7 3年 MSM720 Mobility Contr用</v>
          </cell>
          <cell r="C4355" t="str">
            <v>【ファウンデーションケア】</v>
          </cell>
        </row>
        <row r="4356">
          <cell r="A4356" t="str">
            <v>U1YX4E</v>
          </cell>
          <cell r="B4356" t="str">
            <v>FC 24x7 3年 MSM760 Access Contr用</v>
          </cell>
          <cell r="C4356" t="str">
            <v>【ファウンデーションケア】</v>
          </cell>
        </row>
        <row r="4357">
          <cell r="A4357" t="str">
            <v>U1ZJ8E</v>
          </cell>
          <cell r="B4357" t="str">
            <v>FC 24x7 3年 MSM760 Mobility Contr用</v>
          </cell>
          <cell r="C4357" t="str">
            <v>【ファウンデーションケア】</v>
          </cell>
        </row>
        <row r="4358">
          <cell r="A4358" t="str">
            <v>U1ZL7E</v>
          </cell>
          <cell r="B4358" t="str">
            <v>FC 24x7 4年 MSM410/415用</v>
          </cell>
          <cell r="C4358" t="str">
            <v>【ファウンデーションケア】</v>
          </cell>
        </row>
        <row r="4359">
          <cell r="A4359" t="str">
            <v>U1ZM0E</v>
          </cell>
          <cell r="B4359" t="str">
            <v>FC 24x7 4年 MSM430 Access Point用</v>
          </cell>
          <cell r="C4359" t="str">
            <v>【ファウンデーションケア】</v>
          </cell>
        </row>
        <row r="4360">
          <cell r="A4360" t="str">
            <v>U2AC3E</v>
          </cell>
          <cell r="B4360" t="str">
            <v>FC 24x7 5年 MSM46x Access Point用</v>
          </cell>
          <cell r="C4360" t="str">
            <v>【ファウンデーションケア】</v>
          </cell>
        </row>
        <row r="4361">
          <cell r="A4361" t="str">
            <v>U2AC9E</v>
          </cell>
          <cell r="B4361" t="str">
            <v>FC 24x7 5年 MSM720 Mobility Contr用</v>
          </cell>
          <cell r="C4361" t="str">
            <v>【ファウンデーションケア】</v>
          </cell>
        </row>
        <row r="4362">
          <cell r="A4362" t="str">
            <v>U2AD4E</v>
          </cell>
          <cell r="B4362" t="str">
            <v>FC 24x7 5年 MSM760 Mobility Contr用</v>
          </cell>
          <cell r="C4362" t="str">
            <v>【ファウンデーションケア】</v>
          </cell>
        </row>
        <row r="4363">
          <cell r="A4363" t="str">
            <v>U2AE9E</v>
          </cell>
          <cell r="B4363" t="str">
            <v>FC 24x7 5年 MSM720 Access Contr用</v>
          </cell>
          <cell r="C4363" t="str">
            <v>【ファウンデーションケア】</v>
          </cell>
        </row>
        <row r="4364">
          <cell r="A4364" t="str">
            <v>U2AF2E</v>
          </cell>
          <cell r="B4364" t="str">
            <v>FC 24x7 4年 MSM46x Access Point用</v>
          </cell>
          <cell r="C4364" t="str">
            <v>【ファウンデーションケア】</v>
          </cell>
        </row>
        <row r="4365">
          <cell r="A4365" t="str">
            <v>U2AF8E</v>
          </cell>
          <cell r="B4365" t="str">
            <v>FC 24x7 4年 MSM720 Mobility Contr用</v>
          </cell>
          <cell r="C4365" t="str">
            <v>【ファウンデーションケア】</v>
          </cell>
        </row>
        <row r="4366">
          <cell r="A4366" t="str">
            <v>U2AG3E</v>
          </cell>
          <cell r="B4366" t="str">
            <v>FC 24x7 4年 MSM760 Mobility Contr用</v>
          </cell>
          <cell r="C4366" t="str">
            <v>【ファウンデーションケア】</v>
          </cell>
        </row>
        <row r="4367">
          <cell r="A4367" t="str">
            <v>U2AH8E</v>
          </cell>
          <cell r="B4367" t="str">
            <v>FC 24x7 4年 MSM720 Access Contr用</v>
          </cell>
          <cell r="C4367" t="str">
            <v>【ファウンデーションケア】</v>
          </cell>
        </row>
        <row r="4368">
          <cell r="A4368" t="str">
            <v>U2AJ3E</v>
          </cell>
          <cell r="B4368" t="str">
            <v>FC 24x7 5年 MSM410/415用</v>
          </cell>
          <cell r="C4368" t="str">
            <v>【ファウンデーションケア】</v>
          </cell>
        </row>
        <row r="4369">
          <cell r="A4369" t="str">
            <v>U2AJ6E</v>
          </cell>
          <cell r="B4369" t="str">
            <v>FC 24x7 5年 MSM430 Access Point用</v>
          </cell>
          <cell r="C4369" t="str">
            <v>【ファウンデーションケア】</v>
          </cell>
        </row>
        <row r="4370">
          <cell r="A4370" t="str">
            <v>U3FV6E</v>
          </cell>
          <cell r="B4370" t="str">
            <v>FC 24x7 3年 425 Wireless AP用</v>
          </cell>
          <cell r="C4370" t="str">
            <v>【ファウンデーションケア】</v>
          </cell>
        </row>
        <row r="4371">
          <cell r="A4371" t="str">
            <v>U3FY8E</v>
          </cell>
          <cell r="B4371" t="str">
            <v>FC 24x7 3年 830-8P U Wire-WLAN Ctrl</v>
          </cell>
          <cell r="C4371" t="str">
            <v>【ファウンデーションケア】</v>
          </cell>
        </row>
        <row r="4372">
          <cell r="A4372" t="str">
            <v>U3GA5E</v>
          </cell>
          <cell r="B4372" t="str">
            <v>FC 24x7 3年 830-24P U Wire-WLAN Ctrl</v>
          </cell>
          <cell r="C4372" t="str">
            <v>【ファウンデーションケア】</v>
          </cell>
        </row>
        <row r="4373">
          <cell r="A4373" t="str">
            <v>U3GC9E</v>
          </cell>
          <cell r="B4373" t="str">
            <v>FC 24x7 3年 MSM775 Contr Module用</v>
          </cell>
          <cell r="C4373" t="str">
            <v>【ファウンデーションケア】</v>
          </cell>
        </row>
        <row r="4374">
          <cell r="A4374" t="str">
            <v>U3GD4E</v>
          </cell>
          <cell r="B4374" t="str">
            <v>FC 24x7 3年 10500 20G U Wire-WLAN Mod</v>
          </cell>
          <cell r="C4374" t="str">
            <v>【ファウンデーションケア】</v>
          </cell>
        </row>
        <row r="4375">
          <cell r="A4375" t="str">
            <v>U3GG8E</v>
          </cell>
          <cell r="B4375" t="str">
            <v>FC 24x7 4年 425 Wireless AP用</v>
          </cell>
          <cell r="C4375" t="str">
            <v>【ファウンデーションケア】</v>
          </cell>
        </row>
        <row r="4376">
          <cell r="A4376" t="str">
            <v>U3GK6E</v>
          </cell>
          <cell r="B4376" t="str">
            <v>FC 24x7 4年 830-8P U Wire-WLAN Ctrl</v>
          </cell>
          <cell r="C4376" t="str">
            <v>【ファウンデーションケア】</v>
          </cell>
        </row>
        <row r="4377">
          <cell r="A4377" t="str">
            <v>U3GM1E</v>
          </cell>
          <cell r="B4377" t="str">
            <v>FC 24x7 4年 830-24P U Wire-WLAN Ctrl</v>
          </cell>
          <cell r="C4377" t="str">
            <v>【ファウンデーションケア】</v>
          </cell>
        </row>
        <row r="4378">
          <cell r="A4378" t="str">
            <v>U3GP5E</v>
          </cell>
          <cell r="B4378" t="str">
            <v>FC 24x7 4年 MSM775 Contr Module用</v>
          </cell>
          <cell r="C4378" t="str">
            <v>【ファウンデーションケア】</v>
          </cell>
        </row>
        <row r="4379">
          <cell r="A4379" t="str">
            <v>U3GP9E</v>
          </cell>
          <cell r="B4379" t="str">
            <v>FC 24x7 4年 10500 20G U Wire-WLAN Mod</v>
          </cell>
          <cell r="C4379" t="str">
            <v>【ファウンデーションケア】</v>
          </cell>
        </row>
        <row r="4380">
          <cell r="A4380" t="str">
            <v>U3GT4E</v>
          </cell>
          <cell r="B4380" t="str">
            <v>FC 24x7 5年 425 Wireless AP用</v>
          </cell>
          <cell r="C4380" t="str">
            <v>【ファウンデーションケア】</v>
          </cell>
        </row>
        <row r="4381">
          <cell r="A4381" t="str">
            <v>U3GX6E</v>
          </cell>
          <cell r="B4381" t="str">
            <v>FC 24x7 5年 830-24P U Wire-WLAN Ctrl</v>
          </cell>
          <cell r="C4381" t="str">
            <v>【ファウンデーションケア】</v>
          </cell>
        </row>
        <row r="4382">
          <cell r="A4382" t="str">
            <v>U3HA0E</v>
          </cell>
          <cell r="B4382" t="str">
            <v>FC 24x7 5年 MSM775 Contr Module用</v>
          </cell>
          <cell r="C4382" t="str">
            <v>【ファウンデーションケア】</v>
          </cell>
        </row>
        <row r="4383">
          <cell r="A4383" t="str">
            <v>U3HA4E</v>
          </cell>
          <cell r="B4383" t="str">
            <v>FC 24x7 5年 10500 20G U Wire-WLAN Mod</v>
          </cell>
          <cell r="C4383" t="str">
            <v>【ファウンデーションケア】</v>
          </cell>
        </row>
        <row r="4384">
          <cell r="A4384" t="str">
            <v>U3HC3E</v>
          </cell>
          <cell r="B4384" t="str">
            <v>FC 24x7 5年 830-8P U Wire-WLAN Ctrl</v>
          </cell>
          <cell r="C4384" t="str">
            <v>【ファウンデーションケア】</v>
          </cell>
        </row>
        <row r="4385">
          <cell r="A4385" t="str">
            <v>U3LR1E</v>
          </cell>
          <cell r="B4385" t="str">
            <v>FC Exchange 3年 MSM466-R AP用</v>
          </cell>
          <cell r="C4385" t="str">
            <v>【ファウンデーションケア】</v>
          </cell>
        </row>
        <row r="4386">
          <cell r="A4386" t="str">
            <v>U3LX1E</v>
          </cell>
          <cell r="B4386" t="str">
            <v>FC Exch 3年 10500 20G U Wire-WLAN Mod</v>
          </cell>
          <cell r="C4386" t="str">
            <v>【ファウンデーションケア】</v>
          </cell>
        </row>
        <row r="4387">
          <cell r="A4387" t="str">
            <v>U3MC8E</v>
          </cell>
          <cell r="B4387" t="str">
            <v>FC Exchange 4年 MSM466-R AP用</v>
          </cell>
          <cell r="C4387" t="str">
            <v>【ファウンデーションケア】</v>
          </cell>
        </row>
        <row r="4388">
          <cell r="A4388" t="str">
            <v>U3MQ5E</v>
          </cell>
          <cell r="B4388" t="str">
            <v>FC Exchange 5年 MSM466-R AP用</v>
          </cell>
          <cell r="C4388" t="str">
            <v>【ファウンデーションケア】</v>
          </cell>
        </row>
        <row r="4389">
          <cell r="A4389" t="str">
            <v>U3PL3E</v>
          </cell>
          <cell r="B4389" t="str">
            <v>FC 24x7 1年 425 Wireless AP用</v>
          </cell>
          <cell r="C4389" t="str">
            <v>【ファウンデーションケア】</v>
          </cell>
        </row>
        <row r="4390">
          <cell r="A4390" t="str">
            <v>U3PP3E</v>
          </cell>
          <cell r="B4390" t="str">
            <v>FC 24x7 1年 830-8P U Wire-WLAN Ctrl</v>
          </cell>
          <cell r="C4390" t="str">
            <v>【ファウンデーションケア】</v>
          </cell>
        </row>
        <row r="4391">
          <cell r="A4391" t="str">
            <v>U3PR1E</v>
          </cell>
          <cell r="B4391" t="str">
            <v>FC 24x7 1年 830-24P U Wire-WLAN Ctrl</v>
          </cell>
          <cell r="C4391" t="str">
            <v>【ファウンデーションケア】</v>
          </cell>
        </row>
        <row r="4392">
          <cell r="A4392" t="str">
            <v>U3PT6E</v>
          </cell>
          <cell r="B4392" t="str">
            <v>FC 24x7 1年 MSM775 Contr Module用</v>
          </cell>
          <cell r="C4392" t="str">
            <v>【ファウンデーションケア】</v>
          </cell>
        </row>
        <row r="4393">
          <cell r="A4393" t="str">
            <v>U3PT8E</v>
          </cell>
          <cell r="B4393" t="str">
            <v>FC 24x7 1年 10500 20G U Wire-WLAN Mod</v>
          </cell>
          <cell r="C4393" t="str">
            <v>【ファウンデーションケア】</v>
          </cell>
        </row>
        <row r="4394">
          <cell r="A4394" t="str">
            <v>U3RW7PE</v>
          </cell>
          <cell r="B4394" t="str">
            <v>PW FC 24x7 1年 MSM760 Access Contr</v>
          </cell>
          <cell r="C4394" t="str">
            <v>【ファウンデーションケア】</v>
          </cell>
        </row>
        <row r="4395">
          <cell r="A4395" t="str">
            <v>U3RX0PE</v>
          </cell>
          <cell r="B4395" t="str">
            <v>PW FC 24x7 1年 MSM760 MbltyCtlr</v>
          </cell>
          <cell r="C4395" t="str">
            <v>【ファウンデーションケア】</v>
          </cell>
        </row>
        <row r="4396">
          <cell r="A4396" t="str">
            <v>U3SE7E</v>
          </cell>
          <cell r="B4396" t="str">
            <v>FC Exch 3年 MSM760 Access Contr用</v>
          </cell>
          <cell r="C4396" t="str">
            <v>【ファウンデーションケア】</v>
          </cell>
        </row>
        <row r="4397">
          <cell r="A4397" t="str">
            <v>U3SF3E</v>
          </cell>
          <cell r="B4397" t="str">
            <v>FC Exch 3年 MSM760 Mobility Contr用</v>
          </cell>
          <cell r="C4397" t="str">
            <v>【ファウンデーションケア】</v>
          </cell>
        </row>
        <row r="4398">
          <cell r="A4398" t="str">
            <v>U3SJ5E</v>
          </cell>
          <cell r="B4398" t="str">
            <v>FC Exch 4年 MSM760 Access Contr用</v>
          </cell>
          <cell r="C4398" t="str">
            <v>【ファウンデーションケア】</v>
          </cell>
        </row>
        <row r="4399">
          <cell r="A4399" t="str">
            <v>U3SK1E</v>
          </cell>
          <cell r="B4399" t="str">
            <v>FC Exch 4年 MSM760 Mobility Contr用</v>
          </cell>
          <cell r="C4399" t="str">
            <v>【ファウンデーションケア】</v>
          </cell>
        </row>
        <row r="4400">
          <cell r="A4400" t="str">
            <v>U3SN3E</v>
          </cell>
          <cell r="B4400" t="str">
            <v>FC Exch 5年 MSM760 Access Contr用</v>
          </cell>
          <cell r="C4400" t="str">
            <v>【ファウンデーションケア】</v>
          </cell>
        </row>
        <row r="4401">
          <cell r="A4401" t="str">
            <v>U3SN9E</v>
          </cell>
          <cell r="B4401" t="str">
            <v>FC Exch 5年 MSM760 Mobility Contr用</v>
          </cell>
          <cell r="C4401" t="str">
            <v>【ファウンデーションケア】</v>
          </cell>
        </row>
        <row r="4402">
          <cell r="A4402" t="str">
            <v>U3SQ7PE</v>
          </cell>
          <cell r="B4402" t="str">
            <v>PW FC Exch 1年 MSM760 Access Contr</v>
          </cell>
          <cell r="C4402" t="str">
            <v>【ファウンデーションケア】</v>
          </cell>
        </row>
        <row r="4403">
          <cell r="A4403" t="str">
            <v>U3SR0PE</v>
          </cell>
          <cell r="B4403" t="str">
            <v>PW FC Exch 1年 MSM760 MbltyCtlr</v>
          </cell>
          <cell r="C4403" t="str">
            <v>【ファウンデーションケア】</v>
          </cell>
        </row>
        <row r="4404">
          <cell r="A4404" t="str">
            <v>U3TK9E</v>
          </cell>
          <cell r="B4404" t="str">
            <v>FC 24x7 1年 MSM410/415用</v>
          </cell>
          <cell r="C4404" t="str">
            <v>【ファウンデーションケア】</v>
          </cell>
        </row>
        <row r="4405">
          <cell r="A4405" t="str">
            <v>U3TL3E</v>
          </cell>
          <cell r="B4405" t="str">
            <v>FC 24x7 1年 MSM430 Access Point用</v>
          </cell>
          <cell r="C4405" t="str">
            <v>【ファウンデーションケア】</v>
          </cell>
        </row>
        <row r="4406">
          <cell r="A4406" t="str">
            <v>U3TL4E</v>
          </cell>
          <cell r="B4406" t="str">
            <v>FC 24x7 1年 MSM46x Access Point用</v>
          </cell>
          <cell r="C4406" t="str">
            <v>【ファウンデーションケア】</v>
          </cell>
        </row>
        <row r="4407">
          <cell r="A4407" t="str">
            <v>U3TM0E</v>
          </cell>
          <cell r="B4407" t="str">
            <v>FC 24x7 1年 MSM720 Access Contr用</v>
          </cell>
          <cell r="C4407" t="str">
            <v>【ファウンデーションケア】</v>
          </cell>
        </row>
        <row r="4408">
          <cell r="A4408" t="str">
            <v>U3TM4E</v>
          </cell>
          <cell r="B4408" t="str">
            <v>FC 24x7 1年 MSM720 Mobility Contr用</v>
          </cell>
          <cell r="C4408" t="str">
            <v>【ファウンデーションケア】</v>
          </cell>
        </row>
        <row r="4409">
          <cell r="A4409" t="str">
            <v>U3TM5E</v>
          </cell>
          <cell r="B4409" t="str">
            <v>FC 24x7 1年 MSM760 Access Contr用</v>
          </cell>
          <cell r="C4409" t="str">
            <v>【ファウンデーションケア】</v>
          </cell>
        </row>
        <row r="4410">
          <cell r="A4410" t="str">
            <v>U3TN0E</v>
          </cell>
          <cell r="B4410" t="str">
            <v>FC 24x7 1年 MSM760 Mobility Contr用</v>
          </cell>
          <cell r="C4410" t="str">
            <v>【ファウンデーションケア】</v>
          </cell>
        </row>
        <row r="4411">
          <cell r="A4411" t="str">
            <v>U3TP6PE</v>
          </cell>
          <cell r="B4411" t="str">
            <v>更新用 FC 24x7 1年 MSM313 AP用</v>
          </cell>
          <cell r="C4411" t="str">
            <v>【ファウンデーションケア】</v>
          </cell>
        </row>
        <row r="4412">
          <cell r="A4412" t="str">
            <v>U3TP7PE</v>
          </cell>
          <cell r="B4412" t="str">
            <v>更新用 FC 24x7 1年 MSM320/410 AP用</v>
          </cell>
          <cell r="C4412" t="str">
            <v>【ファウンデーションケア】</v>
          </cell>
        </row>
        <row r="4413">
          <cell r="A4413" t="str">
            <v>U3TP8PE</v>
          </cell>
          <cell r="B4413" t="str">
            <v>更新用 FC 24x7 1年 MSM310 AP用</v>
          </cell>
          <cell r="C4413" t="str">
            <v>【ファウンデーションケア】</v>
          </cell>
        </row>
        <row r="4414">
          <cell r="A4414" t="str">
            <v>U3TQ0PE</v>
          </cell>
          <cell r="B4414" t="str">
            <v>更新用 FC 24x7 1年 MSM430 AP用</v>
          </cell>
          <cell r="C4414" t="str">
            <v>【ファウンデーションケア】</v>
          </cell>
        </row>
        <row r="4415">
          <cell r="A4415" t="str">
            <v>U3TQ1PE</v>
          </cell>
          <cell r="B4415" t="str">
            <v>更新用 FC 24x7 1年 MSM46x AP用</v>
          </cell>
          <cell r="C4415" t="str">
            <v>【ファウンデーションケア】</v>
          </cell>
        </row>
        <row r="4416">
          <cell r="A4416" t="str">
            <v>U3TQ2PE</v>
          </cell>
          <cell r="B4416" t="str">
            <v>PW FC 24x7 1年 MSM710 Access Contr</v>
          </cell>
          <cell r="C4416" t="str">
            <v>【ファウンデーションケア】</v>
          </cell>
        </row>
        <row r="4417">
          <cell r="A4417" t="str">
            <v>U3TQ4PE</v>
          </cell>
          <cell r="B4417" t="str">
            <v>更新用 FC 24x7 1年 MSM720 AccessContr</v>
          </cell>
          <cell r="C4417" t="str">
            <v>【ファウンデーションケア】</v>
          </cell>
        </row>
        <row r="4418">
          <cell r="A4418" t="str">
            <v>U3TQ7PE</v>
          </cell>
          <cell r="B4418" t="str">
            <v>更新用FC24x7 1年 MSM720 MbltyCtlr</v>
          </cell>
          <cell r="C4418" t="str">
            <v>【ファウンデーションケア】</v>
          </cell>
        </row>
        <row r="4419">
          <cell r="A4419" t="str">
            <v>U3TR0PE</v>
          </cell>
          <cell r="B4419" t="str">
            <v>更新用 FC 24x7 1年 MSM765 MbltyCtlr</v>
          </cell>
          <cell r="C4419" t="str">
            <v>【ファウンデーションケア】</v>
          </cell>
        </row>
        <row r="4420">
          <cell r="A4420" t="str">
            <v>U3UM2E</v>
          </cell>
          <cell r="B4420" t="str">
            <v>FC 9x5 3年 MSM410/415用</v>
          </cell>
          <cell r="C4420" t="str">
            <v>【ファウンデーションケア】</v>
          </cell>
        </row>
        <row r="4421">
          <cell r="A4421" t="str">
            <v>U3UM5E</v>
          </cell>
          <cell r="B4421" t="str">
            <v>FC 9x5 3年 MSM430 Access Point用</v>
          </cell>
          <cell r="C4421" t="str">
            <v>【ファウンデーションケア】</v>
          </cell>
        </row>
        <row r="4422">
          <cell r="A4422" t="str">
            <v>U3UM7E</v>
          </cell>
          <cell r="B4422" t="str">
            <v>FC 9x5 3年 MSM46x Access Point用</v>
          </cell>
          <cell r="C4422" t="str">
            <v>【ファウンデーションケア】</v>
          </cell>
        </row>
        <row r="4423">
          <cell r="A4423" t="str">
            <v>U3UN2E</v>
          </cell>
          <cell r="B4423" t="str">
            <v>FC 9x5 3年 MSM720 Access Contr用</v>
          </cell>
          <cell r="C4423" t="str">
            <v>【ファウンデーションケア】</v>
          </cell>
        </row>
        <row r="4424">
          <cell r="A4424" t="str">
            <v>U3UN6E</v>
          </cell>
          <cell r="B4424" t="str">
            <v>FC 9x5 3年 MSM720 Mobility Contr用</v>
          </cell>
          <cell r="C4424" t="str">
            <v>【ファウンデーションケア】</v>
          </cell>
        </row>
        <row r="4425">
          <cell r="A4425" t="str">
            <v>U3UQ4E</v>
          </cell>
          <cell r="B4425" t="str">
            <v>FC 9x5 4年 MSM410/415用</v>
          </cell>
          <cell r="C4425" t="str">
            <v>【ファウンデーションケア】</v>
          </cell>
        </row>
        <row r="4426">
          <cell r="A4426" t="str">
            <v>U3UQ7E</v>
          </cell>
          <cell r="B4426" t="str">
            <v>FC 9x5 4年 MSM430 Access Point用</v>
          </cell>
          <cell r="C4426" t="str">
            <v>【ファウンデーションケア】</v>
          </cell>
        </row>
        <row r="4427">
          <cell r="A4427" t="str">
            <v>U3UQ9E</v>
          </cell>
          <cell r="B4427" t="str">
            <v>FC 9x5 4年 MSM46x Access Point用</v>
          </cell>
          <cell r="C4427" t="str">
            <v>【ファウンデーションケア】</v>
          </cell>
        </row>
        <row r="4428">
          <cell r="A4428" t="str">
            <v>U3UR4E</v>
          </cell>
          <cell r="B4428" t="str">
            <v>FC 9x5 4年 MSM720 Access Contr用</v>
          </cell>
          <cell r="C4428" t="str">
            <v>【ファウンデーションケア】</v>
          </cell>
        </row>
        <row r="4429">
          <cell r="A4429" t="str">
            <v>U3UR8E</v>
          </cell>
          <cell r="B4429" t="str">
            <v>FC 9x5 4年 MSM720 Mobility Contr用</v>
          </cell>
          <cell r="C4429" t="str">
            <v>【ファウンデーションケア】</v>
          </cell>
        </row>
        <row r="4430">
          <cell r="A4430" t="str">
            <v>U3UT6E</v>
          </cell>
          <cell r="B4430" t="str">
            <v>FC 9x5 5年 MSM410/415用</v>
          </cell>
          <cell r="C4430" t="str">
            <v>【ファウンデーションケア】</v>
          </cell>
        </row>
        <row r="4431">
          <cell r="A4431" t="str">
            <v>U3UT9E</v>
          </cell>
          <cell r="B4431" t="str">
            <v>FC 9x5 5年 MSM430 Access Point用</v>
          </cell>
          <cell r="C4431" t="str">
            <v>【ファウンデーションケア】</v>
          </cell>
        </row>
        <row r="4432">
          <cell r="A4432" t="str">
            <v>U3UU1E</v>
          </cell>
          <cell r="B4432" t="str">
            <v>FC 9x5 5年 MSM46x Access Point用</v>
          </cell>
          <cell r="C4432" t="str">
            <v>【ファウンデーションケア】</v>
          </cell>
        </row>
        <row r="4433">
          <cell r="A4433" t="str">
            <v>U3UU6E</v>
          </cell>
          <cell r="B4433" t="str">
            <v>FC 9x5 5年 MSM720 Access Contr用</v>
          </cell>
          <cell r="C4433" t="str">
            <v>【ファウンデーションケア】</v>
          </cell>
        </row>
        <row r="4434">
          <cell r="A4434" t="str">
            <v>U3UV0E</v>
          </cell>
          <cell r="B4434" t="str">
            <v>FC 9x5 5年 MSM720 Mobility Contr用</v>
          </cell>
          <cell r="C4434" t="str">
            <v>【ファウンデーションケア】</v>
          </cell>
        </row>
        <row r="4435">
          <cell r="A4435" t="str">
            <v>U3UX9PE</v>
          </cell>
          <cell r="B4435" t="str">
            <v>更新用 FC 9x5 1年 MSM313 AP用</v>
          </cell>
          <cell r="C4435" t="str">
            <v>【ファウンデーションケア】</v>
          </cell>
        </row>
        <row r="4436">
          <cell r="A4436" t="str">
            <v>U3UY0PE</v>
          </cell>
          <cell r="B4436" t="str">
            <v>更新用 FC 9x5 1年 MSM320/410 AP用</v>
          </cell>
          <cell r="C4436" t="str">
            <v>【ファウンデーションケア】</v>
          </cell>
        </row>
        <row r="4437">
          <cell r="A4437" t="str">
            <v>U3UY1PE</v>
          </cell>
          <cell r="B4437" t="str">
            <v>更新用 FC 9x5 1年 MSM310 AP用</v>
          </cell>
          <cell r="C4437" t="str">
            <v>【ファウンデーションケア】</v>
          </cell>
        </row>
        <row r="4438">
          <cell r="A4438" t="str">
            <v>U3UY2PE</v>
          </cell>
          <cell r="B4438" t="str">
            <v>更新用 FC 9x5 1年 MSM430 AP用</v>
          </cell>
          <cell r="C4438" t="str">
            <v>【ファウンデーションケア】</v>
          </cell>
        </row>
        <row r="4439">
          <cell r="A4439" t="str">
            <v>U3UY3PE</v>
          </cell>
          <cell r="B4439" t="str">
            <v>更新用 FC 9x5 1年 MSM46x AP用</v>
          </cell>
          <cell r="C4439" t="str">
            <v>【ファウンデーションケア】</v>
          </cell>
        </row>
        <row r="4440">
          <cell r="A4440" t="str">
            <v>U3UY5PE</v>
          </cell>
          <cell r="B4440" t="str">
            <v>更新用 FC 9x5 1年 MSM720 AccessContr</v>
          </cell>
          <cell r="C4440" t="str">
            <v>【ファウンデーションケア】</v>
          </cell>
        </row>
        <row r="4441">
          <cell r="A4441" t="str">
            <v>U3UY9PE</v>
          </cell>
          <cell r="B4441" t="str">
            <v>更新用 FC 9x5 1年 MSM720 MbltyCtlr</v>
          </cell>
          <cell r="C4441" t="str">
            <v>【ファウンデーションケア】</v>
          </cell>
        </row>
        <row r="4442">
          <cell r="A4442" t="str">
            <v>U3UZ1PE</v>
          </cell>
          <cell r="B4442" t="str">
            <v>更新用 FC 9x5 1年 MSM765 MbltyCtlr</v>
          </cell>
          <cell r="C4442" t="str">
            <v>【ファウンデーションケア】</v>
          </cell>
        </row>
        <row r="4443">
          <cell r="A4443" t="str">
            <v>U3YP1E</v>
          </cell>
          <cell r="B4443" t="str">
            <v>FC 9x5 3年 425 Wireless AP用</v>
          </cell>
          <cell r="C4443" t="str">
            <v>【ファウンデーションケア】</v>
          </cell>
        </row>
        <row r="4444">
          <cell r="A4444" t="str">
            <v>U3YR4E</v>
          </cell>
          <cell r="B4444" t="str">
            <v>FC 9x5 3年 830-8P U Wire-WLAN Ctrl</v>
          </cell>
          <cell r="C4444" t="str">
            <v>【ファウンデーションケア】</v>
          </cell>
        </row>
        <row r="4445">
          <cell r="A4445" t="str">
            <v>U3YT1E</v>
          </cell>
          <cell r="B4445" t="str">
            <v>FC 9x5 3年 830-24P U Wire-WLAN Ctrl</v>
          </cell>
          <cell r="C4445" t="str">
            <v>【ファウンデーションケア】</v>
          </cell>
        </row>
        <row r="4446">
          <cell r="A4446" t="str">
            <v>U3YU8E</v>
          </cell>
          <cell r="B4446" t="str">
            <v>FC 9x5 3年 MSM775 Contr Module用</v>
          </cell>
          <cell r="C4446" t="str">
            <v>【ファウンデーションケア】</v>
          </cell>
        </row>
        <row r="4447">
          <cell r="A4447" t="str">
            <v>U3YV4E</v>
          </cell>
          <cell r="B4447" t="str">
            <v>FC 9x5 3年 10500 20G U Wire-WLAN Mod</v>
          </cell>
          <cell r="C4447" t="str">
            <v>【ファウンデーションケア】</v>
          </cell>
        </row>
        <row r="4448">
          <cell r="A4448" t="str">
            <v>U3YY5E</v>
          </cell>
          <cell r="B4448" t="str">
            <v>FC 9x5 4年 425 Wireless AP用</v>
          </cell>
          <cell r="C4448" t="str">
            <v>【ファウンデーションケア】</v>
          </cell>
        </row>
        <row r="4449">
          <cell r="A4449" t="str">
            <v>U3ZA9E</v>
          </cell>
          <cell r="B4449" t="str">
            <v>FC 9x5 4年 830-8P U Wire-WLAN Ctrl</v>
          </cell>
          <cell r="C4449" t="str">
            <v>【ファウンデーションケア】</v>
          </cell>
        </row>
        <row r="4450">
          <cell r="A4450" t="str">
            <v>U3ZC4E</v>
          </cell>
          <cell r="B4450" t="str">
            <v>FC 9x5 4年 830-24P U Wire-WLAN Ctrl</v>
          </cell>
          <cell r="C4450" t="str">
            <v>【ファウンデーションケア】</v>
          </cell>
        </row>
        <row r="4451">
          <cell r="A4451" t="str">
            <v>U3ZE3E</v>
          </cell>
          <cell r="B4451" t="str">
            <v>FC 9x5 4年 MSM775 Contr Module用</v>
          </cell>
          <cell r="C4451" t="str">
            <v>【ファウンデーションケア】</v>
          </cell>
        </row>
        <row r="4452">
          <cell r="A4452" t="str">
            <v>U3ZE9E</v>
          </cell>
          <cell r="B4452" t="str">
            <v>FC 9x5 4年 10500 20G U Wire-WLAN Mod</v>
          </cell>
          <cell r="C4452" t="str">
            <v>【ファウンデーションケア】</v>
          </cell>
        </row>
        <row r="4453">
          <cell r="A4453" t="str">
            <v>U3ZJ0E</v>
          </cell>
          <cell r="B4453" t="str">
            <v>FC 9x5 5年 425 Wireless AP用</v>
          </cell>
          <cell r="C4453" t="str">
            <v>【ファウンデーションケア】</v>
          </cell>
        </row>
        <row r="4454">
          <cell r="A4454" t="str">
            <v>U3ZL5E</v>
          </cell>
          <cell r="B4454" t="str">
            <v>FC 9x5 5年 830-8P U Wire-WLAN Ctrl</v>
          </cell>
          <cell r="C4454" t="str">
            <v>【ファウンデーションケア】</v>
          </cell>
        </row>
        <row r="4455">
          <cell r="A4455" t="str">
            <v>U3ZN2E</v>
          </cell>
          <cell r="B4455" t="str">
            <v>FC 9x5 5年 830-24P U Wire-WLAN Ctrl</v>
          </cell>
          <cell r="C4455" t="str">
            <v>【ファウンデーションケア】</v>
          </cell>
        </row>
        <row r="4456">
          <cell r="A4456" t="str">
            <v>U3ZQ0E</v>
          </cell>
          <cell r="B4456" t="str">
            <v>FC 9x5 5年 MSM775 Contr Module用</v>
          </cell>
          <cell r="C4456" t="str">
            <v>【ファウンデーションケア】</v>
          </cell>
        </row>
        <row r="4457">
          <cell r="A4457" t="str">
            <v>U3ZQ6E</v>
          </cell>
          <cell r="B4457" t="str">
            <v>FC 9x5 5年 10500 20G U Wire-WLAN Mod</v>
          </cell>
          <cell r="C4457" t="str">
            <v>【ファウンデーションケア】</v>
          </cell>
        </row>
        <row r="4458">
          <cell r="A4458" t="str">
            <v>U4BT3PE</v>
          </cell>
          <cell r="B4458" t="str">
            <v>PW FC 24x7 1年 MSM710 Mobility Contr</v>
          </cell>
          <cell r="C4458" t="str">
            <v>【ファウンデーションケア】</v>
          </cell>
        </row>
        <row r="4459">
          <cell r="A4459" t="str">
            <v>U4BW9PE</v>
          </cell>
          <cell r="B4459" t="str">
            <v>PW FC24x7 1年10500 20G U Wire-WLAN Mod</v>
          </cell>
          <cell r="C4459" t="str">
            <v>【ファウンデーションケア】</v>
          </cell>
        </row>
        <row r="4460">
          <cell r="A4460" t="str">
            <v>U4CP8PE</v>
          </cell>
          <cell r="B4460" t="str">
            <v>PW FC Exch 1年 M111 Client Bridge</v>
          </cell>
          <cell r="C4460" t="str">
            <v>【ファウンデーションケア】</v>
          </cell>
        </row>
        <row r="4461">
          <cell r="A4461" t="str">
            <v>U4CQ8PE</v>
          </cell>
          <cell r="B4461" t="str">
            <v>PW FC Exch 1年 MSM710 Mobility Contr</v>
          </cell>
          <cell r="C4461" t="str">
            <v>【ファウンデーションケア】</v>
          </cell>
        </row>
        <row r="4462">
          <cell r="A4462" t="str">
            <v>U4CQ9PE</v>
          </cell>
          <cell r="B4462" t="str">
            <v>PW FC Exchange 1年 MSM466-R AP用</v>
          </cell>
          <cell r="C4462" t="str">
            <v>【ファウンデーションケア】</v>
          </cell>
        </row>
        <row r="4463">
          <cell r="A4463" t="str">
            <v>U4DC3PE</v>
          </cell>
          <cell r="B4463" t="str">
            <v>更新用 FC 24x7 1年 425 Wireless AP用</v>
          </cell>
          <cell r="C4463" t="str">
            <v>【ファウンデーションケア】</v>
          </cell>
        </row>
        <row r="4464">
          <cell r="A4464" t="str">
            <v>U4DC5PE</v>
          </cell>
          <cell r="B4464" t="str">
            <v>更新用 FC 24x7 1年 MSM422 AP用</v>
          </cell>
          <cell r="C4464" t="str">
            <v>【ファウンデーションケア】</v>
          </cell>
        </row>
        <row r="4465">
          <cell r="A4465" t="str">
            <v>U4DE3PE</v>
          </cell>
          <cell r="B4465" t="str">
            <v>更新用 FC 24x7 1年 830-8P UW-WLAN Ctrl</v>
          </cell>
          <cell r="C4465" t="str">
            <v>【ファウンデーションケア】</v>
          </cell>
        </row>
        <row r="4466">
          <cell r="A4466" t="str">
            <v>U4DG5PE</v>
          </cell>
          <cell r="B4466" t="str">
            <v>更新用 FC 24x7 1年 830-24 UW-WLAN Ctrl</v>
          </cell>
          <cell r="C4466" t="str">
            <v>【ファウンデーションケア】</v>
          </cell>
        </row>
        <row r="4467">
          <cell r="A4467" t="str">
            <v>U4DG7PE</v>
          </cell>
          <cell r="B4467" t="str">
            <v>更新用 FC 24x7 1年MSM775 Contr Module</v>
          </cell>
          <cell r="C4467" t="str">
            <v>【ファウンデーションケア】</v>
          </cell>
        </row>
        <row r="4468">
          <cell r="A4468" t="str">
            <v>U4DZ7PE</v>
          </cell>
          <cell r="B4468" t="str">
            <v>PW FC Exch 1年 MSM320-R AP用</v>
          </cell>
          <cell r="C4468" t="str">
            <v>【ファウンデーションケア】</v>
          </cell>
        </row>
        <row r="4469">
          <cell r="A4469" t="str">
            <v>U4EN1PE</v>
          </cell>
          <cell r="B4469" t="str">
            <v>PW FC 9x5 1年 MSM710 Mobility Contr</v>
          </cell>
          <cell r="C4469" t="str">
            <v>【ファウンデーションケア】</v>
          </cell>
        </row>
        <row r="4470">
          <cell r="A4470" t="str">
            <v>U4EQ1PE</v>
          </cell>
          <cell r="B4470" t="str">
            <v>PW FC9x5 1年10500 20G U Wire-WLAN Mod</v>
          </cell>
          <cell r="C4470" t="str">
            <v>【ファウンデーションケア】</v>
          </cell>
        </row>
        <row r="4471">
          <cell r="A4471" t="str">
            <v>U4ES0PE</v>
          </cell>
          <cell r="B4471" t="str">
            <v>更新用 FC 9x5 1年 425 Wireless AP用</v>
          </cell>
          <cell r="C4471" t="str">
            <v>【ファウンデーションケア】</v>
          </cell>
        </row>
        <row r="4472">
          <cell r="A4472" t="str">
            <v>U4ES2PE</v>
          </cell>
          <cell r="B4472" t="str">
            <v>更新用 FC 9x5 1年 MSM422 AP用</v>
          </cell>
          <cell r="C4472" t="str">
            <v>【ファウンデーションケア】</v>
          </cell>
        </row>
        <row r="4473">
          <cell r="A4473" t="str">
            <v>U4EU0PE</v>
          </cell>
          <cell r="B4473" t="str">
            <v>更新用 FC 9x5 1年 830-8P UW-WLAN Ctrl</v>
          </cell>
          <cell r="C4473" t="str">
            <v>【ファウンデーションケア】</v>
          </cell>
        </row>
        <row r="4474">
          <cell r="A4474" t="str">
            <v>U4EU4PE</v>
          </cell>
          <cell r="B4474" t="str">
            <v>更新用 FC 9x5 1年 830-24P UW-WLAN Ctrl</v>
          </cell>
          <cell r="C4474" t="str">
            <v>【ファウンデーションケア】</v>
          </cell>
        </row>
        <row r="4475">
          <cell r="A4475" t="str">
            <v>U4EW4PE</v>
          </cell>
          <cell r="B4475" t="str">
            <v>更新用 FC 9x5 1年 MSM775 Contr Module</v>
          </cell>
          <cell r="C4475" t="str">
            <v>【ファウンデーションケア】</v>
          </cell>
        </row>
        <row r="4476">
          <cell r="A4476" t="str">
            <v>U4TR7E</v>
          </cell>
          <cell r="B4476" t="str">
            <v>FC 24x7 1年 850 U Wire-WLAN Ctrl用</v>
          </cell>
          <cell r="C4476" t="str">
            <v>【ファウンデーションケア】</v>
          </cell>
        </row>
        <row r="4477">
          <cell r="A4477" t="str">
            <v>U4TS5E</v>
          </cell>
          <cell r="B4477" t="str">
            <v>FC 9x5 3年 850 U Wire-WLAN Ctrl用</v>
          </cell>
          <cell r="C4477" t="str">
            <v>【ファウンデーションケア】</v>
          </cell>
        </row>
        <row r="4478">
          <cell r="A4478" t="str">
            <v>U4TS8E</v>
          </cell>
          <cell r="B4478" t="str">
            <v>FC 24x7 3年 850 U Wire-WLAN Ctrl用</v>
          </cell>
          <cell r="C4478" t="str">
            <v>【ファウンデーションケア】</v>
          </cell>
        </row>
        <row r="4479">
          <cell r="A4479" t="str">
            <v>U4TU0E</v>
          </cell>
          <cell r="B4479" t="str">
            <v>FC 9x5 4年 850 U Wire-WLAN Ctrl用</v>
          </cell>
          <cell r="C4479" t="str">
            <v>【ファウンデーションケア】</v>
          </cell>
        </row>
        <row r="4480">
          <cell r="A4480" t="str">
            <v>U4TU3E</v>
          </cell>
          <cell r="B4480" t="str">
            <v>FC 24x7 4年 850 U Wire-WLAN Ctrl用</v>
          </cell>
          <cell r="C4480" t="str">
            <v>【ファウンデーションケア】</v>
          </cell>
        </row>
        <row r="4481">
          <cell r="A4481" t="str">
            <v>U4TV5E</v>
          </cell>
          <cell r="B4481" t="str">
            <v>FC 9x5 5年 850 U Wire-WLAN Ctrl用</v>
          </cell>
          <cell r="C4481" t="str">
            <v>【ファウンデーションケア】</v>
          </cell>
        </row>
        <row r="4482">
          <cell r="A4482" t="str">
            <v>U4TV8E</v>
          </cell>
          <cell r="B4482" t="str">
            <v>FC 24x7 5年 850 U Wire-WLAN Ctrl用</v>
          </cell>
          <cell r="C4482" t="str">
            <v>【ファウンデーションケア】</v>
          </cell>
        </row>
        <row r="4483">
          <cell r="A4483" t="str">
            <v>U4TX0PE</v>
          </cell>
          <cell r="B4483" t="str">
            <v>更新用 FC 9x5 1年 850 U Wire-WLAN Ctrl</v>
          </cell>
          <cell r="C4483" t="str">
            <v>【ファウンデーションケア】</v>
          </cell>
        </row>
        <row r="4484">
          <cell r="A4484" t="str">
            <v>U4TX3PE</v>
          </cell>
          <cell r="B4484" t="str">
            <v>更新用 FC 24x7 1年850 U Wire-WLAN Ctrl</v>
          </cell>
          <cell r="C4484" t="str">
            <v>【ファウンデーションケア】</v>
          </cell>
        </row>
        <row r="4485">
          <cell r="A4485" t="str">
            <v>U4TY5E</v>
          </cell>
          <cell r="B4485" t="str">
            <v>FC 24x7 1年 517 Unified Walljack用</v>
          </cell>
          <cell r="C4485" t="str">
            <v>【ファウンデーションケア】</v>
          </cell>
        </row>
        <row r="4486">
          <cell r="A4486" t="str">
            <v>U4TZ3E</v>
          </cell>
          <cell r="B4486" t="str">
            <v>FC 9x5 3年 517 Unified Walljack用</v>
          </cell>
          <cell r="C4486" t="str">
            <v>【ファウンデーションケア】</v>
          </cell>
        </row>
        <row r="4487">
          <cell r="A4487" t="str">
            <v>U4TZ6E</v>
          </cell>
          <cell r="B4487" t="str">
            <v>FC 24x7 3年 517 Unified Walljack用</v>
          </cell>
          <cell r="C4487" t="str">
            <v>【ファウンデーションケア】</v>
          </cell>
        </row>
        <row r="4488">
          <cell r="A4488" t="str">
            <v>U4UA8E</v>
          </cell>
          <cell r="B4488" t="str">
            <v>FC 9x5 4年 517 Unified Walljack用</v>
          </cell>
          <cell r="C4488" t="str">
            <v>【ファウンデーションケア】</v>
          </cell>
        </row>
        <row r="4489">
          <cell r="A4489" t="str">
            <v>U4UB1E</v>
          </cell>
          <cell r="B4489" t="str">
            <v>FC 24x7 4年 517 Unified Walljack用</v>
          </cell>
          <cell r="C4489" t="str">
            <v>【ファウンデーションケア】</v>
          </cell>
        </row>
        <row r="4490">
          <cell r="A4490" t="str">
            <v>U4UC3E</v>
          </cell>
          <cell r="B4490" t="str">
            <v>FC 9x5 5年 517 Unified Walljack用</v>
          </cell>
          <cell r="C4490" t="str">
            <v>【ファウンデーションケア】</v>
          </cell>
        </row>
        <row r="4491">
          <cell r="A4491" t="str">
            <v>U4UC6E</v>
          </cell>
          <cell r="B4491" t="str">
            <v>FC 24x7 5年 517 Unified Walljack用</v>
          </cell>
          <cell r="C4491" t="str">
            <v>【ファウンデーションケア】</v>
          </cell>
        </row>
        <row r="4492">
          <cell r="A4492" t="str">
            <v>U4UD8PE</v>
          </cell>
          <cell r="B4492" t="str">
            <v>更新用 FC 9x5 1年 517 Unified Walljack</v>
          </cell>
          <cell r="C4492" t="str">
            <v>【ファウンデーションケア】</v>
          </cell>
        </row>
        <row r="4493">
          <cell r="A4493" t="str">
            <v>U4UE0PE</v>
          </cell>
          <cell r="B4493" t="str">
            <v>更新用FC 24x7 1年 517 Unified Walljack</v>
          </cell>
          <cell r="C4493" t="str">
            <v>【ファウンデーションケア】</v>
          </cell>
        </row>
        <row r="4494">
          <cell r="A4494" t="str">
            <v>U7RA9E</v>
          </cell>
          <cell r="B4494" t="str">
            <v>FC 9x5 3年 MSM760 Access Contr用</v>
          </cell>
          <cell r="C4494" t="str">
            <v>【ファウンデーションケア】</v>
          </cell>
        </row>
        <row r="4495">
          <cell r="A4495" t="str">
            <v>U7RB0E</v>
          </cell>
          <cell r="B4495" t="str">
            <v>FC 9x5 4年 MSM760 Access Contr用</v>
          </cell>
          <cell r="C4495" t="str">
            <v>【ファウンデーションケア】</v>
          </cell>
        </row>
        <row r="4496">
          <cell r="A4496" t="str">
            <v>U7RB1E</v>
          </cell>
          <cell r="B4496" t="str">
            <v>FC 24x7 4年 MSM760 Access Contr用</v>
          </cell>
          <cell r="C4496" t="str">
            <v>【ファウンデーションケア】</v>
          </cell>
        </row>
        <row r="4497">
          <cell r="A4497" t="str">
            <v>U7RB3E</v>
          </cell>
          <cell r="B4497" t="str">
            <v>FC 9x5 5年 MSM760 Access Contr用</v>
          </cell>
          <cell r="C4497" t="str">
            <v>【ファウンデーションケア】</v>
          </cell>
        </row>
        <row r="4498">
          <cell r="A4498" t="str">
            <v>U7RB4E</v>
          </cell>
          <cell r="B4498" t="str">
            <v>FC 24x7 5年 MSM760 Access Contr用</v>
          </cell>
          <cell r="C4498" t="str">
            <v>【ファウンデーションケア】</v>
          </cell>
        </row>
        <row r="4499">
          <cell r="A4499" t="str">
            <v>U7RB6PE</v>
          </cell>
          <cell r="B4499" t="str">
            <v>PW FC 9x5 1年 MSM760 Access Contr</v>
          </cell>
          <cell r="C4499" t="str">
            <v>【ファウンデーションケア】</v>
          </cell>
        </row>
        <row r="4500">
          <cell r="A4500" t="str">
            <v>U7RB7E</v>
          </cell>
          <cell r="B4500" t="str">
            <v>FC 9x5 3年 MSM760 Mobility Contr用</v>
          </cell>
          <cell r="C4500" t="str">
            <v>【ファウンデーションケア】</v>
          </cell>
        </row>
        <row r="4501">
          <cell r="A4501" t="str">
            <v>U7RB8E</v>
          </cell>
          <cell r="B4501" t="str">
            <v>FC 9x5 4年 MSM760 Mobility Contr用</v>
          </cell>
          <cell r="C4501" t="str">
            <v>【ファウンデーションケア】</v>
          </cell>
        </row>
        <row r="4502">
          <cell r="A4502" t="str">
            <v>U7RB9E</v>
          </cell>
          <cell r="B4502" t="str">
            <v>FC 9x5 5年 MSM760 Mobility Contr用</v>
          </cell>
          <cell r="C4502" t="str">
            <v>【ファウンデーションケア】</v>
          </cell>
        </row>
        <row r="4503">
          <cell r="A4503" t="str">
            <v>U7RC0PE</v>
          </cell>
          <cell r="B4503" t="str">
            <v>PW FC 9x5 1年 MSM760 MbltyCtlr</v>
          </cell>
          <cell r="C4503" t="str">
            <v>【ファウンデーションケア】</v>
          </cell>
        </row>
        <row r="4504">
          <cell r="A4504" t="str">
            <v>U7RD3PE</v>
          </cell>
          <cell r="B4504" t="str">
            <v>更新用 FC 9x5 1年  870 U Wire-WLAN Ctrl</v>
          </cell>
          <cell r="C4504" t="str">
            <v>【ファウンデーションケア】</v>
          </cell>
        </row>
        <row r="4505">
          <cell r="A4505" t="str">
            <v>U7RD6PE</v>
          </cell>
          <cell r="B4505" t="str">
            <v>更新用 FC 9x5 1年 560 Wireless AP用</v>
          </cell>
          <cell r="C4505" t="str">
            <v>【ファウンデーションケア】</v>
          </cell>
        </row>
        <row r="4506">
          <cell r="A4506" t="str">
            <v>U7RD7PE</v>
          </cell>
          <cell r="B4506" t="str">
            <v>更新用 FC 9x5 1年 525 Wireless AP用</v>
          </cell>
          <cell r="C4506" t="str">
            <v>【ファウンデーションケア】</v>
          </cell>
        </row>
        <row r="4507">
          <cell r="A4507" t="str">
            <v>U7VH0E</v>
          </cell>
          <cell r="B4507" t="str">
            <v>FC 24x7 1年 525 Wireless AP用</v>
          </cell>
          <cell r="C4507" t="str">
            <v>【ファウンデーションケア】</v>
          </cell>
        </row>
        <row r="4508">
          <cell r="A4508" t="str">
            <v>U7VH5E</v>
          </cell>
          <cell r="B4508" t="str">
            <v>FC 9x5 3年 525 Wireless AP用</v>
          </cell>
          <cell r="C4508" t="str">
            <v>【ファウンデーションケア】</v>
          </cell>
        </row>
        <row r="4509">
          <cell r="A4509" t="str">
            <v>U7VH7E</v>
          </cell>
          <cell r="B4509" t="str">
            <v>FC 24x7 5年 525 Wireless AP用</v>
          </cell>
          <cell r="C4509" t="str">
            <v>【ファウンデーションケア】</v>
          </cell>
        </row>
        <row r="4510">
          <cell r="A4510" t="str">
            <v>U7VJ8PE</v>
          </cell>
          <cell r="B4510" t="str">
            <v>更新用 FC 24x7 1年 525 Wireless AP用</v>
          </cell>
          <cell r="C4510" t="str">
            <v>【ファウンデーションケア】</v>
          </cell>
        </row>
        <row r="4511">
          <cell r="A4511" t="str">
            <v>U7VL3E</v>
          </cell>
          <cell r="B4511" t="str">
            <v>FC 24x7 3年 525 Wireless AP用</v>
          </cell>
          <cell r="C4511" t="str">
            <v>【ファウンデーションケア】</v>
          </cell>
        </row>
        <row r="4512">
          <cell r="A4512" t="str">
            <v>U7VM2E</v>
          </cell>
          <cell r="B4512" t="str">
            <v>FC 9x5 4年 525 Wireless AP用</v>
          </cell>
          <cell r="C4512" t="str">
            <v>【ファウンデーションケア】</v>
          </cell>
        </row>
        <row r="4513">
          <cell r="A4513" t="str">
            <v>U7VM5E</v>
          </cell>
          <cell r="B4513" t="str">
            <v>FC 24x7 4年 525 Wireless AP用</v>
          </cell>
          <cell r="C4513" t="str">
            <v>【ファウンデーションケア】</v>
          </cell>
        </row>
        <row r="4514">
          <cell r="A4514" t="str">
            <v>U7VN4E</v>
          </cell>
          <cell r="B4514" t="str">
            <v>FC 9x5 5年 525 Wireless AP用</v>
          </cell>
          <cell r="C4514" t="str">
            <v>【ファウンデーションケア】</v>
          </cell>
        </row>
        <row r="4515">
          <cell r="A4515" t="str">
            <v>H0UR3E</v>
          </cell>
          <cell r="B4515" t="str">
            <v>FC 9x5 3年 SY660 Gen9用</v>
          </cell>
          <cell r="C4515" t="str">
            <v>【ファウンデーションケア】</v>
          </cell>
        </row>
        <row r="4516">
          <cell r="A4516" t="str">
            <v>H0UR4E</v>
          </cell>
          <cell r="B4516" t="str">
            <v>FC 9x5 HD返却不要 3年 SY660 Gen9用</v>
          </cell>
          <cell r="C4516" t="str">
            <v>【ファウンデーションケア】</v>
          </cell>
        </row>
        <row r="4517">
          <cell r="A4517" t="str">
            <v>H0UR5E</v>
          </cell>
          <cell r="B4517" t="str">
            <v>FC 9x5 4年 SY660 Gen9用</v>
          </cell>
          <cell r="C4517" t="str">
            <v>【ファウンデーションケア】</v>
          </cell>
        </row>
        <row r="4518">
          <cell r="A4518" t="str">
            <v>H0UR6E</v>
          </cell>
          <cell r="B4518" t="str">
            <v>FC 9x5 HD返却不要 4年 SY660 Gen9用</v>
          </cell>
          <cell r="C4518" t="str">
            <v>【ファウンデーションケア】</v>
          </cell>
        </row>
        <row r="4519">
          <cell r="A4519" t="str">
            <v>H0UR7E</v>
          </cell>
          <cell r="B4519" t="str">
            <v>FC 9x5 5年 SY660 Gen9用</v>
          </cell>
          <cell r="C4519" t="str">
            <v>【ファウンデーションケア】</v>
          </cell>
        </row>
        <row r="4520">
          <cell r="A4520" t="str">
            <v>H0UR8E</v>
          </cell>
          <cell r="B4520" t="str">
            <v>FC 9x5 HD返却不要 5年 SY660 Gen9用</v>
          </cell>
          <cell r="C4520" t="str">
            <v>【ファウンデーションケア】</v>
          </cell>
        </row>
        <row r="4521">
          <cell r="A4521" t="str">
            <v>H0US8E</v>
          </cell>
          <cell r="B4521" t="str">
            <v>FC 24x7 3年 SY480 Gen9用</v>
          </cell>
          <cell r="C4521" t="str">
            <v>【ファウンデーションケア】</v>
          </cell>
        </row>
        <row r="4522">
          <cell r="A4522" t="str">
            <v>H0US9E</v>
          </cell>
          <cell r="B4522" t="str">
            <v>FC 24x7 HD返却不要 3年 SY480 Gen9用</v>
          </cell>
          <cell r="C4522" t="str">
            <v>【ファウンデーションケア】</v>
          </cell>
        </row>
        <row r="4523">
          <cell r="A4523" t="str">
            <v>H0UT1E</v>
          </cell>
          <cell r="B4523" t="str">
            <v>PC 24x7 3年 SY480 Gen9用</v>
          </cell>
          <cell r="C4523" t="str">
            <v>【HPEプロアクティブケア】メーカー推奨／低価格で国内専用窓口の高品質な保守により、システム運用における安心を提供します。</v>
          </cell>
        </row>
        <row r="4524">
          <cell r="A4524" t="str">
            <v>H0UT2E</v>
          </cell>
          <cell r="B4524" t="str">
            <v>PC HD返却不要 24x7 3年 SY480 Gen9用</v>
          </cell>
          <cell r="C4524" t="str">
            <v>【HPEプロアクティブケア】メーカー推奨／低価格で国内専用窓口の高品質な保守により、システム運用における安心を提供します。</v>
          </cell>
        </row>
        <row r="4525">
          <cell r="A4525" t="str">
            <v>H0UV5E</v>
          </cell>
          <cell r="B4525" t="str">
            <v>FC 24x7 4年 SY480 Gen9用</v>
          </cell>
          <cell r="C4525" t="str">
            <v>【ファウンデーションケア】</v>
          </cell>
        </row>
        <row r="4526">
          <cell r="A4526" t="str">
            <v>H0UV6E</v>
          </cell>
          <cell r="B4526" t="str">
            <v>FC 24x7 HD返却不要 4年 SY480 Gen9用</v>
          </cell>
          <cell r="C4526" t="str">
            <v>【ファウンデーションケア】</v>
          </cell>
        </row>
        <row r="4527">
          <cell r="A4527" t="str">
            <v>H0UV8E</v>
          </cell>
          <cell r="B4527" t="str">
            <v>PC 24x7 4年 SY480 Gen9用</v>
          </cell>
          <cell r="C4527" t="str">
            <v>【HPEプロアクティブケア】メーカー推奨／低価格で国内専用窓口の高品質な保守により、システム運用における安心を提供します。</v>
          </cell>
        </row>
        <row r="4528">
          <cell r="A4528" t="str">
            <v>H0UV9E</v>
          </cell>
          <cell r="B4528" t="str">
            <v>PC HD返却不要 24x7 4年 SY480 Gen9用</v>
          </cell>
          <cell r="C4528" t="str">
            <v>【HPEプロアクティブケア】メーカー推奨／低価格で国内専用窓口の高品質な保守により、システム運用における安心を提供します。</v>
          </cell>
        </row>
        <row r="4529">
          <cell r="A4529" t="str">
            <v>H0UY2E</v>
          </cell>
          <cell r="B4529" t="str">
            <v>FC 24x7 5年 SY480 Gen9用</v>
          </cell>
          <cell r="C4529" t="str">
            <v>【ファウンデーションケア】</v>
          </cell>
        </row>
        <row r="4530">
          <cell r="A4530" t="str">
            <v>H0UY3E</v>
          </cell>
          <cell r="B4530" t="str">
            <v>FC 24x7 HD返却不要 5年 SY480 Gen9用</v>
          </cell>
          <cell r="C4530" t="str">
            <v>【ファウンデーションケア】</v>
          </cell>
        </row>
        <row r="4531">
          <cell r="A4531" t="str">
            <v>H0UY5E</v>
          </cell>
          <cell r="B4531" t="str">
            <v>PC 24x7 5年 SY480 Gen9用</v>
          </cell>
          <cell r="C4531" t="str">
            <v>【HPEプロアクティブケア】メーカー推奨／低価格で国内専用窓口の高品質な保守により、システム運用における安心を提供します。</v>
          </cell>
        </row>
        <row r="4532">
          <cell r="A4532" t="str">
            <v>H0UY6E</v>
          </cell>
          <cell r="B4532" t="str">
            <v>PC HD返却不要 24x7 5年 SY480 Gen9用</v>
          </cell>
          <cell r="C4532" t="str">
            <v>【HPEプロアクティブケア】メーカー推奨／低価格で国内専用窓口の高品質な保守により、システム運用における安心を提供します。</v>
          </cell>
        </row>
        <row r="4533">
          <cell r="A4533" t="str">
            <v>H0VA0E</v>
          </cell>
          <cell r="B4533" t="str">
            <v>FC 9x5 3年 SY480 Gen9用</v>
          </cell>
          <cell r="C4533" t="str">
            <v>【ファウンデーションケア】</v>
          </cell>
        </row>
        <row r="4534">
          <cell r="A4534" t="str">
            <v>H0VA1E</v>
          </cell>
          <cell r="B4534" t="str">
            <v>FC 9x5 HD返却不要 3年 SY480 Gen9用</v>
          </cell>
          <cell r="C4534" t="str">
            <v>【ファウンデーションケア】</v>
          </cell>
        </row>
        <row r="4535">
          <cell r="A4535" t="str">
            <v>H0VA2E</v>
          </cell>
          <cell r="B4535" t="str">
            <v>FC 9x5 4年 SY480 Gen9用</v>
          </cell>
          <cell r="C4535" t="str">
            <v>【ファウンデーションケア】</v>
          </cell>
        </row>
        <row r="4536">
          <cell r="A4536" t="str">
            <v>H0VA3E</v>
          </cell>
          <cell r="B4536" t="str">
            <v>FC 9x5 HD返却不要 4年 SY480 Gen9用</v>
          </cell>
          <cell r="C4536" t="str">
            <v>【ファウンデーションケア】</v>
          </cell>
        </row>
        <row r="4537">
          <cell r="A4537" t="str">
            <v>H0VA4E</v>
          </cell>
          <cell r="B4537" t="str">
            <v>FC 9x5 5年 SY480 Gen9用</v>
          </cell>
          <cell r="C4537" t="str">
            <v>【ファウンデーションケア】</v>
          </cell>
        </row>
        <row r="4538">
          <cell r="A4538" t="str">
            <v>H0VA5E</v>
          </cell>
          <cell r="B4538" t="str">
            <v>FC 9x5 HD返却不要 5年 SY480 Gen9用</v>
          </cell>
          <cell r="C4538" t="str">
            <v>【ファウンデーションケア】</v>
          </cell>
        </row>
        <row r="4539">
          <cell r="A4539" t="str">
            <v>H0VL2E</v>
          </cell>
          <cell r="B4539" t="str">
            <v>FC 24x7 3年Synergy 12000 フレーム用</v>
          </cell>
          <cell r="C4539" t="str">
            <v>【ファウンデーションケア】</v>
          </cell>
        </row>
        <row r="4540">
          <cell r="A4540" t="str">
            <v>H0VL5E</v>
          </cell>
          <cell r="B4540" t="str">
            <v>PC 24x7 3年Synergy 12000 フレーム用</v>
          </cell>
          <cell r="C4540" t="str">
            <v>【HPEプロアクティブケア】メーカー推奨／低価格で国内専用窓口の高品質な保守により、システム運用における安心を提供します。</v>
          </cell>
        </row>
        <row r="4541">
          <cell r="A4541" t="str">
            <v>H0VN9E</v>
          </cell>
          <cell r="B4541" t="str">
            <v>FC 24x7 4年Synergy 12000 フレーム用</v>
          </cell>
          <cell r="C4541" t="str">
            <v>【ファウンデーションケア】</v>
          </cell>
        </row>
        <row r="4542">
          <cell r="A4542" t="str">
            <v>H0VP2E</v>
          </cell>
          <cell r="B4542" t="str">
            <v>PC 24x7 4年Synergy 12000 フレーム用</v>
          </cell>
          <cell r="C4542" t="str">
            <v>【HPEプロアクティブケア】メーカー推奨／低価格で国内専用窓口の高品質な保守により、システム運用における安心を提供します。</v>
          </cell>
        </row>
        <row r="4543">
          <cell r="A4543" t="str">
            <v>H0VR6E</v>
          </cell>
          <cell r="B4543" t="str">
            <v>FC 24x7 5年Synergy 12000 フレーム用</v>
          </cell>
          <cell r="C4543" t="str">
            <v>【ファウンデーションケア】</v>
          </cell>
        </row>
        <row r="4544">
          <cell r="A4544" t="str">
            <v>H0VR9E</v>
          </cell>
          <cell r="B4544" t="str">
            <v>PC 24x7 5年Synergy 12000 フレーム用</v>
          </cell>
          <cell r="C4544" t="str">
            <v>【HPEプロアクティブケア】メーカー推奨／低価格で国内専用窓口の高品質な保守により、システム運用における安心を提供します。</v>
          </cell>
        </row>
        <row r="4545">
          <cell r="A4545" t="str">
            <v>H0VT4E</v>
          </cell>
          <cell r="B4545" t="str">
            <v>FC 9x5 3年Synergy 12000 フレーム用</v>
          </cell>
          <cell r="C4545" t="str">
            <v>【ファウンデーションケア】</v>
          </cell>
        </row>
        <row r="4546">
          <cell r="A4546" t="str">
            <v>H0VT6E</v>
          </cell>
          <cell r="B4546" t="str">
            <v>FC 9x5 4年Synergy 12000 フレーム用</v>
          </cell>
          <cell r="C4546" t="str">
            <v>【ファウンデーションケア】</v>
          </cell>
        </row>
        <row r="4547">
          <cell r="A4547" t="str">
            <v>H0VT8E</v>
          </cell>
          <cell r="B4547" t="str">
            <v>FC 9x5 5年Synergy 12000 フレーム用</v>
          </cell>
          <cell r="C4547" t="str">
            <v>【ファウンデーションケア】</v>
          </cell>
        </row>
        <row r="4548">
          <cell r="A4548" t="str">
            <v>H0VU9E</v>
          </cell>
          <cell r="B4548" t="str">
            <v>FC 24x7 3年Synergyコンポーザー</v>
          </cell>
          <cell r="C4548" t="str">
            <v>【ファウンデーションケア】</v>
          </cell>
        </row>
        <row r="4549">
          <cell r="A4549" t="str">
            <v>H0VV0E</v>
          </cell>
          <cell r="B4549" t="str">
            <v>FC 24x7 HD返却不要3年Synergyコンポーザー</v>
          </cell>
          <cell r="C4549" t="str">
            <v>【ファウンデーションケア】</v>
          </cell>
        </row>
        <row r="4550">
          <cell r="A4550" t="str">
            <v>H0VV2E</v>
          </cell>
          <cell r="B4550" t="str">
            <v>PC 24x7 3年Synergyコンポーザー</v>
          </cell>
          <cell r="C4550" t="str">
            <v>【HPEプロアクティブケア】メーカー推奨／低価格で国内専用窓口の高品質な保守により、システム運用における安心を提供します。</v>
          </cell>
        </row>
        <row r="4551">
          <cell r="A4551" t="str">
            <v>H0VV3E</v>
          </cell>
          <cell r="B4551" t="str">
            <v>PC HD返却不要24x7 3年Synergyコンポーザー</v>
          </cell>
          <cell r="C4551" t="str">
            <v>【HPEプロアクティブケア】メーカー推奨／低価格で国内専用窓口の高品質な保守により、システム運用における安心を提供します。</v>
          </cell>
        </row>
        <row r="4552">
          <cell r="A4552" t="str">
            <v>H0VX6E</v>
          </cell>
          <cell r="B4552" t="str">
            <v>FC 24x7 4年Synergyコンポーザー</v>
          </cell>
          <cell r="C4552" t="str">
            <v>【ファウンデーションケア】</v>
          </cell>
        </row>
        <row r="4553">
          <cell r="A4553" t="str">
            <v>H0VX7E</v>
          </cell>
          <cell r="B4553" t="str">
            <v>FC 24x7 HD返却不要4年Synergyコンポーザー</v>
          </cell>
          <cell r="C4553" t="str">
            <v>【ファウンデーションケア】</v>
          </cell>
        </row>
        <row r="4554">
          <cell r="A4554" t="str">
            <v>H0VX9E</v>
          </cell>
          <cell r="B4554" t="str">
            <v>PC 24x7 4年Synergyコンポーザー</v>
          </cell>
          <cell r="C4554" t="str">
            <v>【HPEプロアクティブケア】メーカー推奨／低価格で国内専用窓口の高品質な保守により、システム運用における安心を提供します。</v>
          </cell>
        </row>
        <row r="4555">
          <cell r="A4555" t="str">
            <v>H0VY0E</v>
          </cell>
          <cell r="B4555" t="str">
            <v>PC HD返却不要24x7 4年Synergyコンポーザー</v>
          </cell>
          <cell r="C4555" t="str">
            <v>【HPEプロアクティブケア】メーカー推奨／低価格で国内専用窓口の高品質な保守により、システム運用における安心を提供します。</v>
          </cell>
        </row>
        <row r="4556">
          <cell r="A4556" t="str">
            <v>H0WA3E</v>
          </cell>
          <cell r="B4556" t="str">
            <v>FC 24x7 5年Synergyコンポーザー</v>
          </cell>
          <cell r="C4556" t="str">
            <v>【ファウンデーションケア】</v>
          </cell>
        </row>
        <row r="4557">
          <cell r="A4557" t="str">
            <v>H0WA4E</v>
          </cell>
          <cell r="B4557" t="str">
            <v>FC 24x7 HD返却不要5年Synergyコンポーザー</v>
          </cell>
          <cell r="C4557" t="str">
            <v>【ファウンデーションケア】</v>
          </cell>
        </row>
        <row r="4558">
          <cell r="A4558" t="str">
            <v>H0WA6E</v>
          </cell>
          <cell r="B4558" t="str">
            <v>PC 24x7 5年Synergyコンポーザー</v>
          </cell>
          <cell r="C4558" t="str">
            <v>【HPEプロアクティブケア】メーカー推奨／低価格で国内専用窓口の高品質な保守により、システム運用における安心を提供します。</v>
          </cell>
        </row>
        <row r="4559">
          <cell r="A4559" t="str">
            <v>H0WA7E</v>
          </cell>
          <cell r="B4559" t="str">
            <v>PC HD返却不要24x7 5年Synergyコンポーザー</v>
          </cell>
          <cell r="C4559" t="str">
            <v>【HPEプロアクティブケア】メーカー推奨／低価格で国内専用窓口の高品質な保守により、システム運用における安心を提供します。</v>
          </cell>
        </row>
        <row r="4560">
          <cell r="A4560" t="str">
            <v>H0WC1E</v>
          </cell>
          <cell r="B4560" t="str">
            <v>FC 9x5 3年Synergyコンポーザー</v>
          </cell>
          <cell r="C4560" t="str">
            <v>【ファウンデーションケア】</v>
          </cell>
        </row>
        <row r="4561">
          <cell r="A4561" t="str">
            <v>H0WC2E</v>
          </cell>
          <cell r="B4561" t="str">
            <v>FC 9x5 HD返却不要3年Synergyコンポーザー</v>
          </cell>
          <cell r="C4561" t="str">
            <v>【ファウンデーションケア】</v>
          </cell>
        </row>
        <row r="4562">
          <cell r="A4562" t="str">
            <v>H0WC3E</v>
          </cell>
          <cell r="B4562" t="str">
            <v>FC 9x5 4年Synergyコンポーザー</v>
          </cell>
          <cell r="C4562" t="str">
            <v>【ファウンデーションケア】</v>
          </cell>
        </row>
        <row r="4563">
          <cell r="A4563" t="str">
            <v>H0WC4E</v>
          </cell>
          <cell r="B4563" t="str">
            <v>FC 9x5 HD返却不要4年Synergyコンポーザー</v>
          </cell>
          <cell r="C4563" t="str">
            <v>【ファウンデーションケア】</v>
          </cell>
        </row>
        <row r="4564">
          <cell r="A4564" t="str">
            <v>H0WC5E</v>
          </cell>
          <cell r="B4564" t="str">
            <v>FC 9x5 5年Synergyコンポーザー</v>
          </cell>
          <cell r="C4564" t="str">
            <v>【ファウンデーションケア】</v>
          </cell>
        </row>
        <row r="4565">
          <cell r="A4565" t="str">
            <v>H0WC6E</v>
          </cell>
          <cell r="B4565" t="str">
            <v>FC 9x5 HD返却不要5年Synergyコンポーザー</v>
          </cell>
          <cell r="C4565" t="str">
            <v>【ファウンデーションケア】</v>
          </cell>
        </row>
        <row r="4566">
          <cell r="A4566" t="str">
            <v>H0WD6E</v>
          </cell>
          <cell r="B4566" t="str">
            <v>FC 24x7 3年 Synergy IC Link Mod</v>
          </cell>
          <cell r="C4566" t="str">
            <v>【ファウンデーションケア】</v>
          </cell>
        </row>
        <row r="4567">
          <cell r="A4567" t="str">
            <v>H0WD9E</v>
          </cell>
          <cell r="B4567" t="str">
            <v>PC 24x7 3年 Synergy IC Link Mod</v>
          </cell>
          <cell r="C4567" t="str">
            <v>【HPEプロアクティブケア】メーカー推奨／低価格で国内専用窓口の高品質な保守により、システム運用における安心を提供します。</v>
          </cell>
        </row>
        <row r="4568">
          <cell r="A4568" t="str">
            <v>H0WG3E</v>
          </cell>
          <cell r="B4568" t="str">
            <v>FC 24x7 4年 Synergy IC Link Mod</v>
          </cell>
          <cell r="C4568" t="str">
            <v>【ファウンデーションケア】</v>
          </cell>
        </row>
        <row r="4569">
          <cell r="A4569" t="str">
            <v>H0WG6E</v>
          </cell>
          <cell r="B4569" t="str">
            <v>PC 24x7 4年 Synergy IC Link Mod</v>
          </cell>
          <cell r="C4569" t="str">
            <v>【HPEプロアクティブケア】メーカー推奨／低価格で国内専用窓口の高品質な保守により、システム運用における安心を提供します。</v>
          </cell>
        </row>
        <row r="4570">
          <cell r="A4570" t="str">
            <v>H0WK0E</v>
          </cell>
          <cell r="B4570" t="str">
            <v>FC 24x7 5年 Synergy IC Link Mod</v>
          </cell>
          <cell r="C4570" t="str">
            <v>【ファウンデーションケア】</v>
          </cell>
        </row>
        <row r="4571">
          <cell r="A4571" t="str">
            <v>H0WK3E</v>
          </cell>
          <cell r="B4571" t="str">
            <v>PC 24x7 5年 Synergy IC Link Mod</v>
          </cell>
          <cell r="C4571" t="str">
            <v>【HPEプロアクティブケア】メーカー推奨／低価格で国内専用窓口の高品質な保守により、システム運用における安心を提供します。</v>
          </cell>
        </row>
        <row r="4572">
          <cell r="A4572" t="str">
            <v>H0WL8E</v>
          </cell>
          <cell r="B4572" t="str">
            <v>FC 9x5 3年 Synergy IC Link Mod</v>
          </cell>
          <cell r="C4572" t="str">
            <v>【ファウンデーションケア】</v>
          </cell>
        </row>
        <row r="4573">
          <cell r="A4573" t="str">
            <v>H0WM0E</v>
          </cell>
          <cell r="B4573" t="str">
            <v>FC 9x5 4年 Synergy IC Link Mod</v>
          </cell>
          <cell r="C4573" t="str">
            <v>【ファウンデーションケア】</v>
          </cell>
        </row>
        <row r="4574">
          <cell r="A4574" t="str">
            <v>H0WM2E</v>
          </cell>
          <cell r="B4574" t="str">
            <v>FC 9x5 5年 Synergy IC Link Mod</v>
          </cell>
          <cell r="C4574" t="str">
            <v>【ファウンデーションケア】</v>
          </cell>
        </row>
        <row r="4575">
          <cell r="A4575" t="str">
            <v>H0WN3E</v>
          </cell>
          <cell r="B4575" t="str">
            <v>FC 24x7 3年 SY D3940 Strg Mod</v>
          </cell>
          <cell r="C4575" t="str">
            <v>【ファウンデーションケア】</v>
          </cell>
        </row>
        <row r="4576">
          <cell r="A4576" t="str">
            <v>H0WN4E</v>
          </cell>
          <cell r="B4576" t="str">
            <v>FC 24x7 HD返却不要 3年 SY D3940 Strg Mod</v>
          </cell>
          <cell r="C4576" t="str">
            <v>【ファウンデーションケア】</v>
          </cell>
        </row>
        <row r="4577">
          <cell r="A4577" t="str">
            <v>H0WN6E</v>
          </cell>
          <cell r="B4577" t="str">
            <v>PC 24x7 3年 SY D3940 Strg Mod</v>
          </cell>
          <cell r="C4577" t="str">
            <v>【HPEプロアクティブケア】メーカー推奨／低価格で国内専用窓口の高品質な保守により、システム運用における安心を提供します。</v>
          </cell>
        </row>
        <row r="4578">
          <cell r="A4578" t="str">
            <v>H0WN7E</v>
          </cell>
          <cell r="B4578" t="str">
            <v>PC HD返却不要 24x7 3年 SY D3940 Strg Mod</v>
          </cell>
          <cell r="C4578" t="str">
            <v>【HPEプロアクティブケア】メーカー推奨／低価格で国内専用窓口の高品質な保守により、システム運用における安心を提供します。</v>
          </cell>
        </row>
        <row r="4579">
          <cell r="A4579" t="str">
            <v>H0WR0E</v>
          </cell>
          <cell r="B4579" t="str">
            <v>FC 24x7 4年 SY D3940 Strg Mod</v>
          </cell>
          <cell r="C4579" t="str">
            <v>【ファウンデーションケア】</v>
          </cell>
        </row>
        <row r="4580">
          <cell r="A4580" t="str">
            <v>H0WR1E</v>
          </cell>
          <cell r="B4580" t="str">
            <v>FC 24x7 HD返却不要 4年 SY D3940 Strg Mod</v>
          </cell>
          <cell r="C4580" t="str">
            <v>【ファウンデーションケア】</v>
          </cell>
        </row>
        <row r="4581">
          <cell r="A4581" t="str">
            <v>H0WR3E</v>
          </cell>
          <cell r="B4581" t="str">
            <v>PC 24x7 4年 SY D3940 Strg Mod</v>
          </cell>
          <cell r="C4581" t="str">
            <v>【HPEプロアクティブケア】メーカー推奨／低価格で国内専用窓口の高品質な保守により、システム運用における安心を提供します。</v>
          </cell>
        </row>
        <row r="4582">
          <cell r="A4582" t="str">
            <v>H0WR4E</v>
          </cell>
          <cell r="B4582" t="str">
            <v>PC HD返却不要 24x7 4年 SY D3940 Strg Mod</v>
          </cell>
          <cell r="C4582" t="str">
            <v>【HPEプロアクティブケア】メーカー推奨／低価格で国内専用窓口の高品質な保守により、システム運用における安心を提供します。</v>
          </cell>
        </row>
        <row r="4583">
          <cell r="A4583" t="str">
            <v>H0WT7E</v>
          </cell>
          <cell r="B4583" t="str">
            <v>FC 24x7 5年 SY D3940 Strg Mod</v>
          </cell>
          <cell r="C4583" t="str">
            <v>【ファウンデーションケア】</v>
          </cell>
        </row>
        <row r="4584">
          <cell r="A4584" t="str">
            <v>H0WT8E</v>
          </cell>
          <cell r="B4584" t="str">
            <v>FC 24x7 HD返却不要 5年 SY D3940 Strg Mod</v>
          </cell>
          <cell r="C4584" t="str">
            <v>【ファウンデーションケア】</v>
          </cell>
        </row>
        <row r="4585">
          <cell r="A4585" t="str">
            <v>H0WU0E</v>
          </cell>
          <cell r="B4585" t="str">
            <v>PC 24x7 5年 SY D3940 Strg Mod</v>
          </cell>
          <cell r="C4585" t="str">
            <v>【HPEプロアクティブケア】メーカー推奨／低価格で国内専用窓口の高品質な保守により、システム運用における安心を提供します。</v>
          </cell>
        </row>
        <row r="4586">
          <cell r="A4586" t="str">
            <v>H0WU1E</v>
          </cell>
          <cell r="B4586" t="str">
            <v>PC HD返却不要 24x7 5年 SY D3940 Strg Mod</v>
          </cell>
          <cell r="C4586" t="str">
            <v>【HPEプロアクティブケア】メーカー推奨／低価格で国内専用窓口の高品質な保守により、システム運用における安心を提供します。</v>
          </cell>
        </row>
        <row r="4587">
          <cell r="A4587" t="str">
            <v>H0WV5E</v>
          </cell>
          <cell r="B4587" t="str">
            <v>FC 9x5 3年 SY D3940 Strg Mod</v>
          </cell>
          <cell r="C4587" t="str">
            <v>【ファウンデーションケア】</v>
          </cell>
        </row>
        <row r="4588">
          <cell r="A4588" t="str">
            <v>H0WV6E</v>
          </cell>
          <cell r="B4588" t="str">
            <v>FC 9x5 HD返却不要 3年 SY D3940 Strg Mod</v>
          </cell>
          <cell r="C4588" t="str">
            <v>【ファウンデーションケア】</v>
          </cell>
        </row>
        <row r="4589">
          <cell r="A4589" t="str">
            <v>H0WV7E</v>
          </cell>
          <cell r="B4589" t="str">
            <v>FC 9x5 4年 SY D3940 Strg Mod</v>
          </cell>
          <cell r="C4589" t="str">
            <v>【ファウンデーションケア】</v>
          </cell>
        </row>
        <row r="4590">
          <cell r="A4590" t="str">
            <v>H0WV8E</v>
          </cell>
          <cell r="B4590" t="str">
            <v>FC 9x5 HD返却不要 4年 SY D3940 Strg Mod</v>
          </cell>
          <cell r="C4590" t="str">
            <v>【ファウンデーションケア】</v>
          </cell>
        </row>
        <row r="4591">
          <cell r="A4591" t="str">
            <v>H0WV9E</v>
          </cell>
          <cell r="B4591" t="str">
            <v>FC 9x5 5年 SY D3940 Strg Mod</v>
          </cell>
          <cell r="C4591" t="str">
            <v>【ファウンデーションケア】</v>
          </cell>
        </row>
        <row r="4592">
          <cell r="A4592" t="str">
            <v>H0WW0E</v>
          </cell>
          <cell r="B4592" t="str">
            <v>FC 9x5 HD返却不要 5年 SY D3940 Strg Mod</v>
          </cell>
          <cell r="C4592" t="str">
            <v>【ファウンデーションケア】</v>
          </cell>
        </row>
        <row r="4593">
          <cell r="A4593" t="str">
            <v>H0WX0E</v>
          </cell>
          <cell r="B4593" t="str">
            <v>FC 24x7 3年Synergy 40Gb F8 Swtch Mod</v>
          </cell>
          <cell r="C4593" t="str">
            <v>【ファウンデーションケア】</v>
          </cell>
        </row>
        <row r="4594">
          <cell r="A4594" t="str">
            <v>H0WX3E</v>
          </cell>
          <cell r="B4594" t="str">
            <v>PC 24x7 3年Synergy 40Gb F8 Swtch Mod</v>
          </cell>
          <cell r="C4594" t="str">
            <v>【HPEプロアクティブケア】メーカー推奨／低価格で国内専用窓口の高品質な保守により、システム運用における安心を提供します。</v>
          </cell>
        </row>
        <row r="4595">
          <cell r="A4595" t="str">
            <v>H0WZ7E</v>
          </cell>
          <cell r="B4595" t="str">
            <v>FC 24x7 4年Synergy 40Gb F8 Swtch Mod</v>
          </cell>
          <cell r="C4595" t="str">
            <v>【ファウンデーションケア】</v>
          </cell>
        </row>
        <row r="4596">
          <cell r="A4596" t="str">
            <v>H0XA0E</v>
          </cell>
          <cell r="B4596" t="str">
            <v>PC 24x7 4年Synergy 40Gb F8 Swtch Mod</v>
          </cell>
          <cell r="C4596" t="str">
            <v>【HPEプロアクティブケア】メーカー推奨／低価格で国内専用窓口の高品質な保守により、システム運用における安心を提供します。</v>
          </cell>
        </row>
        <row r="4597">
          <cell r="A4597" t="str">
            <v>H0XC4E</v>
          </cell>
          <cell r="B4597" t="str">
            <v>FC 24x7 5年Synergy 40Gb F8 Swtch Mod</v>
          </cell>
          <cell r="C4597" t="str">
            <v>【ファウンデーションケア】</v>
          </cell>
        </row>
        <row r="4598">
          <cell r="A4598" t="str">
            <v>H0XC7E</v>
          </cell>
          <cell r="B4598" t="str">
            <v>PC 24x7 5年Synergy 40Gb F8 Swtch Mod</v>
          </cell>
          <cell r="C4598" t="str">
            <v>【HPEプロアクティブケア】メーカー推奨／低価格で国内専用窓口の高品質な保守により、システム運用における安心を提供します。</v>
          </cell>
        </row>
        <row r="4599">
          <cell r="A4599" t="str">
            <v>H0XE2E</v>
          </cell>
          <cell r="B4599" t="str">
            <v>FC 9x5 3年Synergy 40Gb F8 Swtch Mod</v>
          </cell>
          <cell r="C4599" t="str">
            <v>【ファウンデーションケア】</v>
          </cell>
        </row>
        <row r="4600">
          <cell r="A4600" t="str">
            <v>H0XE4E</v>
          </cell>
          <cell r="B4600" t="str">
            <v>FC 9x5 4年Synergy 40Gb F8 Swtch Mod</v>
          </cell>
          <cell r="C4600" t="str">
            <v>【ファウンデーションケア】</v>
          </cell>
        </row>
        <row r="4601">
          <cell r="A4601" t="str">
            <v>H0XE6E</v>
          </cell>
          <cell r="B4601" t="str">
            <v>FC 9x5 5年Synergy 40Gb F8 Swtch Mod</v>
          </cell>
          <cell r="C4601" t="str">
            <v>【ファウンデーションケア】</v>
          </cell>
        </row>
        <row r="4602">
          <cell r="A4602" t="str">
            <v>H0XF7E</v>
          </cell>
          <cell r="B4602" t="str">
            <v>FC 24x7 3年Synergy VC 40Gb F8 モジュール</v>
          </cell>
          <cell r="C4602" t="str">
            <v>【ファウンデーションケア】</v>
          </cell>
        </row>
        <row r="4603">
          <cell r="A4603" t="str">
            <v>H0XG0E</v>
          </cell>
          <cell r="B4603" t="str">
            <v>PC 24x7 3年Synergy VC 40Gb F8 モジュール</v>
          </cell>
          <cell r="C4603" t="str">
            <v>【HPEプロアクティブケア】メーカー推奨／低価格で国内専用窓口の高品質な保守により、システム運用における安心を提供します。</v>
          </cell>
        </row>
        <row r="4604">
          <cell r="A4604" t="str">
            <v>H0XJ4E</v>
          </cell>
          <cell r="B4604" t="str">
            <v>FC 24x7 4年Synergy VC 40Gb F8 モジュール</v>
          </cell>
          <cell r="C4604" t="str">
            <v>【ファウンデーションケア】</v>
          </cell>
        </row>
        <row r="4605">
          <cell r="A4605" t="str">
            <v>H0XJ7E</v>
          </cell>
          <cell r="B4605" t="str">
            <v>PC 24x7 4年Synergy VC 40Gb F8 モジュール</v>
          </cell>
          <cell r="C4605" t="str">
            <v>【HPEプロアクティブケア】メーカー推奨／低価格で国内専用窓口の高品質な保守により、システム運用における安心を提供します。</v>
          </cell>
        </row>
        <row r="4606">
          <cell r="A4606" t="str">
            <v>H0XM1E</v>
          </cell>
          <cell r="B4606" t="str">
            <v>FC 24x7 5年Synergy VC 40Gb F8 モジュール</v>
          </cell>
          <cell r="C4606" t="str">
            <v>【ファウンデーションケア】</v>
          </cell>
        </row>
        <row r="4607">
          <cell r="A4607" t="str">
            <v>H0XM4E</v>
          </cell>
          <cell r="B4607" t="str">
            <v>PC 24x7 5年Synergy VC 40Gb F8 モジュール</v>
          </cell>
          <cell r="C4607" t="str">
            <v>【HPEプロアクティブケア】メーカー推奨／低価格で国内専用窓口の高品質な保守により、システム運用における安心を提供します。</v>
          </cell>
        </row>
        <row r="4608">
          <cell r="A4608" t="str">
            <v>H0XN9E</v>
          </cell>
          <cell r="B4608" t="str">
            <v>FC 9x5 3年Synergy VC 40Gb F8 モジュール</v>
          </cell>
          <cell r="C4608" t="str">
            <v>【ファウンデーションケア】</v>
          </cell>
        </row>
        <row r="4609">
          <cell r="A4609" t="str">
            <v>H0XP1E</v>
          </cell>
          <cell r="B4609" t="str">
            <v>FC 9x5 4年Synergy VC 40Gb F8 モジュール</v>
          </cell>
          <cell r="C4609" t="str">
            <v>【ファウンデーションケア】</v>
          </cell>
        </row>
        <row r="4610">
          <cell r="A4610" t="str">
            <v>H0XP3E</v>
          </cell>
          <cell r="B4610" t="str">
            <v>FC 9x5 5年Synergy VC 40Gb F8 モジュール</v>
          </cell>
          <cell r="C4610" t="str">
            <v>【ファウンデーションケア】</v>
          </cell>
        </row>
        <row r="4611">
          <cell r="A4611" t="str">
            <v>H0XQ4E</v>
          </cell>
          <cell r="B4611" t="str">
            <v>FC 24x7 3年Synergy VC 16Gb FC モジュール</v>
          </cell>
          <cell r="C4611" t="str">
            <v>【ファウンデーションケア】</v>
          </cell>
        </row>
        <row r="4612">
          <cell r="A4612" t="str">
            <v>H0XQ7E</v>
          </cell>
          <cell r="B4612" t="str">
            <v>PC 24x7 3年Synergy VC 16Gb FC モジュール</v>
          </cell>
          <cell r="C4612" t="str">
            <v>【HPEプロアクティブケア】メーカー推奨／低価格で国内専用窓口の高品質な保守により、システム運用における安心を提供します。</v>
          </cell>
        </row>
        <row r="4613">
          <cell r="A4613" t="str">
            <v>H0XT1E</v>
          </cell>
          <cell r="B4613" t="str">
            <v>FC 24x7 4年Synergy VC 16Gb FC モジュール</v>
          </cell>
          <cell r="C4613" t="str">
            <v>【ファウンデーションケア】</v>
          </cell>
        </row>
        <row r="4614">
          <cell r="A4614" t="str">
            <v>H0XT4E</v>
          </cell>
          <cell r="B4614" t="str">
            <v>PC 24x7 4年Synergy VC 16Gb FC モジュール</v>
          </cell>
          <cell r="C4614" t="str">
            <v>【HPEプロアクティブケア】メーカー推奨／低価格で国内専用窓口の高品質な保守により、システム運用における安心を提供します。</v>
          </cell>
        </row>
        <row r="4615">
          <cell r="A4615" t="str">
            <v>H0XV8E</v>
          </cell>
          <cell r="B4615" t="str">
            <v>FC 24x7 5年Synergy VC 16Gb FC モジュール</v>
          </cell>
          <cell r="C4615" t="str">
            <v>【ファウンデーションケア】</v>
          </cell>
        </row>
        <row r="4616">
          <cell r="A4616" t="str">
            <v>H0XW1E</v>
          </cell>
          <cell r="B4616" t="str">
            <v>PC 24x7 5年Synergy VC 16Gb FC モジュール</v>
          </cell>
          <cell r="C4616" t="str">
            <v>【HPEプロアクティブケア】メーカー推奨／低価格で国内専用窓口の高品質な保守により、システム運用における安心を提供します。</v>
          </cell>
        </row>
        <row r="4617">
          <cell r="A4617" t="str">
            <v>H0XX6E</v>
          </cell>
          <cell r="B4617" t="str">
            <v>FC 9x5 3年Synergy VC 16Gb FC モジュール</v>
          </cell>
          <cell r="C4617" t="str">
            <v>【ファウンデーションケア】</v>
          </cell>
        </row>
        <row r="4618">
          <cell r="A4618" t="str">
            <v>H0XX8E</v>
          </cell>
          <cell r="B4618" t="str">
            <v>FC 9x5 4年Synergy VC 16Gb FC モジュール</v>
          </cell>
          <cell r="C4618" t="str">
            <v>【ファウンデーションケア】</v>
          </cell>
        </row>
        <row r="4619">
          <cell r="A4619" t="str">
            <v>H0XY0E</v>
          </cell>
          <cell r="B4619" t="str">
            <v>FC 9x5 5年Synergy VC 16Gb FC モジュール</v>
          </cell>
          <cell r="C4619" t="str">
            <v>【ファウンデーションケア】</v>
          </cell>
        </row>
        <row r="4620">
          <cell r="A4620" t="str">
            <v>H0XZ1E</v>
          </cell>
          <cell r="B4620" t="str">
            <v>FC 24x7 3年Synergy 12Gb SAS Connect Mod</v>
          </cell>
          <cell r="C4620" t="str">
            <v>【ファウンデーションケア】</v>
          </cell>
        </row>
        <row r="4621">
          <cell r="A4621" t="str">
            <v>H0XZ4E</v>
          </cell>
          <cell r="B4621" t="str">
            <v>PC 24x7 3年Synergy 12Gb SAS Connect Mod</v>
          </cell>
          <cell r="C4621" t="str">
            <v>【HPEプロアクティブケア】メーカー推奨／低価格で国内専用窓口の高品質な保守により、システム運用における安心を提供します。</v>
          </cell>
        </row>
        <row r="4622">
          <cell r="A4622" t="str">
            <v>H0YB8E</v>
          </cell>
          <cell r="B4622" t="str">
            <v>FC 24x7 4年Synergy 12Gb SAS Connect Mod</v>
          </cell>
          <cell r="C4622" t="str">
            <v>【ファウンデーションケア】</v>
          </cell>
        </row>
        <row r="4623">
          <cell r="A4623" t="str">
            <v>H0YC1E</v>
          </cell>
          <cell r="B4623" t="str">
            <v>PC 24x7 4年Synergy 12Gb SAS Connect Mod</v>
          </cell>
          <cell r="C4623" t="str">
            <v>【HPEプロアクティブケア】メーカー推奨／低価格で国内専用窓口の高品質な保守により、システム運用における安心を提供します。</v>
          </cell>
        </row>
        <row r="4624">
          <cell r="A4624" t="str">
            <v>H0YE5E</v>
          </cell>
          <cell r="B4624" t="str">
            <v>FC 24x7 5年Synergy 12Gb SAS Connect Mod</v>
          </cell>
          <cell r="C4624" t="str">
            <v>【ファウンデーションケア】</v>
          </cell>
        </row>
        <row r="4625">
          <cell r="A4625" t="str">
            <v>H0YE8E</v>
          </cell>
          <cell r="B4625" t="str">
            <v>PC 24x7 5年Synergy 12Gb SAS Connect Mod</v>
          </cell>
          <cell r="C4625" t="str">
            <v>【HPEプロアクティブケア】メーカー推奨／低価格で国内専用窓口の高品質な保守により、システム運用における安心を提供します。</v>
          </cell>
        </row>
        <row r="4626">
          <cell r="A4626" t="str">
            <v>H0YG3E</v>
          </cell>
          <cell r="B4626" t="str">
            <v>FC 9x5 3年Synergy 12Gb SAS Connect Mod</v>
          </cell>
          <cell r="C4626" t="str">
            <v>【ファウンデーションケア】</v>
          </cell>
        </row>
        <row r="4627">
          <cell r="A4627" t="str">
            <v>H0YG5E</v>
          </cell>
          <cell r="B4627" t="str">
            <v>FC 9x5 4年Synergy 12Gb SAS Connect Mod</v>
          </cell>
          <cell r="C4627" t="str">
            <v>【ファウンデーションケア】</v>
          </cell>
        </row>
        <row r="4628">
          <cell r="A4628" t="str">
            <v>H0YG7E</v>
          </cell>
          <cell r="B4628" t="str">
            <v>FC 9x5 5年Synergy 12Gb SAS Connect Mod</v>
          </cell>
          <cell r="C4628" t="str">
            <v>【ファウンデーションケア】</v>
          </cell>
        </row>
        <row r="4629">
          <cell r="A4629" t="str">
            <v>H0YH8E</v>
          </cell>
          <cell r="B4629" t="str">
            <v>FC 24x7 3年 SY ImageStreamer</v>
          </cell>
          <cell r="C4629" t="str">
            <v>【ファウンデーションケア】</v>
          </cell>
        </row>
        <row r="4630">
          <cell r="A4630" t="str">
            <v>H0YH9E</v>
          </cell>
          <cell r="B4630" t="str">
            <v>FC 24x7 HD返却不要 3年 SY ImageStreamer</v>
          </cell>
          <cell r="C4630" t="str">
            <v>【ファウンデーションケア】</v>
          </cell>
        </row>
        <row r="4631">
          <cell r="A4631" t="str">
            <v>H0YJ1E</v>
          </cell>
          <cell r="B4631" t="str">
            <v>PC 24x7 3年 SY ImageStreamer</v>
          </cell>
          <cell r="C4631" t="str">
            <v>【HPEプロアクティブケア】メーカー推奨／低価格で国内専用窓口の高品質な保守により、システム運用における安心を提供します。</v>
          </cell>
        </row>
        <row r="4632">
          <cell r="A4632" t="str">
            <v>H0YJ2E</v>
          </cell>
          <cell r="B4632" t="str">
            <v>PC HD返却不要 24x7 3年 SY ImageStreamer</v>
          </cell>
          <cell r="C4632" t="str">
            <v>【HPEプロアクティブケア】メーカー推奨／低価格で国内専用窓口の高品質な保守により、システム運用における安心を提供します。</v>
          </cell>
        </row>
        <row r="4633">
          <cell r="A4633" t="str">
            <v>H0YL5E</v>
          </cell>
          <cell r="B4633" t="str">
            <v>FC 24x7 4年 SY ImageStreamer</v>
          </cell>
          <cell r="C4633" t="str">
            <v>【ファウンデーションケア】</v>
          </cell>
        </row>
        <row r="4634">
          <cell r="A4634" t="str">
            <v>H0YL6E</v>
          </cell>
          <cell r="B4634" t="str">
            <v>FC 24x7 HD返却不要 4年 SY ImageStreamer</v>
          </cell>
          <cell r="C4634" t="str">
            <v>【ファウンデーションケア】</v>
          </cell>
        </row>
        <row r="4635">
          <cell r="A4635" t="str">
            <v>H0YL8E</v>
          </cell>
          <cell r="B4635" t="str">
            <v>PC 24x7 4年 SY ImageStreamer</v>
          </cell>
          <cell r="C4635" t="str">
            <v>【HPEプロアクティブケア】メーカー推奨／低価格で国内専用窓口の高品質な保守により、システム運用における安心を提供します。</v>
          </cell>
        </row>
        <row r="4636">
          <cell r="A4636" t="str">
            <v>H0YL9E</v>
          </cell>
          <cell r="B4636" t="str">
            <v>PC HD返却不要 24x7 4年 SY ImageStreamer</v>
          </cell>
          <cell r="C4636" t="str">
            <v>【HPEプロアクティブケア】メーカー推奨／低価格で国内専用窓口の高品質な保守により、システム運用における安心を提供します。</v>
          </cell>
        </row>
        <row r="4637">
          <cell r="A4637" t="str">
            <v>H0YP2E</v>
          </cell>
          <cell r="B4637" t="str">
            <v>FC 24x7 5年 SY ImageStreamer</v>
          </cell>
          <cell r="C4637" t="str">
            <v>【ファウンデーションケア】</v>
          </cell>
        </row>
        <row r="4638">
          <cell r="A4638" t="str">
            <v>H0YP3E</v>
          </cell>
          <cell r="B4638" t="str">
            <v>FC 24x7 HD返却不要 5年 SY ImageStreamer</v>
          </cell>
          <cell r="C4638" t="str">
            <v>【ファウンデーションケア】</v>
          </cell>
        </row>
        <row r="4639">
          <cell r="A4639" t="str">
            <v>H0YP5E</v>
          </cell>
          <cell r="B4639" t="str">
            <v>PC 24x7 5年 SY ImageStreamer</v>
          </cell>
          <cell r="C4639" t="str">
            <v>【HPEプロアクティブケア】メーカー推奨／低価格で国内専用窓口の高品質な保守により、システム運用における安心を提供します。</v>
          </cell>
        </row>
        <row r="4640">
          <cell r="A4640" t="str">
            <v>H0YP6E</v>
          </cell>
          <cell r="B4640" t="str">
            <v>PC HD返却不要 24x7 5年 SY ImageStreamer</v>
          </cell>
          <cell r="C4640" t="str">
            <v>【HPEプロアクティブケア】メーカー推奨／低価格で国内専用窓口の高品質な保守により、システム運用における安心を提供します。</v>
          </cell>
        </row>
        <row r="4641">
          <cell r="A4641" t="str">
            <v>H0YW0E</v>
          </cell>
          <cell r="B4641" t="str">
            <v>FC 9x5 3年 SY ImageStreamer</v>
          </cell>
          <cell r="C4641" t="str">
            <v>【ファウンデーションケア】</v>
          </cell>
        </row>
        <row r="4642">
          <cell r="A4642" t="str">
            <v>H0YW1E</v>
          </cell>
          <cell r="B4642" t="str">
            <v>FC 9x5 HD返却不要 3年 SY ImageStreamer</v>
          </cell>
          <cell r="C4642" t="str">
            <v>【ファウンデーションケア】</v>
          </cell>
        </row>
        <row r="4643">
          <cell r="A4643" t="str">
            <v>H0YW2E</v>
          </cell>
          <cell r="B4643" t="str">
            <v>FC 9x5 4年 SY ImageStreamer</v>
          </cell>
          <cell r="C4643" t="str">
            <v>【ファウンデーションケア】</v>
          </cell>
        </row>
        <row r="4644">
          <cell r="A4644" t="str">
            <v>H0YW3E</v>
          </cell>
          <cell r="B4644" t="str">
            <v>FC 9x5 HD返却不要 4年 SY ImageStreamer</v>
          </cell>
          <cell r="C4644" t="str">
            <v>【ファウンデーションケア】</v>
          </cell>
        </row>
        <row r="4645">
          <cell r="A4645" t="str">
            <v>H0YW4E</v>
          </cell>
          <cell r="B4645" t="str">
            <v>FC 9x5 5年 SY ImageStreamer</v>
          </cell>
          <cell r="C4645" t="str">
            <v>【ファウンデーションケア】</v>
          </cell>
        </row>
        <row r="4646">
          <cell r="A4646" t="str">
            <v>H0YW5E</v>
          </cell>
          <cell r="B4646" t="str">
            <v>FC 9x5 HD返却不要 5年 SY ImageStreamer</v>
          </cell>
          <cell r="C4646" t="str">
            <v>【ファウンデーションケア】</v>
          </cell>
        </row>
        <row r="4647">
          <cell r="A4647" t="str">
            <v>H0ZG6E</v>
          </cell>
          <cell r="B4647" t="str">
            <v>FC 24x7 3年 SY620 Gen9用</v>
          </cell>
          <cell r="C4647" t="str">
            <v>【ファウンデーションケア】</v>
          </cell>
        </row>
        <row r="4648">
          <cell r="A4648" t="str">
            <v>H0ZG7E</v>
          </cell>
          <cell r="B4648" t="str">
            <v>FC 24x7 HD返却不要 3年 SY620 Gen9用</v>
          </cell>
          <cell r="C4648" t="str">
            <v>【ファウンデーションケア】</v>
          </cell>
        </row>
        <row r="4649">
          <cell r="A4649" t="str">
            <v>H0ZG9E</v>
          </cell>
          <cell r="B4649" t="str">
            <v>PC 24x7 3年 SY620 Gen9用</v>
          </cell>
          <cell r="C4649" t="str">
            <v>【HPEプロアクティブケア】メーカー推奨／低価格で国内専用窓口の高品質な保守により、システム運用における安心を提供します。</v>
          </cell>
        </row>
        <row r="4650">
          <cell r="A4650" t="str">
            <v>H0ZH0E</v>
          </cell>
          <cell r="B4650" t="str">
            <v>PC HD返却不要 24x7 3年 SY620 Gen9用</v>
          </cell>
          <cell r="C4650" t="str">
            <v>【HPEプロアクティブケア】メーカー推奨／低価格で国内専用窓口の高品質な保守により、システム運用における安心を提供します。</v>
          </cell>
        </row>
        <row r="4651">
          <cell r="A4651" t="str">
            <v>H0ZK3E</v>
          </cell>
          <cell r="B4651" t="str">
            <v>FC 24x7 4年 SY620 Gen9用</v>
          </cell>
          <cell r="C4651" t="str">
            <v>【ファウンデーションケア】</v>
          </cell>
        </row>
        <row r="4652">
          <cell r="A4652" t="str">
            <v>H0ZK4E</v>
          </cell>
          <cell r="B4652" t="str">
            <v>FC 24x7 HD返却不要 4年 SY620 Gen9用</v>
          </cell>
          <cell r="C4652" t="str">
            <v>【ファウンデーションケア】</v>
          </cell>
        </row>
        <row r="4653">
          <cell r="A4653" t="str">
            <v>H0ZK6E</v>
          </cell>
          <cell r="B4653" t="str">
            <v>PC 24x7 4年 SY620 Gen9用</v>
          </cell>
          <cell r="C4653" t="str">
            <v>【HPEプロアクティブケア】メーカー推奨／低価格で国内専用窓口の高品質な保守により、システム運用における安心を提供します。</v>
          </cell>
        </row>
        <row r="4654">
          <cell r="A4654" t="str">
            <v>H0ZK7E</v>
          </cell>
          <cell r="B4654" t="str">
            <v>PC HD返却不要 24x7 4年 SY620 Gen9用</v>
          </cell>
          <cell r="C4654" t="str">
            <v>【HPEプロアクティブケア】メーカー推奨／低価格で国内専用窓口の高品質な保守により、システム運用における安心を提供します。</v>
          </cell>
        </row>
        <row r="4655">
          <cell r="A4655" t="str">
            <v>H0ZN1E</v>
          </cell>
          <cell r="B4655" t="str">
            <v>FC 24x7 5年 SY620 Gen9用</v>
          </cell>
          <cell r="C4655" t="str">
            <v>【ファウンデーションケア】</v>
          </cell>
        </row>
        <row r="4656">
          <cell r="A4656" t="str">
            <v>H0ZN2E</v>
          </cell>
          <cell r="B4656" t="str">
            <v>FC 24x7 HD返却不要 5年 SY620 Gen9用</v>
          </cell>
          <cell r="C4656" t="str">
            <v>【ファウンデーションケア】</v>
          </cell>
        </row>
        <row r="4657">
          <cell r="A4657" t="str">
            <v>H0ZN4E</v>
          </cell>
          <cell r="B4657" t="str">
            <v>PC 24x7 5年 SY620 Gen9用</v>
          </cell>
          <cell r="C4657" t="str">
            <v>【HPEプロアクティブケア】メーカー推奨／低価格で国内専用窓口の高品質な保守により、システム運用における安心を提供します。</v>
          </cell>
        </row>
        <row r="4658">
          <cell r="A4658" t="str">
            <v>H0ZN5E</v>
          </cell>
          <cell r="B4658" t="str">
            <v>PC HD返却不要 24x7 5年 SY620 Gen9用</v>
          </cell>
          <cell r="C4658" t="str">
            <v>【HPEプロアクティブケア】メーカー推奨／低価格で国内専用窓口の高品質な保守により、システム運用における安心を提供します。</v>
          </cell>
        </row>
        <row r="4659">
          <cell r="A4659" t="str">
            <v>H0ZP9E</v>
          </cell>
          <cell r="B4659" t="str">
            <v>FC 9x5 3年 SY620 Gen9用</v>
          </cell>
          <cell r="C4659" t="str">
            <v>【ファウンデーションケア】</v>
          </cell>
        </row>
        <row r="4660">
          <cell r="A4660" t="str">
            <v>H0ZQ0E</v>
          </cell>
          <cell r="B4660" t="str">
            <v>FC 9x5 HD返却不要 3年 SY620 Gen9用</v>
          </cell>
          <cell r="C4660" t="str">
            <v>【ファウンデーションケア】</v>
          </cell>
        </row>
        <row r="4661">
          <cell r="A4661" t="str">
            <v>H0ZQ1E</v>
          </cell>
          <cell r="B4661" t="str">
            <v>FC 9x5 4年 SY620 Gen9用</v>
          </cell>
          <cell r="C4661" t="str">
            <v>【ファウンデーションケア】</v>
          </cell>
        </row>
        <row r="4662">
          <cell r="A4662" t="str">
            <v>H0ZQ2E</v>
          </cell>
          <cell r="B4662" t="str">
            <v>FC 9x5 HD返却不要 4年 SY620 Gen9用</v>
          </cell>
          <cell r="C4662" t="str">
            <v>【ファウンデーションケア】</v>
          </cell>
        </row>
        <row r="4663">
          <cell r="A4663" t="str">
            <v>H0ZQ3E</v>
          </cell>
          <cell r="B4663" t="str">
            <v>FC 9x5 5年 SY620 Gen9用</v>
          </cell>
          <cell r="C4663" t="str">
            <v>【ファウンデーションケア】</v>
          </cell>
        </row>
        <row r="4664">
          <cell r="A4664" t="str">
            <v>H0ZQ4E</v>
          </cell>
          <cell r="B4664" t="str">
            <v>FC 9x5 HD返却不要 5年 SY620 Gen9用</v>
          </cell>
          <cell r="C4664" t="str">
            <v>【ファウンデーションケア】</v>
          </cell>
        </row>
        <row r="4665">
          <cell r="A4665" t="str">
            <v>H0ZR4E</v>
          </cell>
          <cell r="B4665" t="str">
            <v>FC 24x7 3年 SY680 Gen9用</v>
          </cell>
          <cell r="C4665" t="str">
            <v>【ファウンデーションケア】</v>
          </cell>
        </row>
        <row r="4666">
          <cell r="A4666" t="str">
            <v>H0ZR5E</v>
          </cell>
          <cell r="B4666" t="str">
            <v>FC 24x7 HD返却不要 3年 SY680 Gen9用</v>
          </cell>
          <cell r="C4666" t="str">
            <v>【ファウンデーションケア】</v>
          </cell>
        </row>
        <row r="4667">
          <cell r="A4667" t="str">
            <v>H0ZR7E</v>
          </cell>
          <cell r="B4667" t="str">
            <v>PC 24x7 3年 SY680 Gen9用</v>
          </cell>
          <cell r="C4667" t="str">
            <v>【HPEプロアクティブケア】メーカー推奨／低価格で国内専用窓口の高品質な保守により、システム運用における安心を提供します。</v>
          </cell>
        </row>
        <row r="4668">
          <cell r="A4668" t="str">
            <v>H0ZR8E</v>
          </cell>
          <cell r="B4668" t="str">
            <v>PC HD返却不要 24x7 3年 SY680 Gen9用</v>
          </cell>
          <cell r="C4668" t="str">
            <v>【HPEプロアクティブケア】メーカー推奨／低価格で国内専用窓口の高品質な保守により、システム運用における安心を提供します。</v>
          </cell>
        </row>
        <row r="4669">
          <cell r="A4669" t="str">
            <v>H0ZU1E</v>
          </cell>
          <cell r="B4669" t="str">
            <v>FC 24x7 4年 SY680 Gen9用</v>
          </cell>
          <cell r="C4669" t="str">
            <v>【ファウンデーションケア】</v>
          </cell>
        </row>
        <row r="4670">
          <cell r="A4670" t="str">
            <v>H0ZU2E</v>
          </cell>
          <cell r="B4670" t="str">
            <v>FC 24x7 HD返却不要 4年 SY680 Gen9用</v>
          </cell>
          <cell r="C4670" t="str">
            <v>【ファウンデーションケア】</v>
          </cell>
        </row>
        <row r="4671">
          <cell r="A4671" t="str">
            <v>H0ZU4E</v>
          </cell>
          <cell r="B4671" t="str">
            <v>PC 24x7 4年 SY680 Gen9用</v>
          </cell>
          <cell r="C4671" t="str">
            <v>【HPEプロアクティブケア】メーカー推奨／低価格で国内専用窓口の高品質な保守により、システム運用における安心を提供します。</v>
          </cell>
        </row>
        <row r="4672">
          <cell r="A4672" t="str">
            <v>H0ZU5E</v>
          </cell>
          <cell r="B4672" t="str">
            <v>PC HD返却不要 24x7 4年 SY680 Gen9用</v>
          </cell>
          <cell r="C4672" t="str">
            <v>【HPEプロアクティブケア】メーカー推奨／低価格で国内専用窓口の高品質な保守により、システム運用における安心を提供します。</v>
          </cell>
        </row>
        <row r="4673">
          <cell r="A4673" t="str">
            <v>H0ZW8E</v>
          </cell>
          <cell r="B4673" t="str">
            <v>FC 24x7 5年 SY680 Gen9用</v>
          </cell>
          <cell r="C4673" t="str">
            <v>【ファウンデーションケア】</v>
          </cell>
        </row>
        <row r="4674">
          <cell r="A4674" t="str">
            <v>H0ZW9E</v>
          </cell>
          <cell r="B4674" t="str">
            <v>FC 24x7 HD返却不要 5年 SY680 Gen9用</v>
          </cell>
          <cell r="C4674" t="str">
            <v>【ファウンデーションケア】</v>
          </cell>
        </row>
        <row r="4675">
          <cell r="A4675" t="str">
            <v>H0ZX1E</v>
          </cell>
          <cell r="B4675" t="str">
            <v>PC 24x7 5年 SY680 Gen9用</v>
          </cell>
          <cell r="C4675" t="str">
            <v>【HPEプロアクティブケア】メーカー推奨／低価格で国内専用窓口の高品質な保守により、システム運用における安心を提供します。</v>
          </cell>
        </row>
        <row r="4676">
          <cell r="A4676" t="str">
            <v>H0ZX2E</v>
          </cell>
          <cell r="B4676" t="str">
            <v>PC HD返却不要 24x7 5年 SY680 Gen9用</v>
          </cell>
          <cell r="C4676" t="str">
            <v>【HPEプロアクティブケア】メーカー推奨／低価格で国内専用窓口の高品質な保守により、システム運用における安心を提供します。</v>
          </cell>
        </row>
        <row r="4677">
          <cell r="A4677" t="str">
            <v>H0ZY6E</v>
          </cell>
          <cell r="B4677" t="str">
            <v>FC 9x5 3年 SY680 Gen9用</v>
          </cell>
          <cell r="C4677" t="str">
            <v>【ファウンデーションケア】</v>
          </cell>
        </row>
        <row r="4678">
          <cell r="A4678" t="str">
            <v>H0ZY7E</v>
          </cell>
          <cell r="B4678" t="str">
            <v>FC 9x5 HD返却不要 3年 SY680 Gen9用</v>
          </cell>
          <cell r="C4678" t="str">
            <v>【ファウンデーションケア】</v>
          </cell>
        </row>
        <row r="4679">
          <cell r="A4679" t="str">
            <v>H0ZY8E</v>
          </cell>
          <cell r="B4679" t="str">
            <v>FC 9x5 4年 SY680 Gen9用</v>
          </cell>
          <cell r="C4679" t="str">
            <v>【ファウンデーションケア】</v>
          </cell>
        </row>
        <row r="4680">
          <cell r="A4680" t="str">
            <v>H0ZY9E</v>
          </cell>
          <cell r="B4680" t="str">
            <v>FC 9x5 HD返却不要 4年 SY680 Gen9用</v>
          </cell>
          <cell r="C4680" t="str">
            <v>【ファウンデーションケア】</v>
          </cell>
        </row>
        <row r="4681">
          <cell r="A4681" t="str">
            <v>H0ZZ0E</v>
          </cell>
          <cell r="B4681" t="str">
            <v>FC 9x5 5年 SY680 Gen9用</v>
          </cell>
          <cell r="C4681" t="str">
            <v>【ファウンデーションケア】</v>
          </cell>
        </row>
        <row r="4682">
          <cell r="A4682" t="str">
            <v>H0ZZ1E</v>
          </cell>
          <cell r="B4682" t="str">
            <v>FC 9x5 HD返却不要 5年 SY680 Gen9用</v>
          </cell>
          <cell r="C4682" t="str">
            <v>【ファウンデーションケア】</v>
          </cell>
        </row>
        <row r="4683">
          <cell r="A4683" t="str">
            <v>H1AA1E</v>
          </cell>
          <cell r="B4683" t="str">
            <v>FC 24x7 3年 SY660 Gen9用</v>
          </cell>
          <cell r="C4683" t="str">
            <v>【ファウンデーションケア】</v>
          </cell>
        </row>
        <row r="4684">
          <cell r="A4684" t="str">
            <v>H1AA2E</v>
          </cell>
          <cell r="B4684" t="str">
            <v>FC 24x7 HD返却不要 3年 SY660 Gen9用</v>
          </cell>
          <cell r="C4684" t="str">
            <v>【ファウンデーションケア】</v>
          </cell>
        </row>
        <row r="4685">
          <cell r="A4685" t="str">
            <v>H1AA4E</v>
          </cell>
          <cell r="B4685" t="str">
            <v>PC 24x7 3年 SY660 Gen9用</v>
          </cell>
          <cell r="C4685" t="str">
            <v>【HPEプロアクティブケア】メーカー推奨／低価格で国内専用窓口の高品質な保守により、システム運用における安心を提供します。</v>
          </cell>
        </row>
        <row r="4686">
          <cell r="A4686" t="str">
            <v>H1AA5E</v>
          </cell>
          <cell r="B4686" t="str">
            <v>PC HD返却不要 24x7 3年 SY660 Gen9用</v>
          </cell>
          <cell r="C4686" t="str">
            <v>【HPEプロアクティブケア】メーカー推奨／低価格で国内専用窓口の高品質な保守により、システム運用における安心を提供します。</v>
          </cell>
        </row>
        <row r="4687">
          <cell r="A4687" t="str">
            <v>H1AC8E</v>
          </cell>
          <cell r="B4687" t="str">
            <v>FC 24x7 4年 SY660 Gen9用</v>
          </cell>
          <cell r="C4687" t="str">
            <v>【ファウンデーションケア】</v>
          </cell>
        </row>
        <row r="4688">
          <cell r="A4688" t="str">
            <v>H1AC9E</v>
          </cell>
          <cell r="B4688" t="str">
            <v>FC 24x7 HD返却不要 4年 SY660 Gen9用</v>
          </cell>
          <cell r="C4688" t="str">
            <v>【ファウンデーションケア】</v>
          </cell>
        </row>
        <row r="4689">
          <cell r="A4689" t="str">
            <v>H1AD1E</v>
          </cell>
          <cell r="B4689" t="str">
            <v>PC 24x7 4年 SY660 Gen9用</v>
          </cell>
          <cell r="C4689" t="str">
            <v>【HPEプロアクティブケア】メーカー推奨／低価格で国内専用窓口の高品質な保守により、システム運用における安心を提供します。</v>
          </cell>
        </row>
        <row r="4690">
          <cell r="A4690" t="str">
            <v>H1AD2E</v>
          </cell>
          <cell r="B4690" t="str">
            <v>PC HD返却不要 24x7 4年 SY660 Gen9用</v>
          </cell>
          <cell r="C4690" t="str">
            <v>【HPEプロアクティブケア】メーカー推奨／低価格で国内専用窓口の高品質な保守により、システム運用における安心を提供します。</v>
          </cell>
        </row>
        <row r="4691">
          <cell r="A4691" t="str">
            <v>H1AF5E</v>
          </cell>
          <cell r="B4691" t="str">
            <v>FC 24x7 5年 SY660 Gen9用</v>
          </cell>
          <cell r="C4691" t="str">
            <v>【ファウンデーションケア】</v>
          </cell>
        </row>
        <row r="4692">
          <cell r="A4692" t="str">
            <v>H1AF6E</v>
          </cell>
          <cell r="B4692" t="str">
            <v>FC 24x7 HD返却不要 5年 SY660 Gen9用</v>
          </cell>
          <cell r="C4692" t="str">
            <v>【ファウンデーションケア】</v>
          </cell>
        </row>
        <row r="4693">
          <cell r="A4693" t="str">
            <v>H1AF8E</v>
          </cell>
          <cell r="B4693" t="str">
            <v>PC 24x7 5年 SY660 Gen9用</v>
          </cell>
          <cell r="C4693" t="str">
            <v>【HPEプロアクティブケア】メーカー推奨／低価格で国内専用窓口の高品質な保守により、システム運用における安心を提供します。</v>
          </cell>
        </row>
        <row r="4694">
          <cell r="A4694" t="str">
            <v>H1AF9E</v>
          </cell>
          <cell r="B4694" t="str">
            <v>PC HD返却不要 24x7 5年 SY660 Gen9用</v>
          </cell>
          <cell r="C4694" t="str">
            <v>【HPEプロアクティブケア】メーカー推奨／低価格で国内専用窓口の高品質な保守により、システム運用における安心を提供します。</v>
          </cell>
        </row>
        <row r="4695">
          <cell r="A4695" t="str">
            <v>H1AH9E</v>
          </cell>
          <cell r="B4695" t="str">
            <v>FC 24x7 3年 DL20 Gen9用</v>
          </cell>
          <cell r="C4695" t="str">
            <v>【ファウンデーションケア】</v>
          </cell>
        </row>
        <row r="4696">
          <cell r="A4696" t="str">
            <v>H1AJ0E</v>
          </cell>
          <cell r="B4696" t="str">
            <v>FC 24x7 HD返却不要 3年 DL20 Gen9用</v>
          </cell>
          <cell r="C4696" t="str">
            <v>【ファウンデーションケア】</v>
          </cell>
        </row>
        <row r="4697">
          <cell r="A4697" t="str">
            <v>H1AJ1E</v>
          </cell>
          <cell r="B4697" t="str">
            <v>ProCare 24x7 3年 DL20 Gen9用</v>
          </cell>
          <cell r="C4697" t="str">
            <v>【HPEプロアクティブケア】メーカー推奨／低価格で国内専用窓口の高品質な保守により、システム運用における安心を提供します。</v>
          </cell>
        </row>
        <row r="4698">
          <cell r="A4698" t="str">
            <v>H1AJ2E</v>
          </cell>
          <cell r="B4698" t="str">
            <v>ProCare HD返却不要 24x7 3年DL20 Gen9用</v>
          </cell>
          <cell r="C4698" t="str">
            <v>【HPEプロアクティブケア】メーカー推奨／低価格で国内専用窓口の高品質な保守により、システム運用における安心を提供します。</v>
          </cell>
        </row>
        <row r="4699">
          <cell r="A4699" t="str">
            <v>H1AK7E</v>
          </cell>
          <cell r="B4699" t="str">
            <v>FC 24x7 4年 DL20 Gen9用</v>
          </cell>
          <cell r="C4699" t="str">
            <v>【ファウンデーションケア】</v>
          </cell>
        </row>
        <row r="4700">
          <cell r="A4700" t="str">
            <v>H1AK8E</v>
          </cell>
          <cell r="B4700" t="str">
            <v>FC 24x7 HD返却不要 4年 DL20 Gen9用</v>
          </cell>
          <cell r="C4700" t="str">
            <v>【ファウンデーションケア】</v>
          </cell>
        </row>
        <row r="4701">
          <cell r="A4701" t="str">
            <v>H1AK9E</v>
          </cell>
          <cell r="B4701" t="str">
            <v>ProCare 24x7 4年 DL20 Gen9用</v>
          </cell>
          <cell r="C4701" t="str">
            <v>【HPEプロアクティブケア】メーカー推奨／低価格で国内専用窓口の高品質な保守により、システム運用における安心を提供します。</v>
          </cell>
        </row>
        <row r="4702">
          <cell r="A4702" t="str">
            <v>H1AL0E</v>
          </cell>
          <cell r="B4702" t="str">
            <v>ProCare HD返却不要 24x7 4年DL20 Gen9用</v>
          </cell>
          <cell r="C4702" t="str">
            <v>【HPEプロアクティブケア】メーカー推奨／低価格で国内専用窓口の高品質な保守により、システム運用における安心を提供します。</v>
          </cell>
        </row>
        <row r="4703">
          <cell r="A4703" t="str">
            <v>H1AM5E</v>
          </cell>
          <cell r="B4703" t="str">
            <v>FC 24x7 5年 DL20 Gen9用</v>
          </cell>
          <cell r="C4703" t="str">
            <v>【ファウンデーションケア】</v>
          </cell>
        </row>
        <row r="4704">
          <cell r="A4704" t="str">
            <v>H1AM6E</v>
          </cell>
          <cell r="B4704" t="str">
            <v>FC 24x7 HD返却不要 5年 DL20 Gen9用</v>
          </cell>
          <cell r="C4704" t="str">
            <v>【ファウンデーションケア】</v>
          </cell>
        </row>
        <row r="4705">
          <cell r="A4705" t="str">
            <v>H1AM7E</v>
          </cell>
          <cell r="B4705" t="str">
            <v>ProCare 24x7 5年 DL20 Gen9用</v>
          </cell>
          <cell r="C4705" t="str">
            <v>【HPEプロアクティブケア】メーカー推奨／低価格で国内専用窓口の高品質な保守により、システム運用における安心を提供します。</v>
          </cell>
        </row>
        <row r="4706">
          <cell r="A4706" t="str">
            <v>H1AM8E</v>
          </cell>
          <cell r="B4706" t="str">
            <v>ProCare HD返却不要 24x7 5年DL20 Gen9用</v>
          </cell>
          <cell r="C4706" t="str">
            <v>【HPEプロアクティブケア】メーカー推奨／低価格で国内専用窓口の高品質な保守により、システム運用における安心を提供します。</v>
          </cell>
        </row>
        <row r="4707">
          <cell r="A4707" t="str">
            <v>H1AR4E</v>
          </cell>
          <cell r="B4707" t="str">
            <v>FC 9x5 3年 DL20 Gen9用</v>
          </cell>
          <cell r="C4707" t="str">
            <v>【ファウンデーションケア】</v>
          </cell>
        </row>
        <row r="4708">
          <cell r="A4708" t="str">
            <v>H1AR5E</v>
          </cell>
          <cell r="B4708" t="str">
            <v>FC 9x5 HD返却不要 3年 DL20 Gen9用</v>
          </cell>
          <cell r="C4708" t="str">
            <v>【ファウンデーションケア】</v>
          </cell>
        </row>
        <row r="4709">
          <cell r="A4709" t="str">
            <v>H1AR6E</v>
          </cell>
          <cell r="B4709" t="str">
            <v>FC 9x5 4年 DL20 Gen9用</v>
          </cell>
          <cell r="C4709" t="str">
            <v>【ファウンデーションケア】</v>
          </cell>
        </row>
        <row r="4710">
          <cell r="A4710" t="str">
            <v>H1AR7E</v>
          </cell>
          <cell r="B4710" t="str">
            <v>FC 9x5 HD返却不要 4年 DL20 Gen9用</v>
          </cell>
          <cell r="C4710" t="str">
            <v>【ファウンデーションケア】</v>
          </cell>
        </row>
        <row r="4711">
          <cell r="A4711" t="str">
            <v>H1AR8E</v>
          </cell>
          <cell r="B4711" t="str">
            <v>FC 9x5 5年 DL20 Gen9用</v>
          </cell>
          <cell r="C4711" t="str">
            <v>【ファウンデーションケア】</v>
          </cell>
        </row>
        <row r="4712">
          <cell r="A4712" t="str">
            <v>H1AR9E</v>
          </cell>
          <cell r="B4712" t="str">
            <v>FC 9x5 HD返却不要 5年 DL20 Gen9用</v>
          </cell>
          <cell r="C4712" t="str">
            <v>【ファウンデーションケア】</v>
          </cell>
        </row>
        <row r="4713">
          <cell r="A4713" t="str">
            <v>H1AS6E</v>
          </cell>
          <cell r="B4713" t="str">
            <v>FC 24x7 3年 ML30 Gen9用</v>
          </cell>
          <cell r="C4713" t="str">
            <v>【ファウンデーションケア】</v>
          </cell>
        </row>
        <row r="4714">
          <cell r="A4714" t="str">
            <v>H1AS7E</v>
          </cell>
          <cell r="B4714" t="str">
            <v>FC 24x7 HD返却不要 3年 ML30 Gen9用</v>
          </cell>
          <cell r="C4714" t="str">
            <v>【ファウンデーションケア】</v>
          </cell>
        </row>
        <row r="4715">
          <cell r="A4715" t="str">
            <v>H1AS8E</v>
          </cell>
          <cell r="B4715" t="str">
            <v>ProCare 24x7 3年 ML30 Gen9用</v>
          </cell>
          <cell r="C4715" t="str">
            <v>【HPEプロアクティブケア】メーカー推奨／低価格で国内専用窓口の高品質な保守により、システム運用における安心を提供します。</v>
          </cell>
        </row>
        <row r="4716">
          <cell r="A4716" t="str">
            <v>H1AS9E</v>
          </cell>
          <cell r="B4716" t="str">
            <v>ProCare HD返却不要 24x7 3年ML30 Gen9用</v>
          </cell>
          <cell r="C4716" t="str">
            <v>【HPEプロアクティブケア】メーカー推奨／低価格で国内専用窓口の高品質な保守により、システム運用における安心を提供します。</v>
          </cell>
        </row>
        <row r="4717">
          <cell r="A4717" t="str">
            <v>H1AU4E</v>
          </cell>
          <cell r="B4717" t="str">
            <v>FC 24x7 4年 ML30 Gen9用</v>
          </cell>
          <cell r="C4717" t="str">
            <v>【ファウンデーションケア】</v>
          </cell>
        </row>
        <row r="4718">
          <cell r="A4718" t="str">
            <v>H1AU5E</v>
          </cell>
          <cell r="B4718" t="str">
            <v>FC 24x7 HD返却不要 4年 ML30 Gen9用</v>
          </cell>
          <cell r="C4718" t="str">
            <v>【ファウンデーションケア】</v>
          </cell>
        </row>
        <row r="4719">
          <cell r="A4719" t="str">
            <v>H1AU6E</v>
          </cell>
          <cell r="B4719" t="str">
            <v>ProCare 24x7 4年 ML30 Gen9用</v>
          </cell>
          <cell r="C4719" t="str">
            <v>【HPEプロアクティブケア】メーカー推奨／低価格で国内専用窓口の高品質な保守により、システム運用における安心を提供します。</v>
          </cell>
        </row>
        <row r="4720">
          <cell r="A4720" t="str">
            <v>H1AU7E</v>
          </cell>
          <cell r="B4720" t="str">
            <v>ProCare HD返却不要 24x7 4年ML30 Gen9用</v>
          </cell>
          <cell r="C4720" t="str">
            <v>【HPEプロアクティブケア】メーカー推奨／低価格で国内専用窓口の高品質な保守により、システム運用における安心を提供します。</v>
          </cell>
        </row>
        <row r="4721">
          <cell r="A4721" t="str">
            <v>H1AW2E</v>
          </cell>
          <cell r="B4721" t="str">
            <v>FC 24x7 5年 ML30 Gen9用</v>
          </cell>
          <cell r="C4721" t="str">
            <v>【ファウンデーションケア】</v>
          </cell>
        </row>
        <row r="4722">
          <cell r="A4722" t="str">
            <v>H1AW3E</v>
          </cell>
          <cell r="B4722" t="str">
            <v>FC 24x7 HD返却不要 5年 ML30 Gen9用</v>
          </cell>
          <cell r="C4722" t="str">
            <v>【ファウンデーションケア】</v>
          </cell>
        </row>
        <row r="4723">
          <cell r="A4723" t="str">
            <v>H1AW4E</v>
          </cell>
          <cell r="B4723" t="str">
            <v>ProCare 24x7 5年 ML30 Gen9用</v>
          </cell>
          <cell r="C4723" t="str">
            <v>【HPEプロアクティブケア】メーカー推奨／低価格で国内専用窓口の高品質な保守により、システム運用における安心を提供します。</v>
          </cell>
        </row>
        <row r="4724">
          <cell r="A4724" t="str">
            <v>H1AW5E</v>
          </cell>
          <cell r="B4724" t="str">
            <v>ProCare HD返却不要 24x7 5年ML30 Gen9用</v>
          </cell>
          <cell r="C4724" t="str">
            <v>【HPEプロアクティブケア】メーカー推奨／低価格で国内専用窓口の高品質な保守により、システム運用における安心を提供します。</v>
          </cell>
        </row>
        <row r="4725">
          <cell r="A4725" t="str">
            <v>H1BA1E</v>
          </cell>
          <cell r="B4725" t="str">
            <v>FC 9x5 3年 ML30 Gen9用</v>
          </cell>
          <cell r="C4725" t="str">
            <v>【ファウンデーションケア】</v>
          </cell>
        </row>
        <row r="4726">
          <cell r="A4726" t="str">
            <v>H1BA2E</v>
          </cell>
          <cell r="B4726" t="str">
            <v>FC 9x5 HD返却不要 3年 ML30 Gen9用</v>
          </cell>
          <cell r="C4726" t="str">
            <v>【ファウンデーションケア】</v>
          </cell>
        </row>
        <row r="4727">
          <cell r="A4727" t="str">
            <v>H1BA3E</v>
          </cell>
          <cell r="B4727" t="str">
            <v>FC 9x5 4年 ML30 Gen9用</v>
          </cell>
          <cell r="C4727" t="str">
            <v>【ファウンデーションケア】</v>
          </cell>
        </row>
        <row r="4728">
          <cell r="A4728" t="str">
            <v>H1BA4E</v>
          </cell>
          <cell r="B4728" t="str">
            <v>FC 9x5 HD返却不要 4年 ML30 Gen9用</v>
          </cell>
          <cell r="C4728" t="str">
            <v>【ファウンデーションケア】</v>
          </cell>
        </row>
        <row r="4729">
          <cell r="A4729" t="str">
            <v>H1BA5E</v>
          </cell>
          <cell r="B4729" t="str">
            <v>FC 9x5 5年 ML30 Gen9用</v>
          </cell>
          <cell r="C4729" t="str">
            <v>【ファウンデーションケア】</v>
          </cell>
        </row>
        <row r="4730">
          <cell r="A4730" t="str">
            <v>H1BA6E</v>
          </cell>
          <cell r="B4730" t="str">
            <v>FC 9x5 HD返却不要 5年 ML30 Gen9用</v>
          </cell>
          <cell r="C4730" t="str">
            <v>【ファウンデーションケア】</v>
          </cell>
        </row>
        <row r="4731">
          <cell r="A4731" t="str">
            <v>H1RN5E</v>
          </cell>
          <cell r="B4731" t="str">
            <v>FC 翌日 3年 ML10 Gen9用</v>
          </cell>
          <cell r="C4731" t="str">
            <v>【ファウンデーションケア】</v>
          </cell>
        </row>
        <row r="4732">
          <cell r="A4732" t="str">
            <v>H1RN7E</v>
          </cell>
          <cell r="B4732" t="str">
            <v>FC 24x7 3年 ML10 Gen9用</v>
          </cell>
          <cell r="C4732" t="str">
            <v>【ファウンデーションケア】</v>
          </cell>
        </row>
        <row r="4733">
          <cell r="A4733" t="str">
            <v>H1RN8E</v>
          </cell>
          <cell r="B4733" t="str">
            <v>FC 24x7 HD返却不要 3年 ML10 Gen9用</v>
          </cell>
          <cell r="C4733" t="str">
            <v>【ファウンデーションケア】</v>
          </cell>
        </row>
        <row r="4734">
          <cell r="A4734" t="str">
            <v>H1RP1E</v>
          </cell>
          <cell r="B4734" t="str">
            <v>FC 翌日 4年 ML10 Gen9用</v>
          </cell>
          <cell r="C4734" t="str">
            <v>【ファウンデーションケア】</v>
          </cell>
        </row>
        <row r="4735">
          <cell r="A4735" t="str">
            <v>H1RP3E</v>
          </cell>
          <cell r="B4735" t="str">
            <v>FC 24x7 4年 ML10 Gen9用</v>
          </cell>
          <cell r="C4735" t="str">
            <v>【ファウンデーションケア】</v>
          </cell>
        </row>
        <row r="4736">
          <cell r="A4736" t="str">
            <v>H1RP4E</v>
          </cell>
          <cell r="B4736" t="str">
            <v>FC 24x7 HD返却不要 4年 ML10 Gen9用</v>
          </cell>
          <cell r="C4736" t="str">
            <v>【ファウンデーションケア】</v>
          </cell>
        </row>
        <row r="4737">
          <cell r="A4737" t="str">
            <v>H1RP7E</v>
          </cell>
          <cell r="B4737" t="str">
            <v>FC 翌日 5年 ML10 Gen9用</v>
          </cell>
          <cell r="C4737" t="str">
            <v>【ファウンデーションケア】</v>
          </cell>
        </row>
        <row r="4738">
          <cell r="A4738" t="str">
            <v>H1RP9E</v>
          </cell>
          <cell r="B4738" t="str">
            <v>FC 24x7 5年 ML10 Gen9用</v>
          </cell>
          <cell r="C4738" t="str">
            <v>【ファウンデーションケア】</v>
          </cell>
        </row>
        <row r="4739">
          <cell r="A4739" t="str">
            <v>H1RQ0E</v>
          </cell>
          <cell r="B4739" t="str">
            <v>FC 24x7 HD返却不要 5年 ML10 Gen9用</v>
          </cell>
          <cell r="C4739" t="str">
            <v>【ファウンデーションケア】</v>
          </cell>
        </row>
        <row r="4740">
          <cell r="A4740" t="str">
            <v>H1RR2E</v>
          </cell>
          <cell r="B4740" t="str">
            <v>FC 9x5 3年 ML10 Gen9用</v>
          </cell>
          <cell r="C4740" t="str">
            <v>【ファウンデーションケア】</v>
          </cell>
        </row>
        <row r="4741">
          <cell r="A4741" t="str">
            <v>H1RR3E</v>
          </cell>
          <cell r="B4741" t="str">
            <v>FC 9x5 HD返却不要 3年 ML10 Gen9用</v>
          </cell>
          <cell r="C4741" t="str">
            <v>【ファウンデーションケア】</v>
          </cell>
        </row>
        <row r="4742">
          <cell r="A4742" t="str">
            <v>H1RR4E</v>
          </cell>
          <cell r="B4742" t="str">
            <v>FC 9x5 4年 ML10 Gen9用</v>
          </cell>
          <cell r="C4742" t="str">
            <v>【ファウンデーションケア】</v>
          </cell>
        </row>
        <row r="4743">
          <cell r="A4743" t="str">
            <v>H1RR5E</v>
          </cell>
          <cell r="B4743" t="str">
            <v>FC 9x5 HD返却不要 4年 ML10 Gen9用</v>
          </cell>
          <cell r="C4743" t="str">
            <v>【ファウンデーションケア】</v>
          </cell>
        </row>
        <row r="4744">
          <cell r="A4744" t="str">
            <v>H1RR6E</v>
          </cell>
          <cell r="B4744" t="str">
            <v>FC 9x5 5年 ML10 Gen9用</v>
          </cell>
          <cell r="C4744" t="str">
            <v>【ファウンデーションケア】</v>
          </cell>
        </row>
        <row r="4745">
          <cell r="A4745" t="str">
            <v>H1RR7E</v>
          </cell>
          <cell r="B4745" t="str">
            <v>FC 9x5 HD返却不要 5年 ML10 Gen9用</v>
          </cell>
          <cell r="C4745" t="str">
            <v>【ファウンデーションケア】</v>
          </cell>
        </row>
        <row r="4746">
          <cell r="A4746" t="str">
            <v>H1WW5E</v>
          </cell>
          <cell r="B4746" t="str">
            <v>FC 9x5 3年 IB EDR 36P Switch用</v>
          </cell>
          <cell r="C4746" t="str">
            <v>【ファウンデーションケア】</v>
          </cell>
        </row>
        <row r="4747">
          <cell r="A4747" t="str">
            <v>H1WX0E</v>
          </cell>
          <cell r="B4747" t="str">
            <v>FC 24x7 3年 IB EDR 36P Switch用</v>
          </cell>
          <cell r="C4747" t="str">
            <v>【ファウンデーションケア】</v>
          </cell>
        </row>
        <row r="4748">
          <cell r="A4748" t="str">
            <v>H1WX2E</v>
          </cell>
          <cell r="B4748" t="str">
            <v>PC 24x7 3年 IB EDR 36P Switch用</v>
          </cell>
          <cell r="C4748" t="str">
            <v>【HPEプロアクティブケア】メーカー推奨／低価格で国内専用窓口の高品質な保守により、システム運用における安心を提供します。</v>
          </cell>
        </row>
        <row r="4749">
          <cell r="A4749" t="str">
            <v>H1WY2E</v>
          </cell>
          <cell r="B4749" t="str">
            <v>FC 翌日 4年 IB EDR 36P Switch用</v>
          </cell>
          <cell r="C4749" t="str">
            <v>【ファウンデーションケア】</v>
          </cell>
        </row>
        <row r="4750">
          <cell r="A4750" t="str">
            <v>H1WY4E</v>
          </cell>
          <cell r="B4750" t="str">
            <v>FC 9x5 4年 IB EDR 36P Switch用</v>
          </cell>
          <cell r="C4750" t="str">
            <v>【ファウンデーションケア】</v>
          </cell>
        </row>
        <row r="4751">
          <cell r="A4751" t="str">
            <v>H1WY9E</v>
          </cell>
          <cell r="B4751" t="str">
            <v>FC 24x7 4年 IB EDR 36P Switch用</v>
          </cell>
          <cell r="C4751" t="str">
            <v>【ファウンデーションケア】</v>
          </cell>
        </row>
        <row r="4752">
          <cell r="A4752" t="str">
            <v>H1WZ1E</v>
          </cell>
          <cell r="B4752" t="str">
            <v>PC 24x7 4年 IB EDR 36P Switch用</v>
          </cell>
          <cell r="C4752" t="str">
            <v>【HPEプロアクティブケア】メーカー推奨／低価格で国内専用窓口の高品質な保守により、システム運用における安心を提供します。</v>
          </cell>
        </row>
        <row r="4753">
          <cell r="A4753" t="str">
            <v>H1XA1E</v>
          </cell>
          <cell r="B4753" t="str">
            <v>FC 翌日 5年 IB EDR 36P Switch用</v>
          </cell>
          <cell r="C4753" t="str">
            <v>【ファウンデーションケア】</v>
          </cell>
        </row>
        <row r="4754">
          <cell r="A4754" t="str">
            <v>H1XA3E</v>
          </cell>
          <cell r="B4754" t="str">
            <v>FC 9x5 5年 IB EDR 36P Switch用</v>
          </cell>
          <cell r="C4754" t="str">
            <v>【ファウンデーションケア】</v>
          </cell>
        </row>
        <row r="4755">
          <cell r="A4755" t="str">
            <v>H1XA8E</v>
          </cell>
          <cell r="B4755" t="str">
            <v>FC 24x7 5年 IB EDR 36P Switch用</v>
          </cell>
          <cell r="C4755" t="str">
            <v>【ファウンデーションケア】</v>
          </cell>
        </row>
        <row r="4756">
          <cell r="A4756" t="str">
            <v>H1XB0E</v>
          </cell>
          <cell r="B4756" t="str">
            <v>PC 24x7 5年 IB EDR 36P Switch用</v>
          </cell>
          <cell r="C4756" t="str">
            <v>【HPEプロアクティブケア】メーカー推奨／低価格で国内専用窓口の高品質な保守により、システム運用における安心を提供します。</v>
          </cell>
        </row>
        <row r="4757">
          <cell r="A4757" t="str">
            <v>H2EQ3PE</v>
          </cell>
          <cell r="B4757" t="str">
            <v>PW FC 翌日 1年 c7000 16OneView用</v>
          </cell>
          <cell r="C4757" t="str">
            <v>【ファウンデーションケア】</v>
          </cell>
        </row>
        <row r="4758">
          <cell r="A4758" t="str">
            <v>H2EQ5PE</v>
          </cell>
          <cell r="B4758" t="str">
            <v>PW FC 24x7 1年 c7000 16OneView用</v>
          </cell>
          <cell r="C4758" t="str">
            <v>【ファウンデーションケア】</v>
          </cell>
        </row>
        <row r="4759">
          <cell r="A4759" t="str">
            <v>H2ER1PE</v>
          </cell>
          <cell r="B4759" t="str">
            <v>PW PC 24x7 1年 c7000 16OneView用</v>
          </cell>
          <cell r="C4759" t="str">
            <v>【HPEプロアクティブケア】メーカー推奨／低価格で国内専用窓口の高品質な保守により、システム運用における安心を提供します。</v>
          </cell>
        </row>
        <row r="4760">
          <cell r="A4760" t="str">
            <v>H2ER5PE</v>
          </cell>
          <cell r="B4760" t="str">
            <v>PW FC 9x5 1年 c7000 16OneView用</v>
          </cell>
          <cell r="C4760" t="str">
            <v>【ファウンデーションケア】</v>
          </cell>
        </row>
        <row r="4761">
          <cell r="A4761" t="str">
            <v>H2EU6PE</v>
          </cell>
          <cell r="B4761" t="str">
            <v>PW FC 翌日 1年 BL460c Gen9用</v>
          </cell>
          <cell r="C4761" t="str">
            <v>【ファウンデーションケア】</v>
          </cell>
        </row>
        <row r="4762">
          <cell r="A4762" t="str">
            <v>H2EU9PE</v>
          </cell>
          <cell r="B4762" t="str">
            <v>PW FC 24x7 1年 BL460c Gen9用</v>
          </cell>
          <cell r="C4762" t="str">
            <v>【ファウンデーションケア】</v>
          </cell>
        </row>
        <row r="4763">
          <cell r="A4763" t="str">
            <v>H2EV0PE</v>
          </cell>
          <cell r="B4763" t="str">
            <v>PW FC 24x7 HD返却不要 1年 BL460c Gen9用</v>
          </cell>
          <cell r="C4763" t="str">
            <v>【ファウンデーションケア】</v>
          </cell>
        </row>
        <row r="4764">
          <cell r="A4764" t="str">
            <v>H2EV8PE</v>
          </cell>
          <cell r="B4764" t="str">
            <v>PW PC 24x7 1年 BL460c Gen9用</v>
          </cell>
          <cell r="C4764" t="str">
            <v>【HPEプロアクティブケア】メーカー推奨／低価格で国内専用窓口の高品質な保守により、システム運用における安心を提供します。</v>
          </cell>
        </row>
        <row r="4765">
          <cell r="A4765" t="str">
            <v>H2EV9PE</v>
          </cell>
          <cell r="B4765" t="str">
            <v>PW PC 24x7 HD返却不要 1年 BL460c Gen9用</v>
          </cell>
          <cell r="C4765" t="str">
            <v>【HPEプロアクティブケア】メーカー推奨／低価格で国内専用窓口の高品質な保守により、システム運用における安心を提供します。</v>
          </cell>
        </row>
        <row r="4766">
          <cell r="A4766" t="str">
            <v>H2EW4PE</v>
          </cell>
          <cell r="B4766" t="str">
            <v>PW FC 9x5 1年 BL460c Gen9用</v>
          </cell>
          <cell r="C4766" t="str">
            <v>【ファウンデーションケア】</v>
          </cell>
        </row>
        <row r="4767">
          <cell r="A4767" t="str">
            <v>H2EW5PE</v>
          </cell>
          <cell r="B4767" t="str">
            <v>PW FC 9x5 HD返却不要 1年 BL460c Gen9用</v>
          </cell>
          <cell r="C4767" t="str">
            <v>【ファウンデーションケア】</v>
          </cell>
        </row>
        <row r="4768">
          <cell r="A4768" t="str">
            <v>H5US4PE</v>
          </cell>
          <cell r="B4768" t="str">
            <v>PW FC 翌日 1年 DL580 Gen8用</v>
          </cell>
          <cell r="C4768" t="str">
            <v>【ファウンデーションケア】</v>
          </cell>
        </row>
        <row r="4769">
          <cell r="A4769" t="str">
            <v>H5US7PE</v>
          </cell>
          <cell r="B4769" t="str">
            <v>PW FC 24x7 1年 DL580 Gen8用</v>
          </cell>
          <cell r="C4769" t="str">
            <v>【ファウンデーションケア】</v>
          </cell>
        </row>
        <row r="4770">
          <cell r="A4770" t="str">
            <v>H5US8PE</v>
          </cell>
          <cell r="B4770" t="str">
            <v>PW FC 24x7 HD返却不要 1年 DL580 Gen8用</v>
          </cell>
          <cell r="C4770" t="str">
            <v>【ファウンデーションケア】</v>
          </cell>
        </row>
        <row r="4771">
          <cell r="A4771" t="str">
            <v>H5UT6PE</v>
          </cell>
          <cell r="B4771" t="str">
            <v>PW PC 24x7 1年 DL580 Gen8用</v>
          </cell>
          <cell r="C4771" t="str">
            <v>【HPEプロアクティブケア】メーカー推奨／低価格で国内専用窓口の高品質な保守により、システム運用における安心を提供します。</v>
          </cell>
        </row>
        <row r="4772">
          <cell r="A4772" t="str">
            <v>H5UT7PE</v>
          </cell>
          <cell r="B4772" t="str">
            <v>PW PC 24x7 HD返却不要 1年 DL580 Gen8用</v>
          </cell>
          <cell r="C4772" t="str">
            <v>【HPEプロアクティブケア】メーカー推奨／低価格で国内専用窓口の高品質な保守により、システム運用における安心を提供します。</v>
          </cell>
        </row>
        <row r="4773">
          <cell r="A4773" t="str">
            <v>H5UU2PE</v>
          </cell>
          <cell r="B4773" t="str">
            <v>PW FC 9x5 1年 DL580 Gen8用</v>
          </cell>
          <cell r="C4773" t="str">
            <v>【ファウンデーションケア】</v>
          </cell>
        </row>
        <row r="4774">
          <cell r="A4774" t="str">
            <v>H5UU3PE</v>
          </cell>
          <cell r="B4774" t="str">
            <v>PW FC 9x5 HD返却不要 1年 DL580 Gen8用</v>
          </cell>
          <cell r="C4774" t="str">
            <v>【ファウンデーションケア】</v>
          </cell>
        </row>
        <row r="4775">
          <cell r="A4775" t="str">
            <v>H5UU4PE</v>
          </cell>
          <cell r="B4775" t="str">
            <v>PW FC 翌日 1年 DL580 Gen8 IC用</v>
          </cell>
          <cell r="C4775" t="str">
            <v>【ファウンデーションケア】</v>
          </cell>
        </row>
        <row r="4776">
          <cell r="A4776" t="str">
            <v>H5UU7PE</v>
          </cell>
          <cell r="B4776" t="str">
            <v>PW FC 24x7 1年 DL580 Gen8 IC用</v>
          </cell>
          <cell r="C4776" t="str">
            <v>【ファウンデーションケア】</v>
          </cell>
        </row>
        <row r="4777">
          <cell r="A4777" t="str">
            <v>H5UU8PE</v>
          </cell>
          <cell r="B4777" t="str">
            <v>PW FC 24x7 HD返却不要 1年 DL580 Gen8 IC</v>
          </cell>
          <cell r="C4777" t="str">
            <v>【ファウンデーションケア】</v>
          </cell>
        </row>
        <row r="4778">
          <cell r="A4778" t="str">
            <v>H5UV6PE</v>
          </cell>
          <cell r="B4778" t="str">
            <v>PW PC 24x7 1年 DL580 Gen8 IC用</v>
          </cell>
          <cell r="C4778" t="str">
            <v>【HPEプロアクティブケア】メーカー推奨／低価格で国内専用窓口の高品質な保守により、システム運用における安心を提供します。</v>
          </cell>
        </row>
        <row r="4779">
          <cell r="A4779" t="str">
            <v>H5UV7PE</v>
          </cell>
          <cell r="B4779" t="str">
            <v>PW PC 24x7 HD返却不要 1年 DL580 Gen8 IC</v>
          </cell>
          <cell r="C4779" t="str">
            <v>【HPEプロアクティブケア】メーカー推奨／低価格で国内専用窓口の高品質な保守により、システム運用における安心を提供します。</v>
          </cell>
        </row>
        <row r="4780">
          <cell r="A4780" t="str">
            <v>H5UW2PE</v>
          </cell>
          <cell r="B4780" t="str">
            <v>PW FC 9x5 1年 DL580 Gen8 IC用</v>
          </cell>
          <cell r="C4780" t="str">
            <v>【ファウンデーションケア】</v>
          </cell>
        </row>
        <row r="4781">
          <cell r="A4781" t="str">
            <v>H5UW3PE</v>
          </cell>
          <cell r="B4781" t="str">
            <v>PW FC 9x5 HD返却不要 1年 DL580 Gen8 IC用</v>
          </cell>
          <cell r="C4781" t="str">
            <v>【ファウンデーションケア】</v>
          </cell>
        </row>
        <row r="4782">
          <cell r="A4782" t="str">
            <v>H6AK1E</v>
          </cell>
          <cell r="B4782" t="str">
            <v>FC 9x5 3年 TM200用</v>
          </cell>
          <cell r="C4782" t="str">
            <v>【ファウンデーションケア】</v>
          </cell>
        </row>
        <row r="4783">
          <cell r="A4783" t="str">
            <v>H6AK2E</v>
          </cell>
          <cell r="B4783" t="str">
            <v>FC 9x5 HD返却不要 3年 TM200用</v>
          </cell>
          <cell r="C4783" t="str">
            <v>【ファウンデーションケア】</v>
          </cell>
        </row>
        <row r="4784">
          <cell r="A4784" t="str">
            <v>H6AK6E</v>
          </cell>
          <cell r="B4784" t="str">
            <v>FC 24x7 3年 TM200用</v>
          </cell>
          <cell r="C4784" t="str">
            <v>【ファウンデーションケア】</v>
          </cell>
        </row>
        <row r="4785">
          <cell r="A4785" t="str">
            <v>H6AK7E</v>
          </cell>
          <cell r="B4785" t="str">
            <v>FC 24x7 HD返却不要 3年 TM200用</v>
          </cell>
          <cell r="C4785" t="str">
            <v>【ファウンデーションケア】</v>
          </cell>
        </row>
        <row r="4786">
          <cell r="A4786" t="str">
            <v>H6AL8E</v>
          </cell>
          <cell r="B4786" t="str">
            <v>FC 翌日 4年 TM200用</v>
          </cell>
          <cell r="C4786" t="str">
            <v>【ファウンデーションケア】</v>
          </cell>
        </row>
        <row r="4787">
          <cell r="A4787" t="str">
            <v>H6AM1E</v>
          </cell>
          <cell r="B4787" t="str">
            <v>FC 9x5 4年 TM200用</v>
          </cell>
          <cell r="C4787" t="str">
            <v>【ファウンデーションケア】</v>
          </cell>
        </row>
        <row r="4788">
          <cell r="A4788" t="str">
            <v>H6AM2E</v>
          </cell>
          <cell r="B4788" t="str">
            <v>FC 9x5 HD返却不要 4年 TM200用</v>
          </cell>
          <cell r="C4788" t="str">
            <v>【ファウンデーションケア】</v>
          </cell>
        </row>
        <row r="4789">
          <cell r="A4789" t="str">
            <v>H6AM6E</v>
          </cell>
          <cell r="B4789" t="str">
            <v>FC 24x7 4年 TM200用</v>
          </cell>
          <cell r="C4789" t="str">
            <v>【ファウンデーションケア】</v>
          </cell>
        </row>
        <row r="4790">
          <cell r="A4790" t="str">
            <v>H6AM7E</v>
          </cell>
          <cell r="B4790" t="str">
            <v>FC 24x7 HD返却不要 4年 TM200用</v>
          </cell>
          <cell r="C4790" t="str">
            <v>【ファウンデーションケア】</v>
          </cell>
        </row>
        <row r="4791">
          <cell r="A4791" t="str">
            <v>H6AN8E</v>
          </cell>
          <cell r="B4791" t="str">
            <v>FC 翌日 5年 TM200用</v>
          </cell>
          <cell r="C4791" t="str">
            <v>【ファウンデーションケア】</v>
          </cell>
        </row>
        <row r="4792">
          <cell r="A4792" t="str">
            <v>H6AP1E</v>
          </cell>
          <cell r="B4792" t="str">
            <v>FC 9x5 5年 TM200用</v>
          </cell>
          <cell r="C4792" t="str">
            <v>【ファウンデーションケア】</v>
          </cell>
        </row>
        <row r="4793">
          <cell r="A4793" t="str">
            <v>H6AP2E</v>
          </cell>
          <cell r="B4793" t="str">
            <v>FC 9x5 HD返却不要 5年 TM200用</v>
          </cell>
          <cell r="C4793" t="str">
            <v>【ファウンデーションケア】</v>
          </cell>
        </row>
        <row r="4794">
          <cell r="A4794" t="str">
            <v>H6AP6E</v>
          </cell>
          <cell r="B4794" t="str">
            <v>FC 24x7 5年 TM200用</v>
          </cell>
          <cell r="C4794" t="str">
            <v>【ファウンデーションケア】</v>
          </cell>
        </row>
        <row r="4795">
          <cell r="A4795" t="str">
            <v>H6AP7E</v>
          </cell>
          <cell r="B4795" t="str">
            <v>FC 24x7 HD返却不要 5年 TM200用</v>
          </cell>
          <cell r="C4795" t="str">
            <v>【ファウンデーションケア】</v>
          </cell>
        </row>
        <row r="4796">
          <cell r="A4796" t="str">
            <v>H6GX6PE</v>
          </cell>
          <cell r="B4796" t="str">
            <v>PW FC 翌日 1年 DL160 Gen9用</v>
          </cell>
          <cell r="C4796" t="str">
            <v>【ファウンデーションケア】</v>
          </cell>
        </row>
        <row r="4797">
          <cell r="A4797" t="str">
            <v>H6GX9PE</v>
          </cell>
          <cell r="B4797" t="str">
            <v>PW FC 9x5 1年 DL160 Gen9用</v>
          </cell>
          <cell r="C4797" t="str">
            <v>【ファウンデーションケア】</v>
          </cell>
        </row>
        <row r="4798">
          <cell r="A4798" t="str">
            <v>H6GY0PE</v>
          </cell>
          <cell r="B4798" t="str">
            <v>PW FC 9x5 HD返却不要 1年 DL160 Gen9用</v>
          </cell>
          <cell r="C4798" t="str">
            <v>【ファウンデーションケア】</v>
          </cell>
        </row>
        <row r="4799">
          <cell r="A4799" t="str">
            <v>H6GY4PE</v>
          </cell>
          <cell r="B4799" t="str">
            <v>PW FC 24x7 1年 DL160 Gen9用</v>
          </cell>
          <cell r="C4799" t="str">
            <v>【ファウンデーションケア】</v>
          </cell>
        </row>
        <row r="4800">
          <cell r="A4800" t="str">
            <v>H6GY5PE</v>
          </cell>
          <cell r="B4800" t="str">
            <v>PW FC 24x7 HD返却不要 1年 DL160 Gen9用</v>
          </cell>
          <cell r="C4800" t="str">
            <v>【ファウンデーションケア】</v>
          </cell>
        </row>
        <row r="4801">
          <cell r="A4801" t="str">
            <v>H6GY7PE</v>
          </cell>
          <cell r="B4801" t="str">
            <v>PW PC 24x7 1年 DL160 Gen9用</v>
          </cell>
          <cell r="C4801" t="str">
            <v>【HPEプロアクティブケア】メーカー推奨／低価格で国内専用窓口の高品質な保守により、システム運用における安心を提供します。</v>
          </cell>
        </row>
        <row r="4802">
          <cell r="A4802" t="str">
            <v>H6GY8PE</v>
          </cell>
          <cell r="B4802" t="str">
            <v>PW PC 24x7 HD返却不要 1年 DL160 Gen9用</v>
          </cell>
          <cell r="C4802" t="str">
            <v>【HPEプロアクティブケア】メーカー推奨／低価格で国内専用窓口の高品質な保守により、システム運用における安心を提供します。</v>
          </cell>
        </row>
        <row r="4803">
          <cell r="A4803" t="str">
            <v>H6GZ6PE</v>
          </cell>
          <cell r="B4803" t="str">
            <v>PW FC 翌日 1年 DL180 Gen9用</v>
          </cell>
          <cell r="C4803" t="str">
            <v>【ファウンデーションケア】</v>
          </cell>
        </row>
        <row r="4804">
          <cell r="A4804" t="str">
            <v>H6GZ9PE</v>
          </cell>
          <cell r="B4804" t="str">
            <v>PW FC 9x5 1年 DL180 Gen9用</v>
          </cell>
          <cell r="C4804" t="str">
            <v>【ファウンデーションケア】</v>
          </cell>
        </row>
        <row r="4805">
          <cell r="A4805" t="str">
            <v>H6HA0PE</v>
          </cell>
          <cell r="B4805" t="str">
            <v>PW FC 9x5 HD返却不要 1年 DL180 Gen9用</v>
          </cell>
          <cell r="C4805" t="str">
            <v>【ファウンデーションケア】</v>
          </cell>
        </row>
        <row r="4806">
          <cell r="A4806" t="str">
            <v>H6HA4PE</v>
          </cell>
          <cell r="B4806" t="str">
            <v>PW FC 24x7 1年 DL180 Gen9用</v>
          </cell>
          <cell r="C4806" t="str">
            <v>【ファウンデーションケア】</v>
          </cell>
        </row>
        <row r="4807">
          <cell r="A4807" t="str">
            <v>H6HA5PE</v>
          </cell>
          <cell r="B4807" t="str">
            <v>PW FC 24x7 HD返却不要 1年 DL180 Gen9用</v>
          </cell>
          <cell r="C4807" t="str">
            <v>【ファウンデーションケア】</v>
          </cell>
        </row>
        <row r="4808">
          <cell r="A4808" t="str">
            <v>H6HA7PE</v>
          </cell>
          <cell r="B4808" t="str">
            <v>PW PC 24x7 1年 DL180 Gen9用</v>
          </cell>
          <cell r="C4808" t="str">
            <v>【HPEプロアクティブケア】メーカー推奨／低価格で国内専用窓口の高品質な保守により、システム運用における安心を提供します。</v>
          </cell>
        </row>
        <row r="4809">
          <cell r="A4809" t="str">
            <v>H6HA8PE</v>
          </cell>
          <cell r="B4809" t="str">
            <v>PW PC 24x7 HD返却不要 1年 DL180 Gen9用</v>
          </cell>
          <cell r="C4809" t="str">
            <v>【HPEプロアクティブケア】メーカー推奨／低価格で国内専用窓口の高品質な保守により、システム運用における安心を提供します。</v>
          </cell>
        </row>
        <row r="4810">
          <cell r="A4810" t="str">
            <v>H6HB6PE</v>
          </cell>
          <cell r="B4810" t="str">
            <v>PW FC 翌日 1年 DL360 Gen9用</v>
          </cell>
          <cell r="C4810" t="str">
            <v>【ファウンデーションケア】</v>
          </cell>
        </row>
        <row r="4811">
          <cell r="A4811" t="str">
            <v>H6HB9PE</v>
          </cell>
          <cell r="B4811" t="str">
            <v>PW FC 9x5 1年 DL360 Gen9用</v>
          </cell>
          <cell r="C4811" t="str">
            <v>【ファウンデーションケア】</v>
          </cell>
        </row>
        <row r="4812">
          <cell r="A4812" t="str">
            <v>H6HC0PE</v>
          </cell>
          <cell r="B4812" t="str">
            <v>PW FC 9x5 HD返却不要 1年 DL360 Gen9用</v>
          </cell>
          <cell r="C4812" t="str">
            <v>【ファウンデーションケア】</v>
          </cell>
        </row>
        <row r="4813">
          <cell r="A4813" t="str">
            <v>H6HC4PE</v>
          </cell>
          <cell r="B4813" t="str">
            <v>PW FC 24x7 1年 DL360 Gen9用</v>
          </cell>
          <cell r="C4813" t="str">
            <v>【ファウンデーションケア】</v>
          </cell>
        </row>
        <row r="4814">
          <cell r="A4814" t="str">
            <v>H6HC5PE</v>
          </cell>
          <cell r="B4814" t="str">
            <v>PW FC 24x7 HD返却不要 1年 DL360 Gen9用</v>
          </cell>
          <cell r="C4814" t="str">
            <v>【ファウンデーションケア】</v>
          </cell>
        </row>
        <row r="4815">
          <cell r="A4815" t="str">
            <v>H6HC7PE</v>
          </cell>
          <cell r="B4815" t="str">
            <v>PW PC 24x7 1年 DL360 Gen9用</v>
          </cell>
          <cell r="C4815" t="str">
            <v>【HPEプロアクティブケア】メーカー推奨／低価格で国内専用窓口の高品質な保守により、システム運用における安心を提供します。</v>
          </cell>
        </row>
        <row r="4816">
          <cell r="A4816" t="str">
            <v>H6HC8PE</v>
          </cell>
          <cell r="B4816" t="str">
            <v>PW PC 24x7 HD返却不要 1年 DL360 Gen9用</v>
          </cell>
          <cell r="C4816" t="str">
            <v>【HPEプロアクティブケア】メーカー推奨／低価格で国内専用窓口の高品質な保守により、システム運用における安心を提供します。</v>
          </cell>
        </row>
        <row r="4817">
          <cell r="A4817" t="str">
            <v>H6HD6PE</v>
          </cell>
          <cell r="B4817" t="str">
            <v>PW FC 翌日 1年 DL380 Gen9用</v>
          </cell>
          <cell r="C4817" t="str">
            <v>【ファウンデーションケア】</v>
          </cell>
        </row>
        <row r="4818">
          <cell r="A4818" t="str">
            <v>H6HD9PE</v>
          </cell>
          <cell r="B4818" t="str">
            <v>PW FC 9x5 1年 DL380 Gen9用</v>
          </cell>
          <cell r="C4818" t="str">
            <v>【ファウンデーションケア】</v>
          </cell>
        </row>
        <row r="4819">
          <cell r="A4819" t="str">
            <v>H6HE0PE</v>
          </cell>
          <cell r="B4819" t="str">
            <v>PW FC 9x5 HD返却不要 1年 DL380 Gen9用</v>
          </cell>
          <cell r="C4819" t="str">
            <v>【ファウンデーションケア】</v>
          </cell>
        </row>
        <row r="4820">
          <cell r="A4820" t="str">
            <v>H6HE4PE</v>
          </cell>
          <cell r="B4820" t="str">
            <v>PW FC 24x7 1年 DL380 Gen9用</v>
          </cell>
          <cell r="C4820" t="str">
            <v>【ファウンデーションケア】</v>
          </cell>
        </row>
        <row r="4821">
          <cell r="A4821" t="str">
            <v>H6HE5PE</v>
          </cell>
          <cell r="B4821" t="str">
            <v>PW FC 24x7 HD返却不要 1年 DL380 Gen9用</v>
          </cell>
          <cell r="C4821" t="str">
            <v>【ファウンデーションケア】</v>
          </cell>
        </row>
        <row r="4822">
          <cell r="A4822" t="str">
            <v>H6HE7PE</v>
          </cell>
          <cell r="B4822" t="str">
            <v>PW PC 24x7 1年 DL380 Gen9用</v>
          </cell>
          <cell r="C4822" t="str">
            <v>【HPEプロアクティブケア】メーカー推奨／低価格で国内専用窓口の高品質な保守により、システム運用における安心を提供します。</v>
          </cell>
        </row>
        <row r="4823">
          <cell r="A4823" t="str">
            <v>H6HE8PE</v>
          </cell>
          <cell r="B4823" t="str">
            <v>PW PC 24x7 HD返却不要 1年 DL380 Gen9用</v>
          </cell>
          <cell r="C4823" t="str">
            <v>【HPEプロアクティブケア】メーカー推奨／低価格で国内専用窓口の高品質な保守により、システム運用における安心を提供します。</v>
          </cell>
        </row>
        <row r="4824">
          <cell r="A4824" t="str">
            <v>H6HF6PE</v>
          </cell>
          <cell r="B4824" t="str">
            <v>PW FC 翌日 1年 ML350 Gen9用</v>
          </cell>
          <cell r="C4824" t="str">
            <v>【ファウンデーションケア】</v>
          </cell>
        </row>
        <row r="4825">
          <cell r="A4825" t="str">
            <v>H6HF9PE</v>
          </cell>
          <cell r="B4825" t="str">
            <v>PW FC 9x5 1年 ML350 Gen9用</v>
          </cell>
          <cell r="C4825" t="str">
            <v>【ファウンデーションケア】</v>
          </cell>
        </row>
        <row r="4826">
          <cell r="A4826" t="str">
            <v>H6HG0PE</v>
          </cell>
          <cell r="B4826" t="str">
            <v>PW FC 9x5 HD返却不要 1年 ML350 Gen9用</v>
          </cell>
          <cell r="C4826" t="str">
            <v>【ファウンデーションケア】</v>
          </cell>
        </row>
        <row r="4827">
          <cell r="A4827" t="str">
            <v>H6HG4PE</v>
          </cell>
          <cell r="B4827" t="str">
            <v>PW FC 24x7 1年 ML350 Gen9用</v>
          </cell>
          <cell r="C4827" t="str">
            <v>【ファウンデーションケア】</v>
          </cell>
        </row>
        <row r="4828">
          <cell r="A4828" t="str">
            <v>H6HG5PE</v>
          </cell>
          <cell r="B4828" t="str">
            <v>PW FC 24x7 HD返却不要 1年 ML350 Gen9用</v>
          </cell>
          <cell r="C4828" t="str">
            <v>【ファウンデーションケア】</v>
          </cell>
        </row>
        <row r="4829">
          <cell r="A4829" t="str">
            <v>H6HG7PE</v>
          </cell>
          <cell r="B4829" t="str">
            <v>PW PC 24x7 1年 ML350 Gen9用</v>
          </cell>
          <cell r="C4829" t="str">
            <v>【HPEプロアクティブケア】メーカー推奨／低価格で国内専用窓口の高品質な保守により、システム運用における安心を提供します。</v>
          </cell>
        </row>
        <row r="4830">
          <cell r="A4830" t="str">
            <v>H6HG8PE</v>
          </cell>
          <cell r="B4830" t="str">
            <v>PW PC 24x7 HD返却不要 1年 ML350 Gen9用</v>
          </cell>
          <cell r="C4830" t="str">
            <v>【HPEプロアクティブケア】メーカー推奨／低価格で国内専用窓口の高品質な保守により、システム運用における安心を提供します。</v>
          </cell>
        </row>
        <row r="4831">
          <cell r="A4831" t="str">
            <v>H6KT8PE</v>
          </cell>
          <cell r="B4831" t="str">
            <v>PW FC 翌日 1年 ML10 Gen9用</v>
          </cell>
          <cell r="C4831" t="str">
            <v>【ファウンデーションケア】</v>
          </cell>
        </row>
        <row r="4832">
          <cell r="A4832" t="str">
            <v>H6KU1PE</v>
          </cell>
          <cell r="B4832" t="str">
            <v>PW FC 9x5 1年 ML10 Gen9用</v>
          </cell>
          <cell r="C4832" t="str">
            <v>【ファウンデーションケア】</v>
          </cell>
        </row>
        <row r="4833">
          <cell r="A4833" t="str">
            <v>H6KU2PE</v>
          </cell>
          <cell r="B4833" t="str">
            <v>PW FC 9x5 HD返却不要 1年 ML10 Gen9用</v>
          </cell>
          <cell r="C4833" t="str">
            <v>【ファウンデーションケア】</v>
          </cell>
        </row>
        <row r="4834">
          <cell r="A4834" t="str">
            <v>H6KU3PE</v>
          </cell>
          <cell r="B4834" t="str">
            <v>PW FC 24x7 1年 ML10 Gen9用</v>
          </cell>
          <cell r="C4834" t="str">
            <v>【ファウンデーションケア】</v>
          </cell>
        </row>
        <row r="4835">
          <cell r="A4835" t="str">
            <v>H6KU4PE</v>
          </cell>
          <cell r="B4835" t="str">
            <v>PW FC 24x7 HD返却不要 1年 ML10 Gen9用</v>
          </cell>
          <cell r="C4835" t="str">
            <v>【ファウンデーションケア】</v>
          </cell>
        </row>
        <row r="4836">
          <cell r="A4836" t="str">
            <v>H7LF8E</v>
          </cell>
          <cell r="B4836" t="str">
            <v>FC 翌日 3年 MicroServer Gen10用</v>
          </cell>
          <cell r="C4836" t="str">
            <v>【ファウンデーションケア】</v>
          </cell>
        </row>
        <row r="4837">
          <cell r="A4837" t="str">
            <v>H7LG1E</v>
          </cell>
          <cell r="B4837" t="str">
            <v>FC 9x5 3年 MicroServer Gen10用</v>
          </cell>
          <cell r="C4837" t="str">
            <v>【ファウンデーションケア】</v>
          </cell>
        </row>
        <row r="4838">
          <cell r="A4838" t="str">
            <v>H7LG2E</v>
          </cell>
          <cell r="B4838" t="str">
            <v>FC 9x5 HD返却不要 3年 MicroServer Gen10</v>
          </cell>
          <cell r="C4838" t="str">
            <v>【ファウンデーションケア】</v>
          </cell>
        </row>
        <row r="4839">
          <cell r="A4839" t="str">
            <v>H7LG3E</v>
          </cell>
          <cell r="B4839" t="str">
            <v>FC 24x7 3年 MicroServer Gen10用</v>
          </cell>
          <cell r="C4839" t="str">
            <v>【ファウンデーションケア】</v>
          </cell>
        </row>
        <row r="4840">
          <cell r="A4840" t="str">
            <v>H7LG4E</v>
          </cell>
          <cell r="B4840" t="str">
            <v>FC 24x7 HD返却不要 3年 MicroServer Gen10</v>
          </cell>
          <cell r="C4840" t="str">
            <v>【ファウンデーションケア】</v>
          </cell>
        </row>
        <row r="4841">
          <cell r="A4841" t="str">
            <v>H7LG6E</v>
          </cell>
          <cell r="B4841" t="str">
            <v>FC 翌日 4年 MicroServer Gen10用</v>
          </cell>
          <cell r="C4841" t="str">
            <v>【ファウンデーションケア】</v>
          </cell>
        </row>
        <row r="4842">
          <cell r="A4842" t="str">
            <v>H7LG9E</v>
          </cell>
          <cell r="B4842" t="str">
            <v>FC 9x5 4年 MicroServer Gen10用</v>
          </cell>
          <cell r="C4842" t="str">
            <v>【ファウンデーションケア】</v>
          </cell>
        </row>
        <row r="4843">
          <cell r="A4843" t="str">
            <v>H7LH0E</v>
          </cell>
          <cell r="B4843" t="str">
            <v>FC 9x5 HD返却不要 4年 MicroServer Gen10</v>
          </cell>
          <cell r="C4843" t="str">
            <v>【ファウンデーションケア】</v>
          </cell>
        </row>
        <row r="4844">
          <cell r="A4844" t="str">
            <v>H7LH1E</v>
          </cell>
          <cell r="B4844" t="str">
            <v>FC 24x7 4年 MicroServer Gen10用</v>
          </cell>
          <cell r="C4844" t="str">
            <v>【ファウンデーションケア】</v>
          </cell>
        </row>
        <row r="4845">
          <cell r="A4845" t="str">
            <v>H7LH2E</v>
          </cell>
          <cell r="B4845" t="str">
            <v>FC 24x7 HD返却不要 4年 MicroServer Gen10</v>
          </cell>
          <cell r="C4845" t="str">
            <v>【ファウンデーションケア】</v>
          </cell>
        </row>
        <row r="4846">
          <cell r="A4846" t="str">
            <v>H7LH4E</v>
          </cell>
          <cell r="B4846" t="str">
            <v>FC 翌日 5年 MicroServer Gen10用</v>
          </cell>
          <cell r="C4846" t="str">
            <v>【ファウンデーションケア】</v>
          </cell>
        </row>
        <row r="4847">
          <cell r="A4847" t="str">
            <v>H7LH7E</v>
          </cell>
          <cell r="B4847" t="str">
            <v>FC 9x5 5年 MicroServer Gen10用</v>
          </cell>
          <cell r="C4847" t="str">
            <v>【ファウンデーションケア】</v>
          </cell>
        </row>
        <row r="4848">
          <cell r="A4848" t="str">
            <v>H7LH8E</v>
          </cell>
          <cell r="B4848" t="str">
            <v>FC 9x5 HD返却不要 5年 MicroServer Gen10</v>
          </cell>
          <cell r="C4848" t="str">
            <v>【ファウンデーションケア】</v>
          </cell>
        </row>
        <row r="4849">
          <cell r="A4849" t="str">
            <v>H7LH9E</v>
          </cell>
          <cell r="B4849" t="str">
            <v>FC 24x7 5年 MicroServer Gen10用</v>
          </cell>
          <cell r="C4849" t="str">
            <v>【ファウンデーションケア】</v>
          </cell>
        </row>
        <row r="4850">
          <cell r="A4850" t="str">
            <v>H7LJ0E</v>
          </cell>
          <cell r="B4850" t="str">
            <v>FC 24x7 HD返却不要 5年 MicroServer Gen10</v>
          </cell>
          <cell r="C4850" t="str">
            <v>【ファウンデーションケア】</v>
          </cell>
        </row>
        <row r="4851">
          <cell r="A4851" t="str">
            <v>H7LT1E</v>
          </cell>
          <cell r="B4851" t="str">
            <v>FC 24x7 3年 BL460c Gen10用</v>
          </cell>
          <cell r="C4851" t="str">
            <v>【ファウンデーションケア】</v>
          </cell>
        </row>
        <row r="4852">
          <cell r="A4852" t="str">
            <v>H7LT2E</v>
          </cell>
          <cell r="B4852" t="str">
            <v>FC 24x7 HD返却不要 3年 BL460c Gen10用</v>
          </cell>
          <cell r="C4852" t="str">
            <v>【ファウンデーションケア】</v>
          </cell>
        </row>
        <row r="4853">
          <cell r="A4853" t="str">
            <v>H7LT4E</v>
          </cell>
          <cell r="B4853" t="str">
            <v>PC 24x7 3年 BL460c Gen10用</v>
          </cell>
          <cell r="C4853" t="str">
            <v>【HPEプロアクティブケア】メーカー推奨／低価格で国内専用窓口の高品質な保守により、システム運用における安心を提供します。</v>
          </cell>
        </row>
        <row r="4854">
          <cell r="A4854" t="str">
            <v>H7LT5E</v>
          </cell>
          <cell r="B4854" t="str">
            <v>PC 24x7 HD返却不要 3年 BL460c Gen10用</v>
          </cell>
          <cell r="C4854" t="str">
            <v>【HPEプロアクティブケア】メーカー推奨／低価格で国内専用窓口の高品質な保守により、システム運用における安心を提供します。</v>
          </cell>
        </row>
        <row r="4855">
          <cell r="A4855" t="str">
            <v>H7LU9E</v>
          </cell>
          <cell r="B4855" t="str">
            <v>FC 翌日 4年 BL460c Gen10用</v>
          </cell>
          <cell r="C4855" t="str">
            <v>【ファウンデーションケア】</v>
          </cell>
        </row>
        <row r="4856">
          <cell r="A4856" t="str">
            <v>H7LV8E</v>
          </cell>
          <cell r="B4856" t="str">
            <v>FC 24x7 4年 BL460c Gen10用</v>
          </cell>
          <cell r="C4856" t="str">
            <v>【ファウンデーションケア】</v>
          </cell>
        </row>
        <row r="4857">
          <cell r="A4857" t="str">
            <v>H7LV9E</v>
          </cell>
          <cell r="B4857" t="str">
            <v>FC 24x7 HD返却不要 4年 BL460c Gen10用</v>
          </cell>
          <cell r="C4857" t="str">
            <v>【ファウンデーションケア】</v>
          </cell>
        </row>
        <row r="4858">
          <cell r="A4858" t="str">
            <v>H7LW1E</v>
          </cell>
          <cell r="B4858" t="str">
            <v>PC 24x7 4年 BL460c Gen10用</v>
          </cell>
          <cell r="C4858" t="str">
            <v>【HPEプロアクティブケア】メーカー推奨／低価格で国内専用窓口の高品質な保守により、システム運用における安心を提供します。</v>
          </cell>
        </row>
        <row r="4859">
          <cell r="A4859" t="str">
            <v>H7LW2E</v>
          </cell>
          <cell r="B4859" t="str">
            <v>PC 24x7 HD返却不要 4年 BL460c Gen10用</v>
          </cell>
          <cell r="C4859" t="str">
            <v>【HPEプロアクティブケア】メーカー推奨／低価格で国内専用窓口の高品質な保守により、システム運用における安心を提供します。</v>
          </cell>
        </row>
        <row r="4860">
          <cell r="A4860" t="str">
            <v>H7LX6E</v>
          </cell>
          <cell r="B4860" t="str">
            <v>FC 翌日 5年 BL460c Gen10用</v>
          </cell>
          <cell r="C4860" t="str">
            <v>【ファウンデーションケア】</v>
          </cell>
        </row>
        <row r="4861">
          <cell r="A4861" t="str">
            <v>H7LY5E</v>
          </cell>
          <cell r="B4861" t="str">
            <v>FC 24x7 5年 BL460c Gen10用</v>
          </cell>
          <cell r="C4861" t="str">
            <v>【ファウンデーションケア】</v>
          </cell>
        </row>
        <row r="4862">
          <cell r="A4862" t="str">
            <v>H7LY6E</v>
          </cell>
          <cell r="B4862" t="str">
            <v>FC 24x7 HD返却不要 5年 BL460c Gen10用</v>
          </cell>
          <cell r="C4862" t="str">
            <v>【ファウンデーションケア】</v>
          </cell>
        </row>
        <row r="4863">
          <cell r="A4863" t="str">
            <v>H7LY8E</v>
          </cell>
          <cell r="B4863" t="str">
            <v>PC 24x7 5年 BL460c Gen10用</v>
          </cell>
          <cell r="C4863" t="str">
            <v>【HPEプロアクティブケア】メーカー推奨／低価格で国内専用窓口の高品質な保守により、システム運用における安心を提供します。</v>
          </cell>
        </row>
        <row r="4864">
          <cell r="A4864" t="str">
            <v>H7LY9E</v>
          </cell>
          <cell r="B4864" t="str">
            <v>PC 24x7 HD返却不要 5年 BL460c Gen10用</v>
          </cell>
          <cell r="C4864" t="str">
            <v>【HPEプロアクティブケア】メーカー推奨／低価格で国内専用窓口の高品質な保守により、システム運用における安心を提供します。</v>
          </cell>
        </row>
        <row r="4865">
          <cell r="A4865" t="str">
            <v>H7MA3E</v>
          </cell>
          <cell r="B4865" t="str">
            <v>FC 9x5 3年 BL460c Gen10用</v>
          </cell>
          <cell r="C4865" t="str">
            <v>【ファウンデーションケア】</v>
          </cell>
        </row>
        <row r="4866">
          <cell r="A4866" t="str">
            <v>H7MA4E</v>
          </cell>
          <cell r="B4866" t="str">
            <v>FC 9x5 HD返却不要 3年 BL460c Gen10用</v>
          </cell>
          <cell r="C4866" t="str">
            <v>【ファウンデーションケア】</v>
          </cell>
        </row>
        <row r="4867">
          <cell r="A4867" t="str">
            <v>H7MA5E</v>
          </cell>
          <cell r="B4867" t="str">
            <v>FC 9x5 4年 BL460c Gen10用</v>
          </cell>
          <cell r="C4867" t="str">
            <v>【ファウンデーションケア】</v>
          </cell>
        </row>
        <row r="4868">
          <cell r="A4868" t="str">
            <v>H7MA6E</v>
          </cell>
          <cell r="B4868" t="str">
            <v>FC 9x5 HD返却不要 4年 BL460c Gen10用</v>
          </cell>
          <cell r="C4868" t="str">
            <v>【ファウンデーションケア】</v>
          </cell>
        </row>
        <row r="4869">
          <cell r="A4869" t="str">
            <v>H7MA7E</v>
          </cell>
          <cell r="B4869" t="str">
            <v>FC 9x5 5年 BL460c Gen10用</v>
          </cell>
          <cell r="C4869" t="str">
            <v>【ファウンデーションケア】</v>
          </cell>
        </row>
        <row r="4870">
          <cell r="A4870" t="str">
            <v>H7MA8E</v>
          </cell>
          <cell r="B4870" t="str">
            <v>FC 9x5 HD返却不要 5年 BL460c Gen10用</v>
          </cell>
          <cell r="C4870" t="str">
            <v>【ファウンデーションケア】</v>
          </cell>
        </row>
        <row r="4871">
          <cell r="A4871" t="str">
            <v>H7MB8E</v>
          </cell>
          <cell r="B4871" t="str">
            <v>FC 24x7 3年 SY480 Gen10用</v>
          </cell>
          <cell r="C4871" t="str">
            <v>【ファウンデーションケア】</v>
          </cell>
        </row>
        <row r="4872">
          <cell r="A4872" t="str">
            <v>H7MB9E</v>
          </cell>
          <cell r="B4872" t="str">
            <v>FC 24x7 HD返却不要 3年 SY480 Gen10用</v>
          </cell>
          <cell r="C4872" t="str">
            <v>【ファウンデーションケア】</v>
          </cell>
        </row>
        <row r="4873">
          <cell r="A4873" t="str">
            <v>H7MC1E</v>
          </cell>
          <cell r="B4873" t="str">
            <v>PC 24x7 3年 SY480 Gen10用</v>
          </cell>
          <cell r="C4873" t="str">
            <v>【HPEプロアクティブケア】メーカー推奨／低価格で国内専用窓口の高品質な保守により、システム運用における安心を提供します。</v>
          </cell>
        </row>
        <row r="4874">
          <cell r="A4874" t="str">
            <v>H7MC2E</v>
          </cell>
          <cell r="B4874" t="str">
            <v>PC 24x7 HD返却不要 3年 SY480 Gen10用</v>
          </cell>
          <cell r="C4874" t="str">
            <v>【HPEプロアクティブケア】メーカー推奨／低価格で国内専用窓口の高品質な保守により、システム運用における安心を提供します。</v>
          </cell>
        </row>
        <row r="4875">
          <cell r="A4875" t="str">
            <v>H7ME5E</v>
          </cell>
          <cell r="B4875" t="str">
            <v>FC 24x7 4年 SY480 Gen10用</v>
          </cell>
          <cell r="C4875" t="str">
            <v>【ファウンデーションケア】</v>
          </cell>
        </row>
        <row r="4876">
          <cell r="A4876" t="str">
            <v>H7ME6E</v>
          </cell>
          <cell r="B4876" t="str">
            <v>FC 24x7 HD返却不要 4年 SY480 Gen10用</v>
          </cell>
          <cell r="C4876" t="str">
            <v>【ファウンデーションケア】</v>
          </cell>
        </row>
        <row r="4877">
          <cell r="A4877" t="str">
            <v>H7ME8E</v>
          </cell>
          <cell r="B4877" t="str">
            <v>PC 24x7 4年 SY480 Gen10用</v>
          </cell>
          <cell r="C4877" t="str">
            <v>【HPEプロアクティブケア】メーカー推奨／低価格で国内専用窓口の高品質な保守により、システム運用における安心を提供します。</v>
          </cell>
        </row>
        <row r="4878">
          <cell r="A4878" t="str">
            <v>H7ME9E</v>
          </cell>
          <cell r="B4878" t="str">
            <v>PC 24x7 HD返却不要 4年 SY480 Gen10用</v>
          </cell>
          <cell r="C4878" t="str">
            <v>【HPEプロアクティブケア】メーカー推奨／低価格で国内専用窓口の高品質な保守により、システム運用における安心を提供します。</v>
          </cell>
        </row>
        <row r="4879">
          <cell r="A4879" t="str">
            <v>H7MH2E</v>
          </cell>
          <cell r="B4879" t="str">
            <v>FC 24x7 5年 SY480 Gen10用</v>
          </cell>
          <cell r="C4879" t="str">
            <v>【ファウンデーションケア】</v>
          </cell>
        </row>
        <row r="4880">
          <cell r="A4880" t="str">
            <v>H7MH3E</v>
          </cell>
          <cell r="B4880" t="str">
            <v>FC 24x7 HD返却不要 5年 SY480 Gen10用</v>
          </cell>
          <cell r="C4880" t="str">
            <v>【ファウンデーションケア】</v>
          </cell>
        </row>
        <row r="4881">
          <cell r="A4881" t="str">
            <v>H7MH5E</v>
          </cell>
          <cell r="B4881" t="str">
            <v>PC 24x7 5年 SY480 Gen10用</v>
          </cell>
          <cell r="C4881" t="str">
            <v>【HPEプロアクティブケア】メーカー推奨／低価格で国内専用窓口の高品質な保守により、システム運用における安心を提供します。</v>
          </cell>
        </row>
        <row r="4882">
          <cell r="A4882" t="str">
            <v>H7MH6E</v>
          </cell>
          <cell r="B4882" t="str">
            <v>PC 24x7 HD返却不要 5年 SY480 Gen10用</v>
          </cell>
          <cell r="C4882" t="str">
            <v>【HPEプロアクティブケア】メーカー推奨／低価格で国内専用窓口の高品質な保守により、システム運用における安心を提供します。</v>
          </cell>
        </row>
        <row r="4883">
          <cell r="A4883" t="str">
            <v>H7MK0E</v>
          </cell>
          <cell r="B4883" t="str">
            <v>FC 9x5 3年 SY480 Gen10用</v>
          </cell>
          <cell r="C4883" t="str">
            <v>【ファウンデーションケア】</v>
          </cell>
        </row>
        <row r="4884">
          <cell r="A4884" t="str">
            <v>H7MK1E</v>
          </cell>
          <cell r="B4884" t="str">
            <v>FC 9x5 HD返却不要 3年 SY480 Gen10用</v>
          </cell>
          <cell r="C4884" t="str">
            <v>【ファウンデーションケア】</v>
          </cell>
        </row>
        <row r="4885">
          <cell r="A4885" t="str">
            <v>H7MK2E</v>
          </cell>
          <cell r="B4885" t="str">
            <v>FC 9x5 4年 SY480 Gen10用</v>
          </cell>
          <cell r="C4885" t="str">
            <v>【ファウンデーションケア】</v>
          </cell>
        </row>
        <row r="4886">
          <cell r="A4886" t="str">
            <v>H7MK3E</v>
          </cell>
          <cell r="B4886" t="str">
            <v>FC 9x5 HD返却不要 4年 SY480 Gen10用</v>
          </cell>
          <cell r="C4886" t="str">
            <v>【ファウンデーションケア】</v>
          </cell>
        </row>
        <row r="4887">
          <cell r="A4887" t="str">
            <v>H7MK4E</v>
          </cell>
          <cell r="B4887" t="str">
            <v>FC 9x5 5年 SY480 Gen10用</v>
          </cell>
          <cell r="C4887" t="str">
            <v>【ファウンデーションケア】</v>
          </cell>
        </row>
        <row r="4888">
          <cell r="A4888" t="str">
            <v>H7MK5E</v>
          </cell>
          <cell r="B4888" t="str">
            <v>FC 9x5 HD返却不要 5年 SY480 Gen10用</v>
          </cell>
          <cell r="C4888" t="str">
            <v>【ファウンデーションケア】</v>
          </cell>
        </row>
        <row r="4889">
          <cell r="A4889" t="str">
            <v>H7ML5E</v>
          </cell>
          <cell r="B4889" t="str">
            <v>FC 24x7 3年 SY660 Gen10用</v>
          </cell>
          <cell r="C4889" t="str">
            <v>【ファウンデーションケア】</v>
          </cell>
        </row>
        <row r="4890">
          <cell r="A4890" t="str">
            <v>H7ML6E</v>
          </cell>
          <cell r="B4890" t="str">
            <v>FC 24x7 HD返却不要 3年 SY660 Gen10用</v>
          </cell>
          <cell r="C4890" t="str">
            <v>【ファウンデーションケア】</v>
          </cell>
        </row>
        <row r="4891">
          <cell r="A4891" t="str">
            <v>H7ML8E</v>
          </cell>
          <cell r="B4891" t="str">
            <v>PC 24x7 3年 SY660 Gen10用</v>
          </cell>
          <cell r="C4891" t="str">
            <v>【HPEプロアクティブケア】メーカー推奨／低価格で国内専用窓口の高品質な保守により、システム運用における安心を提供します。</v>
          </cell>
        </row>
        <row r="4892">
          <cell r="A4892" t="str">
            <v>H7ML9E</v>
          </cell>
          <cell r="B4892" t="str">
            <v>PC 24x7 HD返却不要 3年 SY660 Gen10用</v>
          </cell>
          <cell r="C4892" t="str">
            <v>【HPEプロアクティブケア】メーカー推奨／低価格で国内専用窓口の高品質な保守により、システム運用における安心を提供します。</v>
          </cell>
        </row>
        <row r="4893">
          <cell r="A4893" t="str">
            <v>H7MP2E</v>
          </cell>
          <cell r="B4893" t="str">
            <v>FC 24x7 4年 SY660 Gen10用</v>
          </cell>
          <cell r="C4893" t="str">
            <v>【ファウンデーションケア】</v>
          </cell>
        </row>
        <row r="4894">
          <cell r="A4894" t="str">
            <v>H7MP3E</v>
          </cell>
          <cell r="B4894" t="str">
            <v>FC 24x7 HD返却不要 4年 SY660 Gen10用</v>
          </cell>
          <cell r="C4894" t="str">
            <v>【ファウンデーションケア】</v>
          </cell>
        </row>
        <row r="4895">
          <cell r="A4895" t="str">
            <v>H7MP5E</v>
          </cell>
          <cell r="B4895" t="str">
            <v>PC 24x7 4年 SY660 Gen10用</v>
          </cell>
          <cell r="C4895" t="str">
            <v>【HPEプロアクティブケア】メーカー推奨／低価格で国内専用窓口の高品質な保守により、システム運用における安心を提供します。</v>
          </cell>
        </row>
        <row r="4896">
          <cell r="A4896" t="str">
            <v>H7MP6E</v>
          </cell>
          <cell r="B4896" t="str">
            <v>PC 24x7 HD返却不要 4年 SY660 Gen10用</v>
          </cell>
          <cell r="C4896" t="str">
            <v>【HPEプロアクティブケア】メーカー推奨／低価格で国内専用窓口の高品質な保守により、システム運用における安心を提供します。</v>
          </cell>
        </row>
        <row r="4897">
          <cell r="A4897" t="str">
            <v>H7MR9E</v>
          </cell>
          <cell r="B4897" t="str">
            <v>FC 24x7 5年 SY660 Gen10用</v>
          </cell>
          <cell r="C4897" t="str">
            <v>【ファウンデーションケア】</v>
          </cell>
        </row>
        <row r="4898">
          <cell r="A4898" t="str">
            <v>H7MS0E</v>
          </cell>
          <cell r="B4898" t="str">
            <v>FC 24x7 HD返却不要 5年 SY660 Gen10用</v>
          </cell>
          <cell r="C4898" t="str">
            <v>【ファウンデーションケア】</v>
          </cell>
        </row>
        <row r="4899">
          <cell r="A4899" t="str">
            <v>H7MS2E</v>
          </cell>
          <cell r="B4899" t="str">
            <v>PC 24x7 5年 SY660 Gen10用</v>
          </cell>
          <cell r="C4899" t="str">
            <v>【HPEプロアクティブケア】メーカー推奨／低価格で国内専用窓口の高品質な保守により、システム運用における安心を提供します。</v>
          </cell>
        </row>
        <row r="4900">
          <cell r="A4900" t="str">
            <v>H7MS3E</v>
          </cell>
          <cell r="B4900" t="str">
            <v>PC 24x7 HD返却不要 5年 SY660 Gen10用</v>
          </cell>
          <cell r="C4900" t="str">
            <v>【HPEプロアクティブケア】メーカー推奨／低価格で国内専用窓口の高品質な保守により、システム運用における安心を提供します。</v>
          </cell>
        </row>
        <row r="4901">
          <cell r="A4901" t="str">
            <v>H7MT7E</v>
          </cell>
          <cell r="B4901" t="str">
            <v>FC 9x5 3年 SY660 Gen10用</v>
          </cell>
          <cell r="C4901" t="str">
            <v>【ファウンデーションケア】</v>
          </cell>
        </row>
        <row r="4902">
          <cell r="A4902" t="str">
            <v>H7MT8E</v>
          </cell>
          <cell r="B4902" t="str">
            <v>FC 9x5 HD返却不要 3年 SY660 Gen10用</v>
          </cell>
          <cell r="C4902" t="str">
            <v>【ファウンデーションケア】</v>
          </cell>
        </row>
        <row r="4903">
          <cell r="A4903" t="str">
            <v>H7MT9E</v>
          </cell>
          <cell r="B4903" t="str">
            <v>FC 9x5 4年 SY660 Gen10用</v>
          </cell>
          <cell r="C4903" t="str">
            <v>【ファウンデーションケア】</v>
          </cell>
        </row>
        <row r="4904">
          <cell r="A4904" t="str">
            <v>H7MU0E</v>
          </cell>
          <cell r="B4904" t="str">
            <v>FC 9x5 HD返却不要 4年 SY660 Gen10用</v>
          </cell>
          <cell r="C4904" t="str">
            <v>【ファウンデーションケア】</v>
          </cell>
        </row>
        <row r="4905">
          <cell r="A4905" t="str">
            <v>H7MU1E</v>
          </cell>
          <cell r="B4905" t="str">
            <v>FC 9x5 5年 SY660 Gen10用</v>
          </cell>
          <cell r="C4905" t="str">
            <v>【ファウンデーションケア】</v>
          </cell>
        </row>
        <row r="4906">
          <cell r="A4906" t="str">
            <v>H7MU2E</v>
          </cell>
          <cell r="B4906" t="str">
            <v>FC 9x5 HD返却不要 5年 SY660 Gen10用</v>
          </cell>
          <cell r="C4906" t="str">
            <v>【ファウンデーションケア】</v>
          </cell>
        </row>
        <row r="4907">
          <cell r="A4907" t="str">
            <v>H7MU9E</v>
          </cell>
          <cell r="B4907" t="str">
            <v>FC 24x7 3年 SH2200 Switch Module用</v>
          </cell>
          <cell r="C4907" t="str">
            <v>【ファウンデーションケア】</v>
          </cell>
        </row>
        <row r="4908">
          <cell r="A4908" t="str">
            <v>H7MV1E</v>
          </cell>
          <cell r="B4908" t="str">
            <v>PC 24x7 3年 SH2200 Switch Module用</v>
          </cell>
          <cell r="C4908" t="str">
            <v>【HPEプロアクティブケア】メーカー推奨／低価格で国内専用窓口の高品質な保守により、システム運用における安心を提供します。</v>
          </cell>
        </row>
        <row r="4909">
          <cell r="A4909" t="str">
            <v>H7MW7E</v>
          </cell>
          <cell r="B4909" t="str">
            <v>FC 24x7 4年 SH2200 Switch Module用</v>
          </cell>
          <cell r="C4909" t="str">
            <v>【ファウンデーションケア】</v>
          </cell>
        </row>
        <row r="4910">
          <cell r="A4910" t="str">
            <v>H7MW9E</v>
          </cell>
          <cell r="B4910" t="str">
            <v>PC 24x7 4年 SH2200 Switch Module用</v>
          </cell>
          <cell r="C4910" t="str">
            <v>【HPEプロアクティブケア】メーカー推奨／低価格で国内専用窓口の高品質な保守により、システム運用における安心を提供します。</v>
          </cell>
        </row>
        <row r="4911">
          <cell r="A4911" t="str">
            <v>H7MY5E</v>
          </cell>
          <cell r="B4911" t="str">
            <v>FC 24x7 5年 SH2200 Switch Module用</v>
          </cell>
          <cell r="C4911" t="str">
            <v>【ファウンデーションケア】</v>
          </cell>
        </row>
        <row r="4912">
          <cell r="A4912" t="str">
            <v>H7MY7E</v>
          </cell>
          <cell r="B4912" t="str">
            <v>PC 24x7 5年 SH2200 Switch Module用</v>
          </cell>
          <cell r="C4912" t="str">
            <v>【HPEプロアクティブケア】メーカー推奨／低価格で国内専用窓口の高品質な保守により、システム運用における安心を提供します。</v>
          </cell>
        </row>
        <row r="4913">
          <cell r="A4913" t="str">
            <v>H7MZ7E</v>
          </cell>
          <cell r="B4913" t="str">
            <v>FC 9x5 3年 SH2200 Switch Module用</v>
          </cell>
          <cell r="C4913" t="str">
            <v>【ファウンデーションケア】</v>
          </cell>
        </row>
        <row r="4914">
          <cell r="A4914" t="str">
            <v>H7MZ8E</v>
          </cell>
          <cell r="B4914" t="str">
            <v>FC 9x5 4年 SH2200 Switch Module用</v>
          </cell>
          <cell r="C4914" t="str">
            <v>【ファウンデーションケア】</v>
          </cell>
        </row>
        <row r="4915">
          <cell r="A4915" t="str">
            <v>H7MZ9E</v>
          </cell>
          <cell r="B4915" t="str">
            <v>FC 9x5 5年 SH2200 Switch Module用</v>
          </cell>
          <cell r="C4915" t="str">
            <v>【ファウンデーションケア】</v>
          </cell>
        </row>
        <row r="4916">
          <cell r="A4916" t="str">
            <v>H7NM7E</v>
          </cell>
          <cell r="B4916" t="str">
            <v>FC 9x5 6年 DL360 Gen10用</v>
          </cell>
          <cell r="C4916" t="str">
            <v>【ファウンデーションケア】</v>
          </cell>
        </row>
        <row r="4917">
          <cell r="A4917" t="str">
            <v>H7NM8E</v>
          </cell>
          <cell r="B4917" t="str">
            <v>FC 9x5 HD返却不要 6年 DL360 Gen10用</v>
          </cell>
          <cell r="C4917" t="str">
            <v>【ファウンデーションケア】</v>
          </cell>
        </row>
        <row r="4918">
          <cell r="A4918" t="str">
            <v>H7NM9E</v>
          </cell>
          <cell r="B4918" t="str">
            <v>FC 24x7 6年 DL360 Gen10用</v>
          </cell>
          <cell r="C4918" t="str">
            <v>【ファウンデーションケア】</v>
          </cell>
        </row>
        <row r="4919">
          <cell r="A4919" t="str">
            <v>H7NN0E</v>
          </cell>
          <cell r="B4919" t="str">
            <v>FC 24x7 HD返却不要 6年 DL360 Gen10用</v>
          </cell>
          <cell r="C4919" t="str">
            <v>【ファウンデーションケア】</v>
          </cell>
        </row>
        <row r="4920">
          <cell r="A4920" t="str">
            <v>H7NN3E</v>
          </cell>
          <cell r="B4920" t="str">
            <v>PC 24x7 6年 DL360 Gen10用</v>
          </cell>
          <cell r="C4920" t="str">
            <v>【HPEプロアクティブケア】メーカー推奨／低価格で国内専用窓口の高品質な保守により、システム運用における安心を提供します。</v>
          </cell>
        </row>
        <row r="4921">
          <cell r="A4921" t="str">
            <v>H7NN4E</v>
          </cell>
          <cell r="B4921" t="str">
            <v>PC 24x7 HD返却不要 6年 DL360 Gen10用</v>
          </cell>
          <cell r="C4921" t="str">
            <v>【HPEプロアクティブケア】メーカー推奨／低価格で国内専用窓口の高品質な保守により、システム運用における安心を提供します。</v>
          </cell>
        </row>
        <row r="4922">
          <cell r="A4922" t="str">
            <v>H7NN7E</v>
          </cell>
          <cell r="B4922" t="str">
            <v>FC 9x5 7年 DL360 Gen10用</v>
          </cell>
          <cell r="C4922" t="str">
            <v>【ファウンデーションケア】</v>
          </cell>
        </row>
        <row r="4923">
          <cell r="A4923" t="str">
            <v>H7NN8E</v>
          </cell>
          <cell r="B4923" t="str">
            <v>FC 9x5 HD返却不要 7年 DL360 Gen10用</v>
          </cell>
          <cell r="C4923" t="str">
            <v>【ファウンデーションケア】</v>
          </cell>
        </row>
        <row r="4924">
          <cell r="A4924" t="str">
            <v>H7NN9E</v>
          </cell>
          <cell r="B4924" t="str">
            <v>FC 24x7 7年 DL360 Gen10用</v>
          </cell>
          <cell r="C4924" t="str">
            <v>【ファウンデーションケア】</v>
          </cell>
        </row>
        <row r="4925">
          <cell r="A4925" t="str">
            <v>H7NP0E</v>
          </cell>
          <cell r="B4925" t="str">
            <v>FC 24x7 HD返却不要 7年 DL360 Gen10用</v>
          </cell>
          <cell r="C4925" t="str">
            <v>【ファウンデーションケア】</v>
          </cell>
        </row>
        <row r="4926">
          <cell r="A4926" t="str">
            <v>H7NP3E</v>
          </cell>
          <cell r="B4926" t="str">
            <v>PC 24x7 7年 DL360 Gen10用</v>
          </cell>
          <cell r="C4926" t="str">
            <v>【HPEプロアクティブケア】メーカー推奨／低価格で国内専用窓口の高品質な保守により、システム運用における安心を提供します。</v>
          </cell>
        </row>
        <row r="4927">
          <cell r="A4927" t="str">
            <v>H7NP4E</v>
          </cell>
          <cell r="B4927" t="str">
            <v>PC 24x7 HD返却不要 7年 DL360 Gen10用</v>
          </cell>
          <cell r="C4927" t="str">
            <v>【HPEプロアクティブケア】メーカー推奨／低価格で国内専用窓口の高品質な保守により、システム運用における安心を提供します。</v>
          </cell>
        </row>
        <row r="4928">
          <cell r="A4928" t="str">
            <v>H7NP7E</v>
          </cell>
          <cell r="B4928" t="str">
            <v>FC 9x5 6年 DL380 Gen10用</v>
          </cell>
          <cell r="C4928" t="str">
            <v>【ファウンデーションケア】</v>
          </cell>
        </row>
        <row r="4929">
          <cell r="A4929" t="str">
            <v>H7NP8E</v>
          </cell>
          <cell r="B4929" t="str">
            <v>FC 9x5 HD返却不要 6年 DL380 Gen10用</v>
          </cell>
          <cell r="C4929" t="str">
            <v>【ファウンデーションケア】</v>
          </cell>
        </row>
        <row r="4930">
          <cell r="A4930" t="str">
            <v>H7NP9E</v>
          </cell>
          <cell r="B4930" t="str">
            <v>FC 24x7 6年 DL380 Gen10用</v>
          </cell>
          <cell r="C4930" t="str">
            <v>【ファウンデーションケア】</v>
          </cell>
        </row>
        <row r="4931">
          <cell r="A4931" t="str">
            <v>H7NQ0E</v>
          </cell>
          <cell r="B4931" t="str">
            <v>FC 24x7 HD返却不要 6年 DL380 Gen10用</v>
          </cell>
          <cell r="C4931" t="str">
            <v>【ファウンデーションケア】</v>
          </cell>
        </row>
        <row r="4932">
          <cell r="A4932" t="str">
            <v>H7NQ3E</v>
          </cell>
          <cell r="B4932" t="str">
            <v>PC 24x7 6年 DL380 Gen10用</v>
          </cell>
          <cell r="C4932" t="str">
            <v>【HPEプロアクティブケア】メーカー推奨／低価格で国内専用窓口の高品質な保守により、システム運用における安心を提供します。</v>
          </cell>
        </row>
        <row r="4933">
          <cell r="A4933" t="str">
            <v>H7NQ4E</v>
          </cell>
          <cell r="B4933" t="str">
            <v>PC 24x7 HD返却不要 6年 DL380 Gen10用</v>
          </cell>
          <cell r="C4933" t="str">
            <v>【HPEプロアクティブケア】メーカー推奨／低価格で国内専用窓口の高品質な保守により、システム運用における安心を提供します。</v>
          </cell>
        </row>
        <row r="4934">
          <cell r="A4934" t="str">
            <v>H7NQ7E</v>
          </cell>
          <cell r="B4934" t="str">
            <v>FC 9x5 7年 DL380 Gen10用</v>
          </cell>
          <cell r="C4934" t="str">
            <v>【ファウンデーションケア】</v>
          </cell>
        </row>
        <row r="4935">
          <cell r="A4935" t="str">
            <v>H7NQ8E</v>
          </cell>
          <cell r="B4935" t="str">
            <v>FC 9x5 HD返却不要 7年 DL380 Gen10用</v>
          </cell>
          <cell r="C4935" t="str">
            <v>【ファウンデーションケア】</v>
          </cell>
        </row>
        <row r="4936">
          <cell r="A4936" t="str">
            <v>H7NQ9E</v>
          </cell>
          <cell r="B4936" t="str">
            <v>FC 24x7 7年 DL380 Gen10用</v>
          </cell>
          <cell r="C4936" t="str">
            <v>【ファウンデーションケア】</v>
          </cell>
        </row>
        <row r="4937">
          <cell r="A4937" t="str">
            <v>H7NR0E</v>
          </cell>
          <cell r="B4937" t="str">
            <v>FC 24x7 HD返却不要 7年 DL380 Gen10用</v>
          </cell>
          <cell r="C4937" t="str">
            <v>【ファウンデーションケア】</v>
          </cell>
        </row>
        <row r="4938">
          <cell r="A4938" t="str">
            <v>H7NR3E</v>
          </cell>
          <cell r="B4938" t="str">
            <v>PC 24x7 7年 DL380 Gen10用</v>
          </cell>
          <cell r="C4938" t="str">
            <v>【HPEプロアクティブケア】メーカー推奨／低価格で国内専用窓口の高品質な保守により、システム運用における安心を提供します。</v>
          </cell>
        </row>
        <row r="4939">
          <cell r="A4939" t="str">
            <v>H7NR4E</v>
          </cell>
          <cell r="B4939" t="str">
            <v>PC 24x7 HD返却不要 7年 DL380 Gen10用</v>
          </cell>
          <cell r="C4939" t="str">
            <v>【HPEプロアクティブケア】メーカー推奨／低価格で国内専用窓口の高品質な保守により、システム運用における安心を提供します。</v>
          </cell>
        </row>
        <row r="4940">
          <cell r="A4940" t="str">
            <v>H7NR5E</v>
          </cell>
          <cell r="B4940" t="str">
            <v>FC 翌日 6年 BL460c Gen10用</v>
          </cell>
          <cell r="C4940" t="str">
            <v>【ファウンデーションケア】</v>
          </cell>
        </row>
        <row r="4941">
          <cell r="A4941" t="str">
            <v>H7NR7E</v>
          </cell>
          <cell r="B4941" t="str">
            <v>FC 9x5 6年 BL460c Gen10用</v>
          </cell>
          <cell r="C4941" t="str">
            <v>【ファウンデーションケア】</v>
          </cell>
        </row>
        <row r="4942">
          <cell r="A4942" t="str">
            <v>H7NR8E</v>
          </cell>
          <cell r="B4942" t="str">
            <v>FC 9x5 HD返却不要 6年 BL460c Gen10用</v>
          </cell>
          <cell r="C4942" t="str">
            <v>【ファウンデーションケア】</v>
          </cell>
        </row>
        <row r="4943">
          <cell r="A4943" t="str">
            <v>H7NR9E</v>
          </cell>
          <cell r="B4943" t="str">
            <v>FC 24x7 6年 BL460c Gen10用</v>
          </cell>
          <cell r="C4943" t="str">
            <v>【ファウンデーションケア】</v>
          </cell>
        </row>
        <row r="4944">
          <cell r="A4944" t="str">
            <v>H7NS0E</v>
          </cell>
          <cell r="B4944" t="str">
            <v>FC 24x7 HD返却不要 6年 BL460c Gen10用</v>
          </cell>
          <cell r="C4944" t="str">
            <v>【ファウンデーションケア】</v>
          </cell>
        </row>
        <row r="4945">
          <cell r="A4945" t="str">
            <v>H7NS3E</v>
          </cell>
          <cell r="B4945" t="str">
            <v>PC 24x7 6年 BL460c Gen10用</v>
          </cell>
          <cell r="C4945" t="str">
            <v>【HPEプロアクティブケア】メーカー推奨／低価格で国内専用窓口の高品質な保守により、システム運用における安心を提供します。</v>
          </cell>
        </row>
        <row r="4946">
          <cell r="A4946" t="str">
            <v>H7NS4E</v>
          </cell>
          <cell r="B4946" t="str">
            <v>PC 24x7 HD返却不要 6年 BL460c Gen10用</v>
          </cell>
          <cell r="C4946" t="str">
            <v>【HPEプロアクティブケア】メーカー推奨／低価格で国内専用窓口の高品質な保守により、システム運用における安心を提供します。</v>
          </cell>
        </row>
        <row r="4947">
          <cell r="A4947" t="str">
            <v>H7NS5E</v>
          </cell>
          <cell r="B4947" t="str">
            <v>FC 翌日 7年 BL460c Gen10用</v>
          </cell>
          <cell r="C4947" t="str">
            <v>【ファウンデーションケア】</v>
          </cell>
        </row>
        <row r="4948">
          <cell r="A4948" t="str">
            <v>H7NS7E</v>
          </cell>
          <cell r="B4948" t="str">
            <v>FC 9x5 7年 BL460c Gen10用</v>
          </cell>
          <cell r="C4948" t="str">
            <v>【ファウンデーションケア】</v>
          </cell>
        </row>
        <row r="4949">
          <cell r="A4949" t="str">
            <v>H7NS8E</v>
          </cell>
          <cell r="B4949" t="str">
            <v>FC 9x5 HD返却不要 7年 BL460c Gen10用</v>
          </cell>
          <cell r="C4949" t="str">
            <v>【ファウンデーションケア】</v>
          </cell>
        </row>
        <row r="4950">
          <cell r="A4950" t="str">
            <v>H7NS9E</v>
          </cell>
          <cell r="B4950" t="str">
            <v>FC 24x7 7年 BL460c Gen10用</v>
          </cell>
          <cell r="C4950" t="str">
            <v>【ファウンデーションケア】</v>
          </cell>
        </row>
        <row r="4951">
          <cell r="A4951" t="str">
            <v>H7NT0E</v>
          </cell>
          <cell r="B4951" t="str">
            <v>FC 24x7 HD返却不要 7年 BL460c Gen10用</v>
          </cell>
          <cell r="C4951" t="str">
            <v>【ファウンデーションケア】</v>
          </cell>
        </row>
        <row r="4952">
          <cell r="A4952" t="str">
            <v>H7NT3E</v>
          </cell>
          <cell r="B4952" t="str">
            <v>PC 24x7 7年 BL460c Gen10用</v>
          </cell>
          <cell r="C4952" t="str">
            <v>【HPEプロアクティブケア】メーカー推奨／低価格で国内専用窓口の高品質な保守により、システム運用における安心を提供します。</v>
          </cell>
        </row>
        <row r="4953">
          <cell r="A4953" t="str">
            <v>H7NT4E</v>
          </cell>
          <cell r="B4953" t="str">
            <v>PC 24x7 HD返却不要 7年 BL460c Gen10用</v>
          </cell>
          <cell r="C4953" t="str">
            <v>【HPEプロアクティブケア】メーカー推奨／低価格で国内専用窓口の高品質な保守により、システム運用における安心を提供します。</v>
          </cell>
        </row>
        <row r="4954">
          <cell r="A4954" t="str">
            <v>H7NT5E</v>
          </cell>
          <cell r="B4954" t="str">
            <v>FC 翌日 6年 BladeSys c7000 Encl用</v>
          </cell>
          <cell r="C4954" t="str">
            <v>【ファウンデーションケア】</v>
          </cell>
        </row>
        <row r="4955">
          <cell r="A4955" t="str">
            <v>H7NT6E</v>
          </cell>
          <cell r="B4955" t="str">
            <v>FC 9x5 6年 BladeSys c7000 Encl用</v>
          </cell>
          <cell r="C4955" t="str">
            <v>【ファウンデーションケア】</v>
          </cell>
        </row>
        <row r="4956">
          <cell r="A4956" t="str">
            <v>H7NT7E</v>
          </cell>
          <cell r="B4956" t="str">
            <v>FC 24x7 6年 BladeSys c7000 Encl用</v>
          </cell>
          <cell r="C4956" t="str">
            <v>【ファウンデーションケア】</v>
          </cell>
        </row>
        <row r="4957">
          <cell r="A4957" t="str">
            <v>H7NT9E</v>
          </cell>
          <cell r="B4957" t="str">
            <v>PC 24x7 6年 BladeSys c7000 Encl用</v>
          </cell>
          <cell r="C4957" t="str">
            <v>【HPEプロアクティブケア】メーカー推奨／低価格で国内専用窓口の高品質な保守により、システム運用における安心を提供します。</v>
          </cell>
        </row>
        <row r="4958">
          <cell r="A4958" t="str">
            <v>H7NU0E</v>
          </cell>
          <cell r="B4958" t="str">
            <v>FC 翌日 7年 BladeSys c7000 Encl用</v>
          </cell>
          <cell r="C4958" t="str">
            <v>【ファウンデーションケア】</v>
          </cell>
        </row>
        <row r="4959">
          <cell r="A4959" t="str">
            <v>H7NU1E</v>
          </cell>
          <cell r="B4959" t="str">
            <v>FC 9x5 7年 BladeSys c7000 Encl用</v>
          </cell>
          <cell r="C4959" t="str">
            <v>【ファウンデーションケア】</v>
          </cell>
        </row>
        <row r="4960">
          <cell r="A4960" t="str">
            <v>H7NU2E</v>
          </cell>
          <cell r="B4960" t="str">
            <v>FC 24x7 7年 BladeSys c7000 Encl用</v>
          </cell>
          <cell r="C4960" t="str">
            <v>【ファウンデーションケア】</v>
          </cell>
        </row>
        <row r="4961">
          <cell r="A4961" t="str">
            <v>H7NU4E</v>
          </cell>
          <cell r="B4961" t="str">
            <v>PC 24x7 7年 BladeSys c7000 Encl用</v>
          </cell>
          <cell r="C4961" t="str">
            <v>【HPEプロアクティブケア】メーカー推奨／低価格で国内専用窓口の高品質な保守により、システム運用における安心を提供します。</v>
          </cell>
        </row>
        <row r="4962">
          <cell r="A4962" t="str">
            <v>H7RG6PE</v>
          </cell>
          <cell r="B4962" t="str">
            <v>PW FC 翌日 1年 ML150 Gen9用</v>
          </cell>
          <cell r="C4962" t="str">
            <v>【ファウンデーションケア】</v>
          </cell>
        </row>
        <row r="4963">
          <cell r="A4963" t="str">
            <v>H7RH2PE</v>
          </cell>
          <cell r="B4963" t="str">
            <v>PW FC 24x7 1年 ML150 Gen9用</v>
          </cell>
          <cell r="C4963" t="str">
            <v>【ファウンデーションケア】</v>
          </cell>
        </row>
        <row r="4964">
          <cell r="A4964" t="str">
            <v>H7RH3PE</v>
          </cell>
          <cell r="B4964" t="str">
            <v>PW FC 24x7 HD返却不要 1年 ML150 Gen9用</v>
          </cell>
          <cell r="C4964" t="str">
            <v>【ファウンデーションケア】</v>
          </cell>
        </row>
        <row r="4965">
          <cell r="A4965" t="str">
            <v>H7RH5PE</v>
          </cell>
          <cell r="B4965" t="str">
            <v>PW PC 24x7 1年 ML150 Gen9用</v>
          </cell>
          <cell r="C4965" t="str">
            <v>【HPEプロアクティブケア】メーカー推奨／低価格で国内専用窓口の高品質な保守により、システム運用における安心を提供します。</v>
          </cell>
        </row>
        <row r="4966">
          <cell r="A4966" t="str">
            <v>H7RH6PE</v>
          </cell>
          <cell r="B4966" t="str">
            <v>PW PC 24x7 HD返却不要 1年 ML150 Gen9用</v>
          </cell>
          <cell r="C4966" t="str">
            <v>【HPEプロアクティブケア】メーカー推奨／低価格で国内専用窓口の高品質な保守により、システム運用における安心を提供します。</v>
          </cell>
        </row>
        <row r="4967">
          <cell r="A4967" t="str">
            <v>H7RJ4PE</v>
          </cell>
          <cell r="B4967" t="str">
            <v>PW FC 9x5 1年 ML150 Gen9用</v>
          </cell>
          <cell r="C4967" t="str">
            <v>【ファウンデーションケア】</v>
          </cell>
        </row>
        <row r="4968">
          <cell r="A4968" t="str">
            <v>H7RJ5PE</v>
          </cell>
          <cell r="B4968" t="str">
            <v>PW FC 9x5 HD返却不要 1年 ML150 Gen9用</v>
          </cell>
          <cell r="C4968" t="str">
            <v>【ファウンデーションケア】</v>
          </cell>
        </row>
        <row r="4969">
          <cell r="A4969" t="str">
            <v>H7RJ6PE</v>
          </cell>
          <cell r="B4969" t="str">
            <v>PW FC 翌日 1年 DL120 Gen9用</v>
          </cell>
          <cell r="C4969" t="str">
            <v>【ファウンデーションケア】</v>
          </cell>
        </row>
        <row r="4970">
          <cell r="A4970" t="str">
            <v>H7RK2PE</v>
          </cell>
          <cell r="B4970" t="str">
            <v>PW FC 24x7 1年 DL120 Gen9用</v>
          </cell>
          <cell r="C4970" t="str">
            <v>【ファウンデーションケア】</v>
          </cell>
        </row>
        <row r="4971">
          <cell r="A4971" t="str">
            <v>H7RK3PE</v>
          </cell>
          <cell r="B4971" t="str">
            <v>PW FC 24x7 HD返却不要 1年 DL120 Gen9用</v>
          </cell>
          <cell r="C4971" t="str">
            <v>【ファウンデーションケア】</v>
          </cell>
        </row>
        <row r="4972">
          <cell r="A4972" t="str">
            <v>H7RK5PE</v>
          </cell>
          <cell r="B4972" t="str">
            <v>PW PC 24x7 1年 DL120 Gen9用</v>
          </cell>
          <cell r="C4972" t="str">
            <v>【HPEプロアクティブケア】メーカー推奨／低価格で国内専用窓口の高品質な保守により、システム運用における安心を提供します。</v>
          </cell>
        </row>
        <row r="4973">
          <cell r="A4973" t="str">
            <v>H7RK6PE</v>
          </cell>
          <cell r="B4973" t="str">
            <v>PW PC 24x7 HD返却不要 1年 DL120 Gen9用</v>
          </cell>
          <cell r="C4973" t="str">
            <v>【HPEプロアクティブケア】メーカー推奨／低価格で国内専用窓口の高品質な保守により、システム運用における安心を提供します。</v>
          </cell>
        </row>
        <row r="4974">
          <cell r="A4974" t="str">
            <v>H7RL4PE</v>
          </cell>
          <cell r="B4974" t="str">
            <v>PW FC 9x5 1年 DL120 Gen9用</v>
          </cell>
          <cell r="C4974" t="str">
            <v>【ファウンデーションケア】</v>
          </cell>
        </row>
        <row r="4975">
          <cell r="A4975" t="str">
            <v>H7RL5PE</v>
          </cell>
          <cell r="B4975" t="str">
            <v>PW FC 9x5 HD返却不要 1年 DL120 Gen9用</v>
          </cell>
          <cell r="C4975" t="str">
            <v>【ファウンデーションケア】</v>
          </cell>
        </row>
        <row r="4976">
          <cell r="A4976" t="str">
            <v>H8PV5E</v>
          </cell>
          <cell r="B4976" t="str">
            <v>FC 9x5 3年 DL560 Gen10用</v>
          </cell>
          <cell r="C4976" t="str">
            <v>【ファウンデーションケア】</v>
          </cell>
        </row>
        <row r="4977">
          <cell r="A4977" t="str">
            <v>H8PV6E</v>
          </cell>
          <cell r="B4977" t="str">
            <v>FC 9x5 HD返却不要 3年 DL560 Gen10用</v>
          </cell>
          <cell r="C4977" t="str">
            <v>【ファウンデーションケア】</v>
          </cell>
        </row>
        <row r="4978">
          <cell r="A4978" t="str">
            <v>H8PW3E</v>
          </cell>
          <cell r="B4978" t="str">
            <v>FC 24x7 3年 DL560 Gen10用</v>
          </cell>
          <cell r="C4978" t="str">
            <v>【ファウンデーションケア】</v>
          </cell>
        </row>
        <row r="4979">
          <cell r="A4979" t="str">
            <v>H8PW4E</v>
          </cell>
          <cell r="B4979" t="str">
            <v>FC 24x7 HD返却不要 3年 DL560 Gen10用</v>
          </cell>
          <cell r="C4979" t="str">
            <v>【ファウンデーションケア】</v>
          </cell>
        </row>
        <row r="4980">
          <cell r="A4980" t="str">
            <v>H8PW6E</v>
          </cell>
          <cell r="B4980" t="str">
            <v>PC 24x7 3年 DL560 Gen10用</v>
          </cell>
          <cell r="C4980" t="str">
            <v>【HPEプロアクティブケア】メーカー推奨／低価格で国内専用窓口の高品質な保守により、システム運用における安心を提供します。</v>
          </cell>
        </row>
        <row r="4981">
          <cell r="A4981" t="str">
            <v>H8PW7E</v>
          </cell>
          <cell r="B4981" t="str">
            <v>PC 24x7 HD返却不要 3年 DL560 Gen10用</v>
          </cell>
          <cell r="C4981" t="str">
            <v>【HPEプロアクティブケア】メーカー推奨／低価格で国内専用窓口の高品質な保守により、システム運用における安心を提供します。</v>
          </cell>
        </row>
        <row r="4982">
          <cell r="A4982" t="str">
            <v>H8PY4E</v>
          </cell>
          <cell r="B4982" t="str">
            <v>FC 9x5 4年 DL560 Gen10用</v>
          </cell>
          <cell r="C4982" t="str">
            <v>【ファウンデーションケア】</v>
          </cell>
        </row>
        <row r="4983">
          <cell r="A4983" t="str">
            <v>H8PY5E</v>
          </cell>
          <cell r="B4983" t="str">
            <v>FC 9x5 HD返却不要 4年 DL560 Gen10用</v>
          </cell>
          <cell r="C4983" t="str">
            <v>【ファウンデーションケア】</v>
          </cell>
        </row>
        <row r="4984">
          <cell r="A4984" t="str">
            <v>H8PZ2E</v>
          </cell>
          <cell r="B4984" t="str">
            <v>FC 24x7 4年 DL560 Gen10用</v>
          </cell>
          <cell r="C4984" t="str">
            <v>【ファウンデーションケア】</v>
          </cell>
        </row>
        <row r="4985">
          <cell r="A4985" t="str">
            <v>H8PZ3E</v>
          </cell>
          <cell r="B4985" t="str">
            <v>FC 24x7 HD返却不要 4年 DL560 Gen10用</v>
          </cell>
          <cell r="C4985" t="str">
            <v>【ファウンデーションケア】</v>
          </cell>
        </row>
        <row r="4986">
          <cell r="A4986" t="str">
            <v>H8PZ5E</v>
          </cell>
          <cell r="B4986" t="str">
            <v>PC 24x7 4年 DL560 Gen10用</v>
          </cell>
          <cell r="C4986" t="str">
            <v>【HPEプロアクティブケア】メーカー推奨／低価格で国内専用窓口の高品質な保守により、システム運用における安心を提供します。</v>
          </cell>
        </row>
        <row r="4987">
          <cell r="A4987" t="str">
            <v>H8PZ6E</v>
          </cell>
          <cell r="B4987" t="str">
            <v>PC 24x7 HD返却不要 4年 DL560 Gen10用</v>
          </cell>
          <cell r="C4987" t="str">
            <v>【HPEプロアクティブケア】メーカー推奨／低価格で国内専用窓口の高品質な保守により、システム運用における安心を提供します。</v>
          </cell>
        </row>
        <row r="4988">
          <cell r="A4988" t="str">
            <v>H8QB3E</v>
          </cell>
          <cell r="B4988" t="str">
            <v>FC 9x5 5年 DL560 Gen10用</v>
          </cell>
          <cell r="C4988" t="str">
            <v>【ファウンデーションケア】</v>
          </cell>
        </row>
        <row r="4989">
          <cell r="A4989" t="str">
            <v>H8QB4E</v>
          </cell>
          <cell r="B4989" t="str">
            <v>FC 9x5 HD返却不要 5年 DL560 Gen10用</v>
          </cell>
          <cell r="C4989" t="str">
            <v>【ファウンデーションケア】</v>
          </cell>
        </row>
        <row r="4990">
          <cell r="A4990" t="str">
            <v>H8QC1E</v>
          </cell>
          <cell r="B4990" t="str">
            <v>FC 24x7 5年 DL560 Gen10用</v>
          </cell>
          <cell r="C4990" t="str">
            <v>【ファウンデーションケア】</v>
          </cell>
        </row>
        <row r="4991">
          <cell r="A4991" t="str">
            <v>H8QC2E</v>
          </cell>
          <cell r="B4991" t="str">
            <v>FC 24x7 HD返却不要 5年 DL560 Gen10用</v>
          </cell>
          <cell r="C4991" t="str">
            <v>【ファウンデーションケア】</v>
          </cell>
        </row>
        <row r="4992">
          <cell r="A4992" t="str">
            <v>H8QC4E</v>
          </cell>
          <cell r="B4992" t="str">
            <v>PC 24x7 5年 DL560 Gen10用</v>
          </cell>
          <cell r="C4992" t="str">
            <v>【HPEプロアクティブケア】メーカー推奨／低価格で国内専用窓口の高品質な保守により、システム運用における安心を提供します。</v>
          </cell>
        </row>
        <row r="4993">
          <cell r="A4993" t="str">
            <v>H8QC5E</v>
          </cell>
          <cell r="B4993" t="str">
            <v>PC 24x7 HD返却不要 5年 DL560 Gen10用</v>
          </cell>
          <cell r="C4993" t="str">
            <v>【HPEプロアクティブケア】メーカー推奨／低価格で国内専用窓口の高品質な保守により、システム運用における安心を提供します。</v>
          </cell>
        </row>
        <row r="4994">
          <cell r="A4994" t="str">
            <v>H8QE2E</v>
          </cell>
          <cell r="B4994" t="str">
            <v>FC 9x5 3年 DL360 Gen10用</v>
          </cell>
          <cell r="C4994" t="str">
            <v>【ファウンデーションケア】</v>
          </cell>
        </row>
        <row r="4995">
          <cell r="A4995" t="str">
            <v>H8QE3E</v>
          </cell>
          <cell r="B4995" t="str">
            <v>FC 9x5 HD返却不要 3年 DL360 Gen10用</v>
          </cell>
          <cell r="C4995" t="str">
            <v>【ファウンデーションケア】</v>
          </cell>
        </row>
        <row r="4996">
          <cell r="A4996" t="str">
            <v>H8QF0E</v>
          </cell>
          <cell r="B4996" t="str">
            <v>FC 24x7 3年 DL360 Gen10用</v>
          </cell>
          <cell r="C4996" t="str">
            <v>【ファウンデーションケア】</v>
          </cell>
        </row>
        <row r="4997">
          <cell r="A4997" t="str">
            <v>H8QF1E</v>
          </cell>
          <cell r="B4997" t="str">
            <v>FC 24x7 HD返却不要 3年 DL360 Gen10用</v>
          </cell>
          <cell r="C4997" t="str">
            <v>【ファウンデーションケア】</v>
          </cell>
        </row>
        <row r="4998">
          <cell r="A4998" t="str">
            <v>H8QF3E</v>
          </cell>
          <cell r="B4998" t="str">
            <v>PC 24x7 3年 DL360 Gen10用</v>
          </cell>
          <cell r="C4998" t="str">
            <v>【HPEプロアクティブケア】メーカー推奨／低価格で国内専用窓口の高品質な保守により、システム運用における安心を提供します。</v>
          </cell>
        </row>
        <row r="4999">
          <cell r="A4999" t="str">
            <v>H8QF4E</v>
          </cell>
          <cell r="B4999" t="str">
            <v>PC 24x7 HD返却不要 3年 DL360 Gen10用</v>
          </cell>
          <cell r="C4999" t="str">
            <v>【HPEプロアクティブケア】メーカー推奨／低価格で国内専用窓口の高品質な保守により、システム運用における安心を提供します。</v>
          </cell>
        </row>
        <row r="5000">
          <cell r="A5000" t="str">
            <v>H8QH1E</v>
          </cell>
          <cell r="B5000" t="str">
            <v>FC 9x5 4年 DL360 Gen10用</v>
          </cell>
          <cell r="C5000" t="str">
            <v>【ファウンデーションケア】</v>
          </cell>
        </row>
        <row r="5001">
          <cell r="A5001" t="str">
            <v>H8QH2E</v>
          </cell>
          <cell r="B5001" t="str">
            <v>FC 9x5 HD返却不要 4年 DL360 Gen10用</v>
          </cell>
          <cell r="C5001" t="str">
            <v>【ファウンデーションケア】</v>
          </cell>
        </row>
        <row r="5002">
          <cell r="A5002" t="str">
            <v>H8QH9E</v>
          </cell>
          <cell r="B5002" t="str">
            <v>FC 24x7 4年 DL360 Gen10用</v>
          </cell>
          <cell r="C5002" t="str">
            <v>【ファウンデーションケア】</v>
          </cell>
        </row>
        <row r="5003">
          <cell r="A5003" t="str">
            <v>H8QJ0E</v>
          </cell>
          <cell r="B5003" t="str">
            <v>FC 24x7 HD返却不要 4年 DL360 Gen10用</v>
          </cell>
          <cell r="C5003" t="str">
            <v>【ファウンデーションケア】</v>
          </cell>
        </row>
        <row r="5004">
          <cell r="A5004" t="str">
            <v>H8QJ2E</v>
          </cell>
          <cell r="B5004" t="str">
            <v>PC 24x7 4年 DL360 Gen10用</v>
          </cell>
          <cell r="C5004" t="str">
            <v>【HPEプロアクティブケア】メーカー推奨／低価格で国内専用窓口の高品質な保守により、システム運用における安心を提供します。</v>
          </cell>
        </row>
        <row r="5005">
          <cell r="A5005" t="str">
            <v>H8QJ3E</v>
          </cell>
          <cell r="B5005" t="str">
            <v>PC 24x7 HD返却不要 4年 DL360 Gen10用</v>
          </cell>
          <cell r="C5005" t="str">
            <v>【HPEプロアクティブケア】メーカー推奨／低価格で国内専用窓口の高品質な保守により、システム運用における安心を提供します。</v>
          </cell>
        </row>
        <row r="5006">
          <cell r="A5006" t="str">
            <v>H8QL0E</v>
          </cell>
          <cell r="B5006" t="str">
            <v>FC 9x5 5年 DL360 Gen10用</v>
          </cell>
          <cell r="C5006" t="str">
            <v>【ファウンデーションケア】</v>
          </cell>
        </row>
        <row r="5007">
          <cell r="A5007" t="str">
            <v>H8QL1E</v>
          </cell>
          <cell r="B5007" t="str">
            <v>FC 9x5 HD返却不要 5年 DL360 Gen10用</v>
          </cell>
          <cell r="C5007" t="str">
            <v>【ファウンデーションケア】</v>
          </cell>
        </row>
        <row r="5008">
          <cell r="A5008" t="str">
            <v>H8QL8E</v>
          </cell>
          <cell r="B5008" t="str">
            <v>FC 24x7 5年 DL360 Gen10用</v>
          </cell>
          <cell r="C5008" t="str">
            <v>【ファウンデーションケア】</v>
          </cell>
        </row>
        <row r="5009">
          <cell r="A5009" t="str">
            <v>H8QL9E</v>
          </cell>
          <cell r="B5009" t="str">
            <v>FC 24x7 HD返却不要 5年 DL360 Gen10用</v>
          </cell>
          <cell r="C5009" t="str">
            <v>【ファウンデーションケア】</v>
          </cell>
        </row>
        <row r="5010">
          <cell r="A5010" t="str">
            <v>H8QM1E</v>
          </cell>
          <cell r="B5010" t="str">
            <v>PC 24x7 5年 DL360 Gen10用</v>
          </cell>
          <cell r="C5010" t="str">
            <v>【HPEプロアクティブケア】メーカー推奨／低価格で国内専用窓口の高品質な保守により、システム運用における安心を提供します。</v>
          </cell>
        </row>
        <row r="5011">
          <cell r="A5011" t="str">
            <v>H8QM2E</v>
          </cell>
          <cell r="B5011" t="str">
            <v>PC 24x7 HD返却不要 5年 DL360 Gen10用</v>
          </cell>
          <cell r="C5011" t="str">
            <v>【HPEプロアクティブケア】メーカー推奨／低価格で国内専用窓口の高品質な保守により、システム運用における安心を提供します。</v>
          </cell>
        </row>
        <row r="5012">
          <cell r="A5012" t="str">
            <v>H8QN9E</v>
          </cell>
          <cell r="B5012" t="str">
            <v>FC 9x5 3年 DL38x Gen10用</v>
          </cell>
          <cell r="C5012" t="str">
            <v>【ファウンデーションケア】</v>
          </cell>
        </row>
        <row r="5013">
          <cell r="A5013" t="str">
            <v>H8QP0E</v>
          </cell>
          <cell r="B5013" t="str">
            <v>FC 9x5 HD返却不要 3年 DL38x Gen10用</v>
          </cell>
          <cell r="C5013" t="str">
            <v>【ファウンデーションケア】</v>
          </cell>
        </row>
        <row r="5014">
          <cell r="A5014" t="str">
            <v>H8QP7E</v>
          </cell>
          <cell r="B5014" t="str">
            <v>FC 24x7 3年 DL38x Gen10用</v>
          </cell>
          <cell r="C5014" t="str">
            <v>【ファウンデーションケア】</v>
          </cell>
        </row>
        <row r="5015">
          <cell r="A5015" t="str">
            <v>H8QP8E</v>
          </cell>
          <cell r="B5015" t="str">
            <v>FC 24x7 HD返却不要 3年 DL38x Gen10用</v>
          </cell>
          <cell r="C5015" t="str">
            <v>【ファウンデーションケア】</v>
          </cell>
        </row>
        <row r="5016">
          <cell r="A5016" t="str">
            <v>H8QQ0E</v>
          </cell>
          <cell r="B5016" t="str">
            <v>PC 24x7 3年 DL38x Gen10用</v>
          </cell>
          <cell r="C5016" t="str">
            <v>【HPEプロアクティブケア】メーカー推奨／低価格で国内専用窓口の高品質な保守により、システム運用における安心を提供します。</v>
          </cell>
        </row>
        <row r="5017">
          <cell r="A5017" t="str">
            <v>H8QQ1E</v>
          </cell>
          <cell r="B5017" t="str">
            <v>PC 24x7 HD返却不要 3年 DL38x Gen10用</v>
          </cell>
          <cell r="C5017" t="str">
            <v>【HPEプロアクティブケア】メーカー推奨／低価格で国内専用窓口の高品質な保守により、システム運用における安心を提供します。</v>
          </cell>
        </row>
        <row r="5018">
          <cell r="A5018" t="str">
            <v>H8QR8E</v>
          </cell>
          <cell r="B5018" t="str">
            <v>FC 9x5 4年 DL38x Gen10用</v>
          </cell>
          <cell r="C5018" t="str">
            <v>【ファウンデーションケア】</v>
          </cell>
        </row>
        <row r="5019">
          <cell r="A5019" t="str">
            <v>H8QR9E</v>
          </cell>
          <cell r="B5019" t="str">
            <v>FC 9x5 HD返却不要 4年 DL38x Gen10用</v>
          </cell>
          <cell r="C5019" t="str">
            <v>【ファウンデーションケア】</v>
          </cell>
        </row>
        <row r="5020">
          <cell r="A5020" t="str">
            <v>H8QS6E</v>
          </cell>
          <cell r="B5020" t="str">
            <v>FC 24x7 4年 DL38x Gen10用</v>
          </cell>
          <cell r="C5020" t="str">
            <v>【ファウンデーションケア】</v>
          </cell>
        </row>
        <row r="5021">
          <cell r="A5021" t="str">
            <v>H8QS7E</v>
          </cell>
          <cell r="B5021" t="str">
            <v>FC 24x7 HD返却不要 4年 DL38x Gen10用</v>
          </cell>
          <cell r="C5021" t="str">
            <v>【ファウンデーションケア】</v>
          </cell>
        </row>
        <row r="5022">
          <cell r="A5022" t="str">
            <v>H8QS9E</v>
          </cell>
          <cell r="B5022" t="str">
            <v>PC 24x7 4年 DL38x Gen10用</v>
          </cell>
          <cell r="C5022" t="str">
            <v>【HPEプロアクティブケア】メーカー推奨／低価格で国内専用窓口の高品質な保守により、システム運用における安心を提供します。</v>
          </cell>
        </row>
        <row r="5023">
          <cell r="A5023" t="str">
            <v>H8QT0E</v>
          </cell>
          <cell r="B5023" t="str">
            <v>PC 24x7 HD返却不要 4年 DL38x Gen10用</v>
          </cell>
          <cell r="C5023" t="str">
            <v>【HPEプロアクティブケア】メーカー推奨／低価格で国内専用窓口の高品質な保守により、システム運用における安心を提供します。</v>
          </cell>
        </row>
        <row r="5024">
          <cell r="A5024" t="str">
            <v>H8QU7E</v>
          </cell>
          <cell r="B5024" t="str">
            <v>FC 9x5 5年 DL38x Gen10用</v>
          </cell>
          <cell r="C5024" t="str">
            <v>【ファウンデーションケア】</v>
          </cell>
        </row>
        <row r="5025">
          <cell r="A5025" t="str">
            <v>H8QU8E</v>
          </cell>
          <cell r="B5025" t="str">
            <v>FC 9x5 HD返却不要 5年 DL38x Gen10用</v>
          </cell>
          <cell r="C5025" t="str">
            <v>【ファウンデーションケア】</v>
          </cell>
        </row>
        <row r="5026">
          <cell r="A5026" t="str">
            <v>H8QV5E</v>
          </cell>
          <cell r="B5026" t="str">
            <v>FC 24x7 5年 DL38x Gen10用</v>
          </cell>
          <cell r="C5026" t="str">
            <v>【ファウンデーションケア】</v>
          </cell>
        </row>
        <row r="5027">
          <cell r="A5027" t="str">
            <v>H8QV6E</v>
          </cell>
          <cell r="B5027" t="str">
            <v>FC 24x7 HD返却不要 5年 DL38x Gen10用</v>
          </cell>
          <cell r="C5027" t="str">
            <v>【ファウンデーションケア】</v>
          </cell>
        </row>
        <row r="5028">
          <cell r="A5028" t="str">
            <v>H8QV8E</v>
          </cell>
          <cell r="B5028" t="str">
            <v>PC 24x7 5年 DL38x Gen10用</v>
          </cell>
          <cell r="C5028" t="str">
            <v>【HPEプロアクティブケア】メーカー推奨／低価格で国内専用窓口の高品質な保守により、システム運用における安心を提供します。</v>
          </cell>
        </row>
        <row r="5029">
          <cell r="A5029" t="str">
            <v>H8QV9E</v>
          </cell>
          <cell r="B5029" t="str">
            <v>PC 24x7 HD返却不要 5年 DL38x Gen10用</v>
          </cell>
          <cell r="C5029" t="str">
            <v>【HPEプロアクティブケア】メーカー推奨／低価格で国内専用窓口の高品質な保守により、システム運用における安心を提供します。</v>
          </cell>
        </row>
        <row r="5030">
          <cell r="A5030" t="str">
            <v>H8QX3PE</v>
          </cell>
          <cell r="B5030" t="str">
            <v>PW FC 翌日 1年 ML110 Gen9用</v>
          </cell>
          <cell r="C5030" t="str">
            <v>【ファウンデーションケア】</v>
          </cell>
        </row>
        <row r="5031">
          <cell r="A5031" t="str">
            <v>H8QX6PE</v>
          </cell>
          <cell r="B5031" t="str">
            <v>PW FC 9x5 1年 ML110 Gen9用</v>
          </cell>
          <cell r="C5031" t="str">
            <v>【ファウンデーションケア】</v>
          </cell>
        </row>
        <row r="5032">
          <cell r="A5032" t="str">
            <v>H8QX7PE</v>
          </cell>
          <cell r="B5032" t="str">
            <v>PW FC 9x5 HD返却不要 1年 ML110 Gen9用</v>
          </cell>
          <cell r="C5032" t="str">
            <v>【ファウンデーションケア】</v>
          </cell>
        </row>
        <row r="5033">
          <cell r="A5033" t="str">
            <v>H8QY1PE</v>
          </cell>
          <cell r="B5033" t="str">
            <v>PW FC 24x7 1年 ML110 Gen9用</v>
          </cell>
          <cell r="C5033" t="str">
            <v>【ファウンデーションケア】</v>
          </cell>
        </row>
        <row r="5034">
          <cell r="A5034" t="str">
            <v>H8QY2PE</v>
          </cell>
          <cell r="B5034" t="str">
            <v>PW FC 24x7 HD返却不要 1年 ML110 Gen9用</v>
          </cell>
          <cell r="C5034" t="str">
            <v>【ファウンデーションケア】</v>
          </cell>
        </row>
        <row r="5035">
          <cell r="A5035" t="str">
            <v>H8QY4PE</v>
          </cell>
          <cell r="B5035" t="str">
            <v>PW PC 24x7 1年 ML110 Gen9用</v>
          </cell>
          <cell r="C5035" t="str">
            <v>【HPEプロアクティブケア】メーカー推奨／低価格で国内専用窓口の高品質な保守により、システム運用における安心を提供します。</v>
          </cell>
        </row>
        <row r="5036">
          <cell r="A5036" t="str">
            <v>H8QY5PE</v>
          </cell>
          <cell r="B5036" t="str">
            <v>PW PC 24x7 HD返却不要 1年 ML110 Gen9用</v>
          </cell>
          <cell r="C5036" t="str">
            <v>【HPEプロアクティブケア】メーカー推奨／低価格で国内専用窓口の高品質な保守により、システム運用における安心を提供します。</v>
          </cell>
        </row>
        <row r="5037">
          <cell r="A5037" t="str">
            <v>H9CH1E</v>
          </cell>
          <cell r="B5037" t="str">
            <v>FC 9x5 3年 ML110 Gen10用</v>
          </cell>
          <cell r="C5037" t="str">
            <v>【ファウンデーションケア】</v>
          </cell>
        </row>
        <row r="5038">
          <cell r="A5038" t="str">
            <v>H9CH2E</v>
          </cell>
          <cell r="B5038" t="str">
            <v>FC 9x5 HD返却不要 3年 ML110 Gen10用</v>
          </cell>
          <cell r="C5038" t="str">
            <v>【ファウンデーションケア】</v>
          </cell>
        </row>
        <row r="5039">
          <cell r="A5039" t="str">
            <v>H9CH9E</v>
          </cell>
          <cell r="B5039" t="str">
            <v>FC 24x7 3年 ML110 Gen10用</v>
          </cell>
          <cell r="C5039" t="str">
            <v>【ファウンデーションケア】</v>
          </cell>
        </row>
        <row r="5040">
          <cell r="A5040" t="str">
            <v>H9CJ0E</v>
          </cell>
          <cell r="B5040" t="str">
            <v>FC 24x7 HD返却不要 3年 ML110 Gen10用</v>
          </cell>
          <cell r="C5040" t="str">
            <v>【ファウンデーションケア】</v>
          </cell>
        </row>
        <row r="5041">
          <cell r="A5041" t="str">
            <v>H9CJ2E</v>
          </cell>
          <cell r="B5041" t="str">
            <v>PC 24x7 3年 ML110 Gen10用</v>
          </cell>
          <cell r="C5041" t="str">
            <v>【HPEプロアクティブケア】メーカー推奨／低価格で国内専用窓口の高品質な保守により、システム運用における安心を提供します。</v>
          </cell>
        </row>
        <row r="5042">
          <cell r="A5042" t="str">
            <v>H9CJ3E</v>
          </cell>
          <cell r="B5042" t="str">
            <v>PC 24x7 HD返却不要 3年 ML110 Gen10用</v>
          </cell>
          <cell r="C5042" t="str">
            <v>【HPEプロアクティブケア】メーカー推奨／低価格で国内専用窓口の高品質な保守により、システム運用における安心を提供します。</v>
          </cell>
        </row>
        <row r="5043">
          <cell r="A5043" t="str">
            <v>H9CL0E</v>
          </cell>
          <cell r="B5043" t="str">
            <v>FC 9x5 4年 ML110 Gen10用</v>
          </cell>
          <cell r="C5043" t="str">
            <v>【ファウンデーションケア】</v>
          </cell>
        </row>
        <row r="5044">
          <cell r="A5044" t="str">
            <v>H9CL1E</v>
          </cell>
          <cell r="B5044" t="str">
            <v>FC 9x5 HD返却不要 4年 ML110 Gen10用</v>
          </cell>
          <cell r="C5044" t="str">
            <v>【ファウンデーションケア】</v>
          </cell>
        </row>
        <row r="5045">
          <cell r="A5045" t="str">
            <v>H9CL8E</v>
          </cell>
          <cell r="B5045" t="str">
            <v>FC 24x7 4年 ML110 Gen10用</v>
          </cell>
          <cell r="C5045" t="str">
            <v>【ファウンデーションケア】</v>
          </cell>
        </row>
        <row r="5046">
          <cell r="A5046" t="str">
            <v>H9CL9E</v>
          </cell>
          <cell r="B5046" t="str">
            <v>FC 24x7 HD返却不要 4年 ML110 Gen10用</v>
          </cell>
          <cell r="C5046" t="str">
            <v>【ファウンデーションケア】</v>
          </cell>
        </row>
        <row r="5047">
          <cell r="A5047" t="str">
            <v>H9CM1E</v>
          </cell>
          <cell r="B5047" t="str">
            <v>PC 24x7 4年 ML110 Gen10用</v>
          </cell>
          <cell r="C5047" t="str">
            <v>【HPEプロアクティブケア】メーカー推奨／低価格で国内専用窓口の高品質な保守により、システム運用における安心を提供します。</v>
          </cell>
        </row>
        <row r="5048">
          <cell r="A5048" t="str">
            <v>H9CM2E</v>
          </cell>
          <cell r="B5048" t="str">
            <v>PC 24x7 HD返却不要 4年 ML110 Gen10用</v>
          </cell>
          <cell r="C5048" t="str">
            <v>【HPEプロアクティブケア】メーカー推奨／低価格で国内専用窓口の高品質な保守により、システム運用における安心を提供します。</v>
          </cell>
        </row>
        <row r="5049">
          <cell r="A5049" t="str">
            <v>H9CN9E</v>
          </cell>
          <cell r="B5049" t="str">
            <v>FC 9x5 5年 ML110 Gen10用</v>
          </cell>
          <cell r="C5049" t="str">
            <v>【ファウンデーションケア】</v>
          </cell>
        </row>
        <row r="5050">
          <cell r="A5050" t="str">
            <v>H9CP0E</v>
          </cell>
          <cell r="B5050" t="str">
            <v>FC 9x5 HD返却不要 5年 ML110 Gen10用</v>
          </cell>
          <cell r="C5050" t="str">
            <v>【ファウンデーションケア】</v>
          </cell>
        </row>
        <row r="5051">
          <cell r="A5051" t="str">
            <v>H9CP7E</v>
          </cell>
          <cell r="B5051" t="str">
            <v>FC 24x7 5年 ML110 Gen10用</v>
          </cell>
          <cell r="C5051" t="str">
            <v>【ファウンデーションケア】</v>
          </cell>
        </row>
        <row r="5052">
          <cell r="A5052" t="str">
            <v>H9CP8E</v>
          </cell>
          <cell r="B5052" t="str">
            <v>FC 24x7 HD返却不要 5年 ML110 Gen10用</v>
          </cell>
          <cell r="C5052" t="str">
            <v>【ファウンデーションケア】</v>
          </cell>
        </row>
        <row r="5053">
          <cell r="A5053" t="str">
            <v>H9CQ0E</v>
          </cell>
          <cell r="B5053" t="str">
            <v>PC 24x7 5年 ML110 Gen10用</v>
          </cell>
          <cell r="C5053" t="str">
            <v>【HPEプロアクティブケア】メーカー推奨／低価格で国内専用窓口の高品質な保守により、システム運用における安心を提供します。</v>
          </cell>
        </row>
        <row r="5054">
          <cell r="A5054" t="str">
            <v>H9CQ1E</v>
          </cell>
          <cell r="B5054" t="str">
            <v>PC 24x7 HD返却不要 5年 ML110 Gen10用</v>
          </cell>
          <cell r="C5054" t="str">
            <v>【HPEプロアクティブケア】メーカー推奨／低価格で国内専用窓口の高品質な保守により、システム運用における安心を提供します。</v>
          </cell>
        </row>
        <row r="5055">
          <cell r="A5055" t="str">
            <v>H9EC9E</v>
          </cell>
          <cell r="B5055" t="str">
            <v>FC 24x7 3年 DL560 Gen10 OV用</v>
          </cell>
          <cell r="C5055" t="str">
            <v>【ファウンデーションケア】</v>
          </cell>
        </row>
        <row r="5056">
          <cell r="A5056" t="str">
            <v>H9ED0E</v>
          </cell>
          <cell r="B5056" t="str">
            <v>FC 24x7 HD返却不要 3年 DL560 Gen10 OV</v>
          </cell>
          <cell r="C5056" t="str">
            <v>【ファウンデーションケア】</v>
          </cell>
        </row>
        <row r="5057">
          <cell r="A5057" t="str">
            <v>H9ED1E</v>
          </cell>
          <cell r="B5057" t="str">
            <v>ProCare 24x7 3年 DL560 Gen10 OV用</v>
          </cell>
          <cell r="C5057" t="str">
            <v>【HPEプロアクティブケア】メーカー推奨／低価格で国内専用窓口の高品質な保守により、システム運用における安心を提供します。</v>
          </cell>
        </row>
        <row r="5058">
          <cell r="A5058" t="str">
            <v>H9ED2E</v>
          </cell>
          <cell r="B5058" t="str">
            <v>ProCare HD返不要 24x7 3年 DL560 Gen10 OV</v>
          </cell>
          <cell r="C5058" t="str">
            <v>【HPEプロアクティブケア】メーカー推奨／低価格で国内専用窓口の高品質な保守により、システム運用における安心を提供します。</v>
          </cell>
        </row>
        <row r="5059">
          <cell r="A5059" t="str">
            <v>H9EE7E</v>
          </cell>
          <cell r="B5059" t="str">
            <v>FC 24x7 4年 DL560 Gen10 OV用</v>
          </cell>
          <cell r="C5059" t="str">
            <v>【ファウンデーションケア】</v>
          </cell>
        </row>
        <row r="5060">
          <cell r="A5060" t="str">
            <v>H9EE8E</v>
          </cell>
          <cell r="B5060" t="str">
            <v>FC 24x7 HD返却不要 4年 DL560 Gen10 OV</v>
          </cell>
          <cell r="C5060" t="str">
            <v>【ファウンデーションケア】</v>
          </cell>
        </row>
        <row r="5061">
          <cell r="A5061" t="str">
            <v>H9EE9E</v>
          </cell>
          <cell r="B5061" t="str">
            <v>ProCare 24x7 4年 DL560 Gen10 OV用</v>
          </cell>
          <cell r="C5061" t="str">
            <v>【HPEプロアクティブケア】メーカー推奨／低価格で国内専用窓口の高品質な保守により、システム運用における安心を提供します。</v>
          </cell>
        </row>
        <row r="5062">
          <cell r="A5062" t="str">
            <v>H9EF0E</v>
          </cell>
          <cell r="B5062" t="str">
            <v>ProCare HD返不要 24x7 4年 DL560 Gen10 OV</v>
          </cell>
          <cell r="C5062" t="str">
            <v>【HPEプロアクティブケア】メーカー推奨／低価格で国内専用窓口の高品質な保守により、システム運用における安心を提供します。</v>
          </cell>
        </row>
        <row r="5063">
          <cell r="A5063" t="str">
            <v>H9EG5E</v>
          </cell>
          <cell r="B5063" t="str">
            <v>FC 24x7 5年 DL560 Gen10 OV用</v>
          </cell>
          <cell r="C5063" t="str">
            <v>【ファウンデーションケア】</v>
          </cell>
        </row>
        <row r="5064">
          <cell r="A5064" t="str">
            <v>H9EG6E</v>
          </cell>
          <cell r="B5064" t="str">
            <v>FC 24x7 HD返却不要 5年 DL560 Gen10 OV</v>
          </cell>
          <cell r="C5064" t="str">
            <v>【ファウンデーションケア】</v>
          </cell>
        </row>
        <row r="5065">
          <cell r="A5065" t="str">
            <v>H9EG7E</v>
          </cell>
          <cell r="B5065" t="str">
            <v>ProCare 24x7 5年 DL560 Gen10 OV用</v>
          </cell>
          <cell r="C5065" t="str">
            <v>【HPEプロアクティブケア】メーカー推奨／低価格で国内専用窓口の高品質な保守により、システム運用における安心を提供します。</v>
          </cell>
        </row>
        <row r="5066">
          <cell r="A5066" t="str">
            <v>H9EG8E</v>
          </cell>
          <cell r="B5066" t="str">
            <v>ProCare HD返不要 24x7 5年 DL560 Gen10 OV</v>
          </cell>
          <cell r="C5066" t="str">
            <v>【HPEプロアクティブケア】メーカー推奨／低価格で国内専用窓口の高品質な保守により、システム運用における安心を提供します。</v>
          </cell>
        </row>
        <row r="5067">
          <cell r="A5067" t="str">
            <v>H9EL4E</v>
          </cell>
          <cell r="B5067" t="str">
            <v>FC 9x5 3年 DL560 Gen10 OV用</v>
          </cell>
          <cell r="C5067" t="str">
            <v>【ファウンデーションケア】</v>
          </cell>
        </row>
        <row r="5068">
          <cell r="A5068" t="str">
            <v>H9EL5E</v>
          </cell>
          <cell r="B5068" t="str">
            <v>FC 9x5 HD返却不要 3年 DL560 Gen10 OV</v>
          </cell>
          <cell r="C5068" t="str">
            <v>【ファウンデーションケア】</v>
          </cell>
        </row>
        <row r="5069">
          <cell r="A5069" t="str">
            <v>H9EL6E</v>
          </cell>
          <cell r="B5069" t="str">
            <v>FC 9x5 4年 DL560 Gen10 OV用</v>
          </cell>
          <cell r="C5069" t="str">
            <v>【ファウンデーションケア】</v>
          </cell>
        </row>
        <row r="5070">
          <cell r="A5070" t="str">
            <v>H9EL7E</v>
          </cell>
          <cell r="B5070" t="str">
            <v>FC 9x5 HD返却不要 4年 DL560 Gen10 OV</v>
          </cell>
          <cell r="C5070" t="str">
            <v>【ファウンデーションケア】</v>
          </cell>
        </row>
        <row r="5071">
          <cell r="A5071" t="str">
            <v>H9EL8E</v>
          </cell>
          <cell r="B5071" t="str">
            <v>FC 9x5 5年 DL560 Gen10 OV用</v>
          </cell>
          <cell r="C5071" t="str">
            <v>【ファウンデーションケア】</v>
          </cell>
        </row>
        <row r="5072">
          <cell r="A5072" t="str">
            <v>H9EL9E</v>
          </cell>
          <cell r="B5072" t="str">
            <v>FC 9x5 HD返却不要 5年 DL560 Gen10 OV</v>
          </cell>
          <cell r="C5072" t="str">
            <v>【ファウンデーションケア】</v>
          </cell>
        </row>
        <row r="5073">
          <cell r="A5073" t="str">
            <v>H9FR7PE</v>
          </cell>
          <cell r="B5073" t="str">
            <v>PW FC 翌日 1年 DL580 Gen9用</v>
          </cell>
          <cell r="C5073" t="str">
            <v>【ファウンデーションケア】</v>
          </cell>
        </row>
        <row r="5074">
          <cell r="A5074" t="str">
            <v>H9FS3PE</v>
          </cell>
          <cell r="B5074" t="str">
            <v>PW FC 24x7 1年 DL580 Gen9用</v>
          </cell>
          <cell r="C5074" t="str">
            <v>【ファウンデーションケア】</v>
          </cell>
        </row>
        <row r="5075">
          <cell r="A5075" t="str">
            <v>H9FS4PE</v>
          </cell>
          <cell r="B5075" t="str">
            <v>PW FC 24x7 HD返却不要 1年 DL580 Gen9用</v>
          </cell>
          <cell r="C5075" t="str">
            <v>【ファウンデーションケア】</v>
          </cell>
        </row>
        <row r="5076">
          <cell r="A5076" t="str">
            <v>H9FS6PE</v>
          </cell>
          <cell r="B5076" t="str">
            <v>PW PC 24x7 1年 DL580 Gen9用</v>
          </cell>
          <cell r="C5076" t="str">
            <v>【HPEプロアクティブケア】メーカー推奨／低価格で国内専用窓口の高品質な保守により、システム運用における安心を提供します。</v>
          </cell>
        </row>
        <row r="5077">
          <cell r="A5077" t="str">
            <v>H9FS7PE</v>
          </cell>
          <cell r="B5077" t="str">
            <v>PW PC 24x7 HD返却不要 1年 DL580 Gen9用</v>
          </cell>
          <cell r="C5077" t="str">
            <v>【HPEプロアクティブケア】メーカー推奨／低価格で国内専用窓口の高品質な保守により、システム運用における安心を提供します。</v>
          </cell>
        </row>
        <row r="5078">
          <cell r="A5078" t="str">
            <v>H9FT5PE</v>
          </cell>
          <cell r="B5078" t="str">
            <v>PW FC 9x5 1年 DL580 Gen9用</v>
          </cell>
          <cell r="C5078" t="str">
            <v>【ファウンデーションケア】</v>
          </cell>
        </row>
        <row r="5079">
          <cell r="A5079" t="str">
            <v>H9FT6PE</v>
          </cell>
          <cell r="B5079" t="str">
            <v>PW FC 9x5 HD返却不要 1年 DL580 Gen9用</v>
          </cell>
          <cell r="C5079" t="str">
            <v>【ファウンデーションケア】</v>
          </cell>
        </row>
        <row r="5080">
          <cell r="A5080" t="str">
            <v>H9FT7PE</v>
          </cell>
          <cell r="B5080" t="str">
            <v>PW FC 翌日 1年 DL580 Gen9 OV用</v>
          </cell>
          <cell r="C5080" t="str">
            <v>【ファウンデーションケア】</v>
          </cell>
        </row>
        <row r="5081">
          <cell r="A5081" t="str">
            <v>H9FU3PE</v>
          </cell>
          <cell r="B5081" t="str">
            <v>PW FC 24x7 1年 DL580 Gen9 OV用</v>
          </cell>
          <cell r="C5081" t="str">
            <v>【ファウンデーションケア】</v>
          </cell>
        </row>
        <row r="5082">
          <cell r="A5082" t="str">
            <v>H9FU4PE</v>
          </cell>
          <cell r="B5082" t="str">
            <v>PW FC 24x7 HD返却不要 1年 DL580 Gen9 OV</v>
          </cell>
          <cell r="C5082" t="str">
            <v>【ファウンデーションケア】</v>
          </cell>
        </row>
        <row r="5083">
          <cell r="A5083" t="str">
            <v>H9FU6PE</v>
          </cell>
          <cell r="B5083" t="str">
            <v>PW PC 24x7 1年 DL580 Gen9 OV用</v>
          </cell>
          <cell r="C5083" t="str">
            <v>【HPEプロアクティブケア】メーカー推奨／低価格で国内専用窓口の高品質な保守により、システム運用における安心を提供します。</v>
          </cell>
        </row>
        <row r="5084">
          <cell r="A5084" t="str">
            <v>H9FU7PE</v>
          </cell>
          <cell r="B5084" t="str">
            <v>PW PC 24x7 HD返却不要 1年 DL580 Gen9 OV</v>
          </cell>
          <cell r="C5084" t="str">
            <v>【HPEプロアクティブケア】メーカー推奨／低価格で国内専用窓口の高品質な保守により、システム運用における安心を提供します。</v>
          </cell>
        </row>
        <row r="5085">
          <cell r="A5085" t="str">
            <v>H9FV5PE</v>
          </cell>
          <cell r="B5085" t="str">
            <v>PW FC 9x5 1年 DL580 Gen9 OV用</v>
          </cell>
          <cell r="C5085" t="str">
            <v>【ファウンデーションケア】</v>
          </cell>
        </row>
        <row r="5086">
          <cell r="A5086" t="str">
            <v>H9FV6PE</v>
          </cell>
          <cell r="B5086" t="str">
            <v>PW FC 9x5 HD返却不要 1年 DL580 Gen9 OV用</v>
          </cell>
          <cell r="C5086" t="str">
            <v>【ファウンデーションケア】</v>
          </cell>
        </row>
        <row r="5087">
          <cell r="A5087" t="str">
            <v>H9FW0E</v>
          </cell>
          <cell r="B5087" t="str">
            <v>FC 9x5 3年 DL580 Gen10用</v>
          </cell>
          <cell r="C5087" t="str">
            <v>【ファウンデーションケア】</v>
          </cell>
        </row>
        <row r="5088">
          <cell r="A5088" t="str">
            <v>H9FW1E</v>
          </cell>
          <cell r="B5088" t="str">
            <v>FC 9x5 HD返却不要 3年 DL580 Gen10用</v>
          </cell>
          <cell r="C5088" t="str">
            <v>【ファウンデーションケア】</v>
          </cell>
        </row>
        <row r="5089">
          <cell r="A5089" t="str">
            <v>H9FW8E</v>
          </cell>
          <cell r="B5089" t="str">
            <v>FC 24x7 3年 DL580 Gen10用</v>
          </cell>
          <cell r="C5089" t="str">
            <v>【ファウンデーションケア】</v>
          </cell>
        </row>
        <row r="5090">
          <cell r="A5090" t="str">
            <v>H9FW9E</v>
          </cell>
          <cell r="B5090" t="str">
            <v>FC 24x7 HD返却不要 3年 DL580 Gen10用</v>
          </cell>
          <cell r="C5090" t="str">
            <v>【ファウンデーションケア】</v>
          </cell>
        </row>
        <row r="5091">
          <cell r="A5091" t="str">
            <v>H9FX1E</v>
          </cell>
          <cell r="B5091" t="str">
            <v>PC 24x7 3年 DL580 Gen10用</v>
          </cell>
          <cell r="C5091" t="str">
            <v>【HPEプロアクティブケア】メーカー推奨／低価格で国内専用窓口の高品質な保守により、システム運用における安心を提供します。</v>
          </cell>
        </row>
        <row r="5092">
          <cell r="A5092" t="str">
            <v>H9FX2E</v>
          </cell>
          <cell r="B5092" t="str">
            <v>PC 24x7 HD返却不要 3年 DL580 Gen10用</v>
          </cell>
          <cell r="C5092" t="str">
            <v>【HPEプロアクティブケア】メーカー推奨／低価格で国内専用窓口の高品質な保守により、システム運用における安心を提供します。</v>
          </cell>
        </row>
        <row r="5093">
          <cell r="A5093" t="str">
            <v>H9FY9E</v>
          </cell>
          <cell r="B5093" t="str">
            <v>FC 9x5 4年 DL580 Gen10用</v>
          </cell>
          <cell r="C5093" t="str">
            <v>【ファウンデーションケア】</v>
          </cell>
        </row>
        <row r="5094">
          <cell r="A5094" t="str">
            <v>H9FZ0E</v>
          </cell>
          <cell r="B5094" t="str">
            <v>FC 9x5 HD返却不要 4年 DL580 Gen10用</v>
          </cell>
          <cell r="C5094" t="str">
            <v>【ファウンデーションケア】</v>
          </cell>
        </row>
        <row r="5095">
          <cell r="A5095" t="str">
            <v>H9FZ7E</v>
          </cell>
          <cell r="B5095" t="str">
            <v>FC 24x7 4年 DL580 Gen10用</v>
          </cell>
          <cell r="C5095" t="str">
            <v>【ファウンデーションケア】</v>
          </cell>
        </row>
        <row r="5096">
          <cell r="A5096" t="str">
            <v>H9FZ8E</v>
          </cell>
          <cell r="B5096" t="str">
            <v>FC 24x7 HD返却不要 4年 DL580 Gen10用</v>
          </cell>
          <cell r="C5096" t="str">
            <v>【ファウンデーションケア】</v>
          </cell>
        </row>
        <row r="5097">
          <cell r="A5097" t="str">
            <v>H9GA0E</v>
          </cell>
          <cell r="B5097" t="str">
            <v>PC 24x7 4年 DL580 Gen10用</v>
          </cell>
          <cell r="C5097" t="str">
            <v>【HPEプロアクティブケア】メーカー推奨／低価格で国内専用窓口の高品質な保守により、システム運用における安心を提供します。</v>
          </cell>
        </row>
        <row r="5098">
          <cell r="A5098" t="str">
            <v>H9GA1E</v>
          </cell>
          <cell r="B5098" t="str">
            <v>PC 24x7 HD返却不要 4年 DL580 Gen10用</v>
          </cell>
          <cell r="C5098" t="str">
            <v>【HPEプロアクティブケア】メーカー推奨／低価格で国内専用窓口の高品質な保守により、システム運用における安心を提供します。</v>
          </cell>
        </row>
        <row r="5099">
          <cell r="A5099" t="str">
            <v>H9GB8E</v>
          </cell>
          <cell r="B5099" t="str">
            <v>FC 9x5 5年 DL580 Gen10用</v>
          </cell>
          <cell r="C5099" t="str">
            <v>【ファウンデーションケア】</v>
          </cell>
        </row>
        <row r="5100">
          <cell r="A5100" t="str">
            <v>H9GB9E</v>
          </cell>
          <cell r="B5100" t="str">
            <v>FC 9x5 HD返却不要 5年 DL580 Gen10用</v>
          </cell>
          <cell r="C5100" t="str">
            <v>【ファウンデーションケア】</v>
          </cell>
        </row>
        <row r="5101">
          <cell r="A5101" t="str">
            <v>H9GC6E</v>
          </cell>
          <cell r="B5101" t="str">
            <v>FC 24x7 5年 DL580 Gen10用</v>
          </cell>
          <cell r="C5101" t="str">
            <v>【ファウンデーションケア】</v>
          </cell>
        </row>
        <row r="5102">
          <cell r="A5102" t="str">
            <v>H9GC7E</v>
          </cell>
          <cell r="B5102" t="str">
            <v>FC 24x7 HD返却不要 5年 DL580 Gen10用</v>
          </cell>
          <cell r="C5102" t="str">
            <v>【ファウンデーションケア】</v>
          </cell>
        </row>
        <row r="5103">
          <cell r="A5103" t="str">
            <v>H9GC9E</v>
          </cell>
          <cell r="B5103" t="str">
            <v>PC 24x7 5年 DL580 Gen10用</v>
          </cell>
          <cell r="C5103" t="str">
            <v>【HPEプロアクティブケア】メーカー推奨／低価格で国内専用窓口の高品質な保守により、システム運用における安心を提供します。</v>
          </cell>
        </row>
        <row r="5104">
          <cell r="A5104" t="str">
            <v>H9GD0E</v>
          </cell>
          <cell r="B5104" t="str">
            <v>PC 24x7 HD返却不要 5年 DL580 Gen10用</v>
          </cell>
          <cell r="C5104" t="str">
            <v>【HPEプロアクティブケア】メーカー推奨／低価格で国内専用窓口の高品質な保守により、システム運用における安心を提供します。</v>
          </cell>
        </row>
        <row r="5105">
          <cell r="A5105" t="str">
            <v>H9GE7E</v>
          </cell>
          <cell r="B5105" t="str">
            <v>FC 9x5 3年 ML350 Gen10用</v>
          </cell>
          <cell r="C5105" t="str">
            <v>【ファウンデーションケア】</v>
          </cell>
        </row>
        <row r="5106">
          <cell r="A5106" t="str">
            <v>H9GE8E</v>
          </cell>
          <cell r="B5106" t="str">
            <v>FC 9x5 HD返却不要 3年 ML350 Gen10用</v>
          </cell>
          <cell r="C5106" t="str">
            <v>【ファウンデーションケア】</v>
          </cell>
        </row>
        <row r="5107">
          <cell r="A5107" t="str">
            <v>H9GF5E</v>
          </cell>
          <cell r="B5107" t="str">
            <v>FC 24x7 3年 ML350 Gen10用</v>
          </cell>
          <cell r="C5107" t="str">
            <v>【ファウンデーションケア】</v>
          </cell>
        </row>
        <row r="5108">
          <cell r="A5108" t="str">
            <v>H9GF6E</v>
          </cell>
          <cell r="B5108" t="str">
            <v>FC 24x7 HD返却不要 3年 ML350 Gen10用</v>
          </cell>
          <cell r="C5108" t="str">
            <v>【ファウンデーションケア】</v>
          </cell>
        </row>
        <row r="5109">
          <cell r="A5109" t="str">
            <v>H9GF8E</v>
          </cell>
          <cell r="B5109" t="str">
            <v>PC 24x7 3年 ML350 Gen10用</v>
          </cell>
          <cell r="C5109" t="str">
            <v>【HPEプロアクティブケア】メーカー推奨／低価格で国内専用窓口の高品質な保守により、システム運用における安心を提供します。</v>
          </cell>
        </row>
        <row r="5110">
          <cell r="A5110" t="str">
            <v>H9GF9E</v>
          </cell>
          <cell r="B5110" t="str">
            <v>PC 24x7 HD返却不要 3年 ML350 Gen10用</v>
          </cell>
          <cell r="C5110" t="str">
            <v>【HPEプロアクティブケア】メーカー推奨／低価格で国内専用窓口の高品質な保守により、システム運用における安心を提供します。</v>
          </cell>
        </row>
        <row r="5111">
          <cell r="A5111" t="str">
            <v>H9GH6E</v>
          </cell>
          <cell r="B5111" t="str">
            <v>FC 9x5 4年 ML350 Gen10用</v>
          </cell>
          <cell r="C5111" t="str">
            <v>【ファウンデーションケア】</v>
          </cell>
        </row>
        <row r="5112">
          <cell r="A5112" t="str">
            <v>H9GH7E</v>
          </cell>
          <cell r="B5112" t="str">
            <v>FC 9x5 HD返却不要 4年 ML350 Gen10用</v>
          </cell>
          <cell r="C5112" t="str">
            <v>【ファウンデーションケア】</v>
          </cell>
        </row>
        <row r="5113">
          <cell r="A5113" t="str">
            <v>H9GJ4E</v>
          </cell>
          <cell r="B5113" t="str">
            <v>FC 24x7 4年 ML350 Gen10用</v>
          </cell>
          <cell r="C5113" t="str">
            <v>【ファウンデーションケア】</v>
          </cell>
        </row>
        <row r="5114">
          <cell r="A5114" t="str">
            <v>H9GJ5E</v>
          </cell>
          <cell r="B5114" t="str">
            <v>FC 24x7 HD返却不要 4年 ML350 Gen10用</v>
          </cell>
          <cell r="C5114" t="str">
            <v>【ファウンデーションケア】</v>
          </cell>
        </row>
        <row r="5115">
          <cell r="A5115" t="str">
            <v>H9GJ7E</v>
          </cell>
          <cell r="B5115" t="str">
            <v>PC 24x7 4年 ML350 Gen10用</v>
          </cell>
          <cell r="C5115" t="str">
            <v>【HPEプロアクティブケア】メーカー推奨／低価格で国内専用窓口の高品質な保守により、システム運用における安心を提供します。</v>
          </cell>
        </row>
        <row r="5116">
          <cell r="A5116" t="str">
            <v>H9GJ8E</v>
          </cell>
          <cell r="B5116" t="str">
            <v>PC 24x7 HD返却不要 4年 ML350 Gen10用</v>
          </cell>
          <cell r="C5116" t="str">
            <v>【HPEプロアクティブケア】メーカー推奨／低価格で国内専用窓口の高品質な保守により、システム運用における安心を提供します。</v>
          </cell>
        </row>
        <row r="5117">
          <cell r="A5117" t="str">
            <v>H9GL5E</v>
          </cell>
          <cell r="B5117" t="str">
            <v>FC 9x5 5年 ML350 Gen10用</v>
          </cell>
          <cell r="C5117" t="str">
            <v>【ファウンデーションケア】</v>
          </cell>
        </row>
        <row r="5118">
          <cell r="A5118" t="str">
            <v>H9GL6E</v>
          </cell>
          <cell r="B5118" t="str">
            <v>FC 9x5 HD返却不要 5年 ML350 Gen10用</v>
          </cell>
          <cell r="C5118" t="str">
            <v>【ファウンデーションケア】</v>
          </cell>
        </row>
        <row r="5119">
          <cell r="A5119" t="str">
            <v>H9GM3E</v>
          </cell>
          <cell r="B5119" t="str">
            <v>FC 24x7 5年 ML350 Gen10用</v>
          </cell>
          <cell r="C5119" t="str">
            <v>【ファウンデーションケア】</v>
          </cell>
        </row>
        <row r="5120">
          <cell r="A5120" t="str">
            <v>H9GM4E</v>
          </cell>
          <cell r="B5120" t="str">
            <v>FC 24x7 HD返却不要 5年 ML350 Gen10用</v>
          </cell>
          <cell r="C5120" t="str">
            <v>【ファウンデーションケア】</v>
          </cell>
        </row>
        <row r="5121">
          <cell r="A5121" t="str">
            <v>H9GM6E</v>
          </cell>
          <cell r="B5121" t="str">
            <v>PC 24x7 5年 ML350 Gen10用</v>
          </cell>
          <cell r="C5121" t="str">
            <v>【HPEプロアクティブケア】メーカー推奨／低価格で国内専用窓口の高品質な保守により、システム運用における安心を提供します。</v>
          </cell>
        </row>
        <row r="5122">
          <cell r="A5122" t="str">
            <v>H9GM7E</v>
          </cell>
          <cell r="B5122" t="str">
            <v>PC 24x7 HD返却不要 5年 ML350 Gen10用</v>
          </cell>
          <cell r="C5122" t="str">
            <v>【HPEプロアクティブケア】メーカー推奨／低価格で国内専用窓口の高品質な保守により、システム運用における安心を提供します。</v>
          </cell>
        </row>
        <row r="5123">
          <cell r="A5123" t="str">
            <v>H9GP7E</v>
          </cell>
          <cell r="B5123" t="str">
            <v>FC 24x7 3年 DL580 Gen10 OV用</v>
          </cell>
          <cell r="C5123" t="str">
            <v>【ファウンデーションケア】</v>
          </cell>
        </row>
        <row r="5124">
          <cell r="A5124" t="str">
            <v>H9GP8E</v>
          </cell>
          <cell r="B5124" t="str">
            <v>FC 24x7 HD返却不要 3年 DL580 Gen10 OV用</v>
          </cell>
          <cell r="C5124" t="str">
            <v>【ファウンデーションケア】</v>
          </cell>
        </row>
        <row r="5125">
          <cell r="A5125" t="str">
            <v>H9GP9E</v>
          </cell>
          <cell r="B5125" t="str">
            <v>PC 24x7 3年 DL580 Gen10 OV用</v>
          </cell>
          <cell r="C5125" t="str">
            <v>【HPEプロアクティブケア】メーカー推奨／低価格で国内専用窓口の高品質な保守により、システム運用における安心を提供します。</v>
          </cell>
        </row>
        <row r="5126">
          <cell r="A5126" t="str">
            <v>H9GQ0E</v>
          </cell>
          <cell r="B5126" t="str">
            <v>PC 24x7 HD返却不要 3年 DL580 Gen10 OV用</v>
          </cell>
          <cell r="C5126" t="str">
            <v>【HPEプロアクティブケア】メーカー推奨／低価格で国内専用窓口の高品質な保守により、システム運用における安心を提供します。</v>
          </cell>
        </row>
        <row r="5127">
          <cell r="A5127" t="str">
            <v>H9GR5E</v>
          </cell>
          <cell r="B5127" t="str">
            <v>FC 24x7 4年 DL580 Gen10 OV用</v>
          </cell>
          <cell r="C5127" t="str">
            <v>【ファウンデーションケア】</v>
          </cell>
        </row>
        <row r="5128">
          <cell r="A5128" t="str">
            <v>H9GR6E</v>
          </cell>
          <cell r="B5128" t="str">
            <v>FC 24x7 HD返却不要 4年 DL580 Gen10 OV用</v>
          </cell>
          <cell r="C5128" t="str">
            <v>【ファウンデーションケア】</v>
          </cell>
        </row>
        <row r="5129">
          <cell r="A5129" t="str">
            <v>H9GR7E</v>
          </cell>
          <cell r="B5129" t="str">
            <v>PC 24x7 4年 DL580 Gen10 OV用</v>
          </cell>
          <cell r="C5129" t="str">
            <v>【HPEプロアクティブケア】メーカー推奨／低価格で国内専用窓口の高品質な保守により、システム運用における安心を提供します。</v>
          </cell>
        </row>
        <row r="5130">
          <cell r="A5130" t="str">
            <v>H9GR8E</v>
          </cell>
          <cell r="B5130" t="str">
            <v>PC 24x7 HD返却不要 4年 DL580 Gen10 OV用</v>
          </cell>
          <cell r="C5130" t="str">
            <v>【HPEプロアクティブケア】メーカー推奨／低価格で国内専用窓口の高品質な保守により、システム運用における安心を提供します。</v>
          </cell>
        </row>
        <row r="5131">
          <cell r="A5131" t="str">
            <v>H9GT3E</v>
          </cell>
          <cell r="B5131" t="str">
            <v>FC 24x7 5年 DL580 Gen10 OV用</v>
          </cell>
          <cell r="C5131" t="str">
            <v>【ファウンデーションケア】</v>
          </cell>
        </row>
        <row r="5132">
          <cell r="A5132" t="str">
            <v>H9GT4E</v>
          </cell>
          <cell r="B5132" t="str">
            <v>FC 24x7 HD返却不要 5年 DL580 Gen10 OV用</v>
          </cell>
          <cell r="C5132" t="str">
            <v>【ファウンデーションケア】</v>
          </cell>
        </row>
        <row r="5133">
          <cell r="A5133" t="str">
            <v>H9GT5E</v>
          </cell>
          <cell r="B5133" t="str">
            <v>PC 24x7 5年 DL580 Gen10 OV用</v>
          </cell>
          <cell r="C5133" t="str">
            <v>【HPEプロアクティブケア】メーカー推奨／低価格で国内専用窓口の高品質な保守により、システム運用における安心を提供します。</v>
          </cell>
        </row>
        <row r="5134">
          <cell r="A5134" t="str">
            <v>H9GT6E</v>
          </cell>
          <cell r="B5134" t="str">
            <v>PC 24x7 HD返却不要 5年 DL580 Gen10 OV用</v>
          </cell>
          <cell r="C5134" t="str">
            <v>【HPEプロアクティブケア】メーカー推奨／低価格で国内専用窓口の高品質な保守により、システム運用における安心を提供します。</v>
          </cell>
        </row>
        <row r="5135">
          <cell r="A5135" t="str">
            <v>H9GX2E</v>
          </cell>
          <cell r="B5135" t="str">
            <v>FC 9x5 3年 DL580 Gen10 OV用</v>
          </cell>
          <cell r="C5135" t="str">
            <v>【ファウンデーションケア】</v>
          </cell>
        </row>
        <row r="5136">
          <cell r="A5136" t="str">
            <v>H9GX3E</v>
          </cell>
          <cell r="B5136" t="str">
            <v>FC 9x5 HD返却不要 3年 DL580 Gen10 OV用</v>
          </cell>
          <cell r="C5136" t="str">
            <v>【ファウンデーションケア】</v>
          </cell>
        </row>
        <row r="5137">
          <cell r="A5137" t="str">
            <v>H9GX4E</v>
          </cell>
          <cell r="B5137" t="str">
            <v>FC 9x5 4年 DL580 Gen10 OV用</v>
          </cell>
          <cell r="C5137" t="str">
            <v>【ファウンデーションケア】</v>
          </cell>
        </row>
        <row r="5138">
          <cell r="A5138" t="str">
            <v>H9GX5E</v>
          </cell>
          <cell r="B5138" t="str">
            <v>FC 9x5 HD返却不要 4年 DL580 Gen10 OV用</v>
          </cell>
          <cell r="C5138" t="str">
            <v>【ファウンデーションケア】</v>
          </cell>
        </row>
        <row r="5139">
          <cell r="A5139" t="str">
            <v>H9GX6E</v>
          </cell>
          <cell r="B5139" t="str">
            <v>FC 9x5 5年 DL580 Gen10 OV用</v>
          </cell>
          <cell r="C5139" t="str">
            <v>【ファウンデーションケア】</v>
          </cell>
        </row>
        <row r="5140">
          <cell r="A5140" t="str">
            <v>H9GX7E</v>
          </cell>
          <cell r="B5140" t="str">
            <v>FC 9x5 HD返却不要 5年 DL580 Gen10 OV用</v>
          </cell>
          <cell r="C5140" t="str">
            <v>【ファウンデーションケア】</v>
          </cell>
        </row>
        <row r="5141">
          <cell r="A5141" t="str">
            <v>H9HE4E</v>
          </cell>
          <cell r="B5141" t="str">
            <v>FC 9x5 6年 ML350 Gen10用</v>
          </cell>
          <cell r="C5141" t="str">
            <v>【ファウンデーションケア】</v>
          </cell>
        </row>
        <row r="5142">
          <cell r="A5142" t="str">
            <v>H9HE5E</v>
          </cell>
          <cell r="B5142" t="str">
            <v>FC 9x5 HD返却不要 6年 ML350 Gen10用</v>
          </cell>
          <cell r="C5142" t="str">
            <v>【ファウンデーションケア】</v>
          </cell>
        </row>
        <row r="5143">
          <cell r="A5143" t="str">
            <v>H9HE6E</v>
          </cell>
          <cell r="B5143" t="str">
            <v>FC 24x7 6年 ML350 Gen10用</v>
          </cell>
          <cell r="C5143" t="str">
            <v>【ファウンデーションケア】</v>
          </cell>
        </row>
        <row r="5144">
          <cell r="A5144" t="str">
            <v>H9HE7E</v>
          </cell>
          <cell r="B5144" t="str">
            <v>FC 24x7 HD返却不要 6年 ML350 Gen10用</v>
          </cell>
          <cell r="C5144" t="str">
            <v>【ファウンデーションケア】</v>
          </cell>
        </row>
        <row r="5145">
          <cell r="A5145" t="str">
            <v>H9HF0E</v>
          </cell>
          <cell r="B5145" t="str">
            <v>PC 24x7 6年 ML350 Gen10用</v>
          </cell>
          <cell r="C5145" t="str">
            <v>【HPEプロアクティブケア】メーカー推奨／低価格で国内専用窓口の高品質な保守により、システム運用における安心を提供します。</v>
          </cell>
        </row>
        <row r="5146">
          <cell r="A5146" t="str">
            <v>H9HF1E</v>
          </cell>
          <cell r="B5146" t="str">
            <v>PC 24x7 HD返却不要 6年 ML350 Gen10用</v>
          </cell>
          <cell r="C5146" t="str">
            <v>【HPEプロアクティブケア】メーカー推奨／低価格で国内専用窓口の高品質な保守により、システム運用における安心を提供します。</v>
          </cell>
        </row>
        <row r="5147">
          <cell r="A5147" t="str">
            <v>H9HF4E</v>
          </cell>
          <cell r="B5147" t="str">
            <v>FC 9x5 7年 ML350 Gen10用</v>
          </cell>
          <cell r="C5147" t="str">
            <v>【ファウンデーションケア】</v>
          </cell>
        </row>
        <row r="5148">
          <cell r="A5148" t="str">
            <v>H9HF5E</v>
          </cell>
          <cell r="B5148" t="str">
            <v>FC 9x5 HD返却不要 7年 ML350 Gen10用</v>
          </cell>
          <cell r="C5148" t="str">
            <v>【ファウンデーションケア】</v>
          </cell>
        </row>
        <row r="5149">
          <cell r="A5149" t="str">
            <v>H9HF6E</v>
          </cell>
          <cell r="B5149" t="str">
            <v>FC 24x7 7年 ML350 Gen10用</v>
          </cell>
          <cell r="C5149" t="str">
            <v>【ファウンデーションケア】</v>
          </cell>
        </row>
        <row r="5150">
          <cell r="A5150" t="str">
            <v>H9HF7E</v>
          </cell>
          <cell r="B5150" t="str">
            <v>FC 24x7 HD返却不要 7年 ML350 Gen10用</v>
          </cell>
          <cell r="C5150" t="str">
            <v>【ファウンデーションケア】</v>
          </cell>
        </row>
        <row r="5151">
          <cell r="A5151" t="str">
            <v>H9HG0E</v>
          </cell>
          <cell r="B5151" t="str">
            <v>PC 24x7 7年 ML350 Gen10用</v>
          </cell>
          <cell r="C5151" t="str">
            <v>【HPEプロアクティブケア】メーカー推奨／低価格で国内専用窓口の高品質な保守により、システム運用における安心を提供します。</v>
          </cell>
        </row>
        <row r="5152">
          <cell r="A5152" t="str">
            <v>H9HG1E</v>
          </cell>
          <cell r="B5152" t="str">
            <v>PC 24x7 HD返却不要 7年 ML350 Gen10用</v>
          </cell>
          <cell r="C5152" t="str">
            <v>【HPEプロアクティブケア】メーカー推奨／低価格で国内専用窓口の高品質な保守により、システム運用における安心を提供します。</v>
          </cell>
        </row>
        <row r="5153">
          <cell r="A5153" t="str">
            <v>H9HG2PE</v>
          </cell>
          <cell r="B5153" t="str">
            <v>PW FC 翌日 1年 BL660c Gen9用</v>
          </cell>
          <cell r="C5153" t="str">
            <v>【ファウンデーションケア】</v>
          </cell>
        </row>
        <row r="5154">
          <cell r="A5154" t="str">
            <v>H9HG5PE</v>
          </cell>
          <cell r="B5154" t="str">
            <v>PW FC 24x7 1年 BL660c Gen9用</v>
          </cell>
          <cell r="C5154" t="str">
            <v>【ファウンデーションケア】</v>
          </cell>
        </row>
        <row r="5155">
          <cell r="A5155" t="str">
            <v>H9HG6PE</v>
          </cell>
          <cell r="B5155" t="str">
            <v>PW FC 24x7 HD返却不要 1年 BL660c Gen9用</v>
          </cell>
          <cell r="C5155" t="str">
            <v>【ファウンデーションケア】</v>
          </cell>
        </row>
        <row r="5156">
          <cell r="A5156" t="str">
            <v>H9HH4PE</v>
          </cell>
          <cell r="B5156" t="str">
            <v>PW PC 24x7 1年 BL660c Gen9用</v>
          </cell>
          <cell r="C5156" t="str">
            <v>【HPEプロアクティブケア】メーカー推奨／低価格で国内専用窓口の高品質な保守により、システム運用における安心を提供します。</v>
          </cell>
        </row>
        <row r="5157">
          <cell r="A5157" t="str">
            <v>H9HH5PE</v>
          </cell>
          <cell r="B5157" t="str">
            <v>PW PC 24x7 HD返却不要 1年 BL660c Gen9用</v>
          </cell>
          <cell r="C5157" t="str">
            <v>【HPEプロアクティブケア】メーカー推奨／低価格で国内専用窓口の高品質な保守により、システム運用における安心を提供します。</v>
          </cell>
        </row>
        <row r="5158">
          <cell r="A5158" t="str">
            <v>H9HJ0PE</v>
          </cell>
          <cell r="B5158" t="str">
            <v>PW FC 9x5 1年 BL660c Gen9用</v>
          </cell>
          <cell r="C5158" t="str">
            <v>【ファウンデーションケア】</v>
          </cell>
        </row>
        <row r="5159">
          <cell r="A5159" t="str">
            <v>H9HJ1PE</v>
          </cell>
          <cell r="B5159" t="str">
            <v>PW FC 9x5 HD返却不要 1年 BL660c Gen9用</v>
          </cell>
          <cell r="C5159" t="str">
            <v>【ファウンデーションケア】</v>
          </cell>
        </row>
        <row r="5160">
          <cell r="A5160" t="str">
            <v>H9HJ2PE</v>
          </cell>
          <cell r="B5160" t="str">
            <v>PW FC 翌日 1年 WS460c Gen9用</v>
          </cell>
          <cell r="C5160" t="str">
            <v>【ファウンデーションケア】</v>
          </cell>
        </row>
        <row r="5161">
          <cell r="A5161" t="str">
            <v>H9HJ5PE</v>
          </cell>
          <cell r="B5161" t="str">
            <v>PW FC 24x7 1年 WS460c Gen9用</v>
          </cell>
          <cell r="C5161" t="str">
            <v>【ファウンデーションケア】</v>
          </cell>
        </row>
        <row r="5162">
          <cell r="A5162" t="str">
            <v>H9HJ6PE</v>
          </cell>
          <cell r="B5162" t="str">
            <v>PW FC 24x7 HD返却不要 1年 WS460c Gen9用</v>
          </cell>
          <cell r="C5162" t="str">
            <v>【ファウンデーションケア】</v>
          </cell>
        </row>
        <row r="5163">
          <cell r="A5163" t="str">
            <v>H9HL0PE</v>
          </cell>
          <cell r="B5163" t="str">
            <v>PW FC 9x5 1年 WS460c Gen9用</v>
          </cell>
          <cell r="C5163" t="str">
            <v>【ファウンデーションケア】</v>
          </cell>
        </row>
        <row r="5164">
          <cell r="A5164" t="str">
            <v>H9HL1PE</v>
          </cell>
          <cell r="B5164" t="str">
            <v>PW FC 9x5 HD返却不要 1年 WS460c Gen9用</v>
          </cell>
          <cell r="C5164" t="str">
            <v>【ファウンデーションケア】</v>
          </cell>
        </row>
        <row r="5165">
          <cell r="A5165" t="str">
            <v>H9HL2PE</v>
          </cell>
          <cell r="B5165" t="str">
            <v>PW FC 翌日 1年 VC FlxFbrc 20/40 F8 Mod用</v>
          </cell>
          <cell r="C5165" t="str">
            <v>【ファウンデーションケア】</v>
          </cell>
        </row>
        <row r="5166">
          <cell r="A5166" t="str">
            <v>H9HL5PE</v>
          </cell>
          <cell r="B5166" t="str">
            <v>PW FC 24x7 1年 VC FlxFbrc 20/40 F8 Mod用</v>
          </cell>
          <cell r="C5166" t="str">
            <v>【ファウンデーションケア】</v>
          </cell>
        </row>
        <row r="5167">
          <cell r="A5167" t="str">
            <v>H9HM4PE</v>
          </cell>
          <cell r="B5167" t="str">
            <v>PW PC 24x7 1年 VC FlxFbrc 20/40 F8 Mod用</v>
          </cell>
          <cell r="C5167" t="str">
            <v>【HPEプロアクティブケア】メーカー推奨／低価格で国内専用窓口の高品質な保守により、システム運用における安心を提供します。</v>
          </cell>
        </row>
        <row r="5168">
          <cell r="A5168" t="str">
            <v>H9HN0PE</v>
          </cell>
          <cell r="B5168" t="str">
            <v>PW FC 9x5 1年 VC FlxFbrc 20/40 F8 Mod用</v>
          </cell>
          <cell r="C5168" t="str">
            <v>【ファウンデーションケア】</v>
          </cell>
        </row>
        <row r="5169">
          <cell r="A5169" t="str">
            <v>H9HN2PE</v>
          </cell>
          <cell r="B5169" t="str">
            <v>PW FC 翌日 1年 VC 16Gb 24port FC Mod用</v>
          </cell>
          <cell r="C5169" t="str">
            <v>【ファウンデーションケア】</v>
          </cell>
        </row>
        <row r="5170">
          <cell r="A5170" t="str">
            <v>H9HN5PE</v>
          </cell>
          <cell r="B5170" t="str">
            <v>PW FC 24x7 1年 VC 16Gb 24port FC Mod用</v>
          </cell>
          <cell r="C5170" t="str">
            <v>【ファウンデーションケア】</v>
          </cell>
        </row>
        <row r="5171">
          <cell r="A5171" t="str">
            <v>H9HP4PE</v>
          </cell>
          <cell r="B5171" t="str">
            <v>PW PC 24x7 1年 VC 16Gb 24port FC Mod用</v>
          </cell>
          <cell r="C5171" t="str">
            <v>【HPEプロアクティブケア】メーカー推奨／低価格で国内専用窓口の高品質な保守により、システム運用における安心を提供します。</v>
          </cell>
        </row>
        <row r="5172">
          <cell r="A5172" t="str">
            <v>H9HQ0PE</v>
          </cell>
          <cell r="B5172" t="str">
            <v>PW FC 9x5 1年 VC 16Gb 24port FC Mod用</v>
          </cell>
          <cell r="C5172" t="str">
            <v>【ファウンデーションケア】</v>
          </cell>
        </row>
        <row r="5173">
          <cell r="A5173" t="str">
            <v>HA9D5PE</v>
          </cell>
          <cell r="B5173" t="str">
            <v>PW FC 翌日 1年 DL560 Gen9用</v>
          </cell>
          <cell r="C5173" t="str">
            <v>【ファウンデーションケア】</v>
          </cell>
        </row>
        <row r="5174">
          <cell r="A5174" t="str">
            <v>HA9E1PE</v>
          </cell>
          <cell r="B5174" t="str">
            <v>PW FC 24x7 1年 DL560 Gen9用</v>
          </cell>
          <cell r="C5174" t="str">
            <v>【ファウンデーションケア】</v>
          </cell>
        </row>
        <row r="5175">
          <cell r="A5175" t="str">
            <v>HA9E2PE</v>
          </cell>
          <cell r="B5175" t="str">
            <v>PW FC 24x7 HD返却不要 1年 DL560 Gen9用</v>
          </cell>
          <cell r="C5175" t="str">
            <v>【ファウンデーションケア】</v>
          </cell>
        </row>
        <row r="5176">
          <cell r="A5176" t="str">
            <v>HA9E4PE</v>
          </cell>
          <cell r="B5176" t="str">
            <v>PW PC 24x7 1年 DL560 Gen9用</v>
          </cell>
          <cell r="C5176" t="str">
            <v>【HPEプロアクティブケア】メーカー推奨／低価格で国内専用窓口の高品質な保守により、システム運用における安心を提供します。</v>
          </cell>
        </row>
        <row r="5177">
          <cell r="A5177" t="str">
            <v>HA9E5PE</v>
          </cell>
          <cell r="B5177" t="str">
            <v>PW PC 24x7 HD返却不要 1年 DL560 Gen9用</v>
          </cell>
          <cell r="C5177" t="str">
            <v>【HPEプロアクティブケア】メーカー推奨／低価格で国内専用窓口の高品質な保守により、システム運用における安心を提供します。</v>
          </cell>
        </row>
        <row r="5178">
          <cell r="A5178" t="str">
            <v>HA9F3PE</v>
          </cell>
          <cell r="B5178" t="str">
            <v>PW FC 9x5 1年 DL560 Gen9用</v>
          </cell>
          <cell r="C5178" t="str">
            <v>【ファウンデーションケア】</v>
          </cell>
        </row>
        <row r="5179">
          <cell r="A5179" t="str">
            <v>HA9F4PE</v>
          </cell>
          <cell r="B5179" t="str">
            <v>PW FC 9x5 HD返却不要 1年 DL560 Gen9用</v>
          </cell>
          <cell r="C5179" t="str">
            <v>【ファウンデーションケア】</v>
          </cell>
        </row>
        <row r="5180">
          <cell r="A5180" t="str">
            <v>HA9F5PE</v>
          </cell>
          <cell r="B5180" t="str">
            <v>PW FC 翌日 1年 DL560 Gen9 OV用</v>
          </cell>
          <cell r="C5180" t="str">
            <v>【ファウンデーションケア】</v>
          </cell>
        </row>
        <row r="5181">
          <cell r="A5181" t="str">
            <v>HA9G1PE</v>
          </cell>
          <cell r="B5181" t="str">
            <v>PW FC 24x7 1年 DL560 Gen9 OV用</v>
          </cell>
          <cell r="C5181" t="str">
            <v>【ファウンデーションケア】</v>
          </cell>
        </row>
        <row r="5182">
          <cell r="A5182" t="str">
            <v>HA9G2PE</v>
          </cell>
          <cell r="B5182" t="str">
            <v>PW FC 24x7 HD返却不要 1年 DL560 Gen9 OV</v>
          </cell>
          <cell r="C5182" t="str">
            <v>【ファウンデーションケア】</v>
          </cell>
        </row>
        <row r="5183">
          <cell r="A5183" t="str">
            <v>HA9G4PE</v>
          </cell>
          <cell r="B5183" t="str">
            <v>PW PC 24x7 1年 DL560 Gen9 OV用</v>
          </cell>
          <cell r="C5183" t="str">
            <v>【HPEプロアクティブケア】メーカー推奨／低価格で国内専用窓口の高品質な保守により、システム運用における安心を提供します。</v>
          </cell>
        </row>
        <row r="5184">
          <cell r="A5184" t="str">
            <v>HA9G5PE</v>
          </cell>
          <cell r="B5184" t="str">
            <v>PW PC 24x7 HD返却不要 1年 DL560 Gen9 OV</v>
          </cell>
          <cell r="C5184" t="str">
            <v>【HPEプロアクティブケア】メーカー推奨／低価格で国内専用窓口の高品質な保守により、システム運用における安心を提供します。</v>
          </cell>
        </row>
        <row r="5185">
          <cell r="A5185" t="str">
            <v>HA9H3PE</v>
          </cell>
          <cell r="B5185" t="str">
            <v>PW FC 9x5 1年 DL560 Gen9 OV用</v>
          </cell>
          <cell r="C5185" t="str">
            <v>【ファウンデーションケア】</v>
          </cell>
        </row>
        <row r="5186">
          <cell r="A5186" t="str">
            <v>HA9H4PE</v>
          </cell>
          <cell r="B5186" t="str">
            <v>PW FC 9x5 HD返却不要 1年 DL560 Gen9 OV用</v>
          </cell>
          <cell r="C5186" t="str">
            <v>【ファウンデーションケア】</v>
          </cell>
        </row>
        <row r="5187">
          <cell r="A5187" t="str">
            <v>HC042PE</v>
          </cell>
          <cell r="B5187" t="str">
            <v>PW HW 翌日 1年 BladeSys p-ClasEncl</v>
          </cell>
          <cell r="C5187" t="str">
            <v>-</v>
          </cell>
        </row>
        <row r="5188">
          <cell r="A5188" t="str">
            <v>HC044PE</v>
          </cell>
          <cell r="B5188" t="str">
            <v>PW HW 4h 24x7 1年 BladeSys p-ClasEncl</v>
          </cell>
          <cell r="C5188" t="str">
            <v>-</v>
          </cell>
        </row>
        <row r="5189">
          <cell r="A5189" t="str">
            <v>HC273PE</v>
          </cell>
          <cell r="B5189" t="str">
            <v>PW HW 4h 標準 1年 BladeSys p-ClasEncl</v>
          </cell>
          <cell r="C5189" t="str">
            <v>-</v>
          </cell>
        </row>
        <row r="5190">
          <cell r="A5190" t="str">
            <v>U0SW1PE</v>
          </cell>
          <cell r="B5190" t="str">
            <v>PW FC 24x7 1年 SL6500用</v>
          </cell>
          <cell r="C5190" t="str">
            <v>【ファウンデーションケア】</v>
          </cell>
        </row>
        <row r="5191">
          <cell r="A5191" t="str">
            <v>U0SW2PE</v>
          </cell>
          <cell r="B5191" t="str">
            <v>PW FC 24x7 HD返却不要 1年 SL6500用</v>
          </cell>
          <cell r="C5191" t="str">
            <v>【ファウンデーションケア】</v>
          </cell>
        </row>
        <row r="5192">
          <cell r="A5192" t="str">
            <v>U0SW7PE</v>
          </cell>
          <cell r="B5192" t="str">
            <v>PW FC 翌日 1年 SL6000用</v>
          </cell>
          <cell r="C5192" t="str">
            <v>【ファウンデーションケア】</v>
          </cell>
        </row>
        <row r="5193">
          <cell r="A5193" t="str">
            <v>U0SX0PE</v>
          </cell>
          <cell r="B5193" t="str">
            <v>PW FC 24x7 1年 SL6000用</v>
          </cell>
          <cell r="C5193" t="str">
            <v>【ファウンデーションケア】</v>
          </cell>
        </row>
        <row r="5194">
          <cell r="A5194" t="str">
            <v>U0SX1PE</v>
          </cell>
          <cell r="B5194" t="str">
            <v>PW FC 24x7 HD返却不要 1年 SL6000用</v>
          </cell>
          <cell r="C5194" t="str">
            <v>【ファウンデーションケア】</v>
          </cell>
        </row>
        <row r="5195">
          <cell r="A5195" t="str">
            <v>U0SX6PE</v>
          </cell>
          <cell r="B5195" t="str">
            <v>PW FC 9x5 1年 MicroServer</v>
          </cell>
          <cell r="C5195" t="str">
            <v>【ファウンデーションケア】</v>
          </cell>
        </row>
        <row r="5196">
          <cell r="A5196" t="str">
            <v>U0SX7PE</v>
          </cell>
          <cell r="B5196" t="str">
            <v>PW FC 9x5 HD返却不要 1年 MicroServer</v>
          </cell>
          <cell r="C5196" t="str">
            <v>【ファウンデーションケア】</v>
          </cell>
        </row>
        <row r="5197">
          <cell r="A5197" t="str">
            <v>U0SX8PE</v>
          </cell>
          <cell r="B5197" t="str">
            <v>PW FC 9x5 1年 SL6500用</v>
          </cell>
          <cell r="C5197" t="str">
            <v>【ファウンデーションケア】</v>
          </cell>
        </row>
        <row r="5198">
          <cell r="A5198" t="str">
            <v>U0SX9PE</v>
          </cell>
          <cell r="B5198" t="str">
            <v>PW FC 9x5 HD返却不要 1年 SL6500用</v>
          </cell>
          <cell r="C5198" t="str">
            <v>【ファウンデーションケア】</v>
          </cell>
        </row>
        <row r="5199">
          <cell r="A5199" t="str">
            <v>U0SY0PE</v>
          </cell>
          <cell r="B5199" t="str">
            <v>PW FC 9x5 1年 SL6000用</v>
          </cell>
          <cell r="C5199" t="str">
            <v>【ファウンデーションケア】</v>
          </cell>
        </row>
        <row r="5200">
          <cell r="A5200" t="str">
            <v>U0SY1PE</v>
          </cell>
          <cell r="B5200" t="str">
            <v>PW FC 9x5 HD返却不要 1年 SL6000用</v>
          </cell>
          <cell r="C5200" t="str">
            <v>【ファウンデーションケア】</v>
          </cell>
        </row>
        <row r="5201">
          <cell r="A5201" t="str">
            <v>U1GY2PE</v>
          </cell>
          <cell r="B5201" t="str">
            <v>PW ProCare 24x7 1年 BL280c G6用</v>
          </cell>
          <cell r="C5201" t="str">
            <v>【HPEプロアクティブケア】メーカー推奨／低価格で国内専用窓口の高品質な保守により、システム運用における安心を提供します。</v>
          </cell>
        </row>
        <row r="5202">
          <cell r="A5202" t="str">
            <v>U1GY3PE</v>
          </cell>
          <cell r="B5202" t="str">
            <v>PW ProCare HD返却不要24x7 1年 BL280c G6</v>
          </cell>
          <cell r="C5202" t="str">
            <v>【HPEプロアクティブケア】メーカー推奨／低価格で国内専用窓口の高品質な保守により、システム運用における安心を提供します。</v>
          </cell>
        </row>
        <row r="5203">
          <cell r="A5203" t="str">
            <v>U1HC1PE</v>
          </cell>
          <cell r="B5203" t="str">
            <v>PW ProCare 24x7 1年 BL2x220c G6</v>
          </cell>
          <cell r="C5203" t="str">
            <v>【HPEプロアクティブケア】メーカー推奨／低価格で国内専用窓口の高品質な保守により、システム運用における安心を提供します。</v>
          </cell>
        </row>
        <row r="5204">
          <cell r="A5204" t="str">
            <v>U1HC2PE</v>
          </cell>
          <cell r="B5204" t="str">
            <v>PW ProCare HD返却不要24x7 1年 BL2x220cG6</v>
          </cell>
          <cell r="C5204" t="str">
            <v>【HPEプロアクティブケア】メーカー推奨／低価格で国内専用窓口の高品質な保守により、システム運用における安心を提供します。</v>
          </cell>
        </row>
        <row r="5205">
          <cell r="A5205" t="str">
            <v>U1HD0PE</v>
          </cell>
          <cell r="B5205" t="str">
            <v>PW ProCare 24x7 1年 BL460c G6用</v>
          </cell>
          <cell r="C5205" t="str">
            <v>【HPEプロアクティブケア】メーカー推奨／低価格で国内専用窓口の高品質な保守により、システム運用における安心を提供します。</v>
          </cell>
        </row>
        <row r="5206">
          <cell r="A5206" t="str">
            <v>U1HD1PE</v>
          </cell>
          <cell r="B5206" t="str">
            <v>PW ProCare HD返却不要24x7 1年 BL460c G6</v>
          </cell>
          <cell r="C5206" t="str">
            <v>【HPEプロアクティブケア】メーカー推奨／低価格で国内専用窓口の高品質な保守により、システム運用における安心を提供します。</v>
          </cell>
        </row>
        <row r="5207">
          <cell r="A5207" t="str">
            <v>U1HD9PE</v>
          </cell>
          <cell r="B5207" t="str">
            <v>PW ProCare 24x7 1年 BL465c G6用</v>
          </cell>
          <cell r="C5207" t="str">
            <v>【HPEプロアクティブケア】メーカー推奨／低価格で国内専用窓口の高品質な保守により、システム運用における安心を提供します。</v>
          </cell>
        </row>
        <row r="5208">
          <cell r="A5208" t="str">
            <v>U1HE0PE</v>
          </cell>
          <cell r="B5208" t="str">
            <v>PW ProCare HD返却不要24x7 1年 BL465c G6</v>
          </cell>
          <cell r="C5208" t="str">
            <v>【HPEプロアクティブケア】メーカー推奨／低価格で国内専用窓口の高品質な保守により、システム運用における安心を提供します。</v>
          </cell>
        </row>
        <row r="5209">
          <cell r="A5209" t="str">
            <v>U1HE8PE</v>
          </cell>
          <cell r="B5209" t="str">
            <v>PW ProCare 24x7 1年 BL490c G6用</v>
          </cell>
          <cell r="C5209" t="str">
            <v>【HPEプロアクティブケア】メーカー推奨／低価格で国内専用窓口の高品質な保守により、システム運用における安心を提供します。</v>
          </cell>
        </row>
        <row r="5210">
          <cell r="A5210" t="str">
            <v>U1HE9PE</v>
          </cell>
          <cell r="B5210" t="str">
            <v>PW ProCare HD返却不要24x7 1年 BL490c G6</v>
          </cell>
          <cell r="C5210" t="str">
            <v>【HPEプロアクティブケア】メーカー推奨／低価格で国内専用窓口の高品質な保守により、システム運用における安心を提供します。</v>
          </cell>
        </row>
        <row r="5211">
          <cell r="A5211" t="str">
            <v>U1HF7PE</v>
          </cell>
          <cell r="B5211" t="str">
            <v>PW ProCare 24x7 1年 BL495c G6用</v>
          </cell>
          <cell r="C5211" t="str">
            <v>【HPEプロアクティブケア】メーカー推奨／低価格で国内専用窓口の高品質な保守により、システム運用における安心を提供します。</v>
          </cell>
        </row>
        <row r="5212">
          <cell r="A5212" t="str">
            <v>U1HF8PE</v>
          </cell>
          <cell r="B5212" t="str">
            <v>PW ProCare HD返却不要24x7 1年 BL495c G6</v>
          </cell>
          <cell r="C5212" t="str">
            <v>【HPEプロアクティブケア】メーカー推奨／低価格で国内専用窓口の高品質な保守により、システム運用における安心を提供します。</v>
          </cell>
        </row>
        <row r="5213">
          <cell r="A5213" t="str">
            <v>U1HG6PE</v>
          </cell>
          <cell r="B5213" t="str">
            <v>PW ProCare 24x7 1年 BL685c G6用</v>
          </cell>
          <cell r="C5213" t="str">
            <v>【HPEプロアクティブケア】メーカー推奨／低価格で国内専用窓口の高品質な保守により、システム運用における安心を提供します。</v>
          </cell>
        </row>
        <row r="5214">
          <cell r="A5214" t="str">
            <v>U1HG7PE</v>
          </cell>
          <cell r="B5214" t="str">
            <v>PW ProCare HD返却不要24x7 1年 BL685c G6</v>
          </cell>
          <cell r="C5214" t="str">
            <v>【HPEプロアクティブケア】メーカー推奨／低価格で国内専用窓口の高品質な保守により、システム運用における安心を提供します。</v>
          </cell>
        </row>
        <row r="5215">
          <cell r="A5215" t="str">
            <v>U1HQ1PE</v>
          </cell>
          <cell r="B5215" t="str">
            <v>PW ProCare 24x7 1年 DL320 G6用</v>
          </cell>
          <cell r="C5215" t="str">
            <v>【HPEプロアクティブケア】メーカー推奨／低価格で国内専用窓口の高品質な保守により、システム運用における安心を提供します。</v>
          </cell>
        </row>
        <row r="5216">
          <cell r="A5216" t="str">
            <v>U1HQ2PE</v>
          </cell>
          <cell r="B5216" t="str">
            <v>PW ProCare HD返却不要24x7 1年 DL320 G6用</v>
          </cell>
          <cell r="C5216" t="str">
            <v>【HPEプロアクティブケア】メーカー推奨／低価格で国内専用窓口の高品質な保守により、システム運用における安心を提供します。</v>
          </cell>
        </row>
        <row r="5217">
          <cell r="A5217" t="str">
            <v>U1HR0PE</v>
          </cell>
          <cell r="B5217" t="str">
            <v>PW ProCare 24x7 1年 DL360 G6用</v>
          </cell>
          <cell r="C5217" t="str">
            <v>【HPEプロアクティブケア】メーカー推奨／低価格で国内専用窓口の高品質な保守により、システム運用における安心を提供します。</v>
          </cell>
        </row>
        <row r="5218">
          <cell r="A5218" t="str">
            <v>U1HR1PE</v>
          </cell>
          <cell r="B5218" t="str">
            <v>PW ProCare HD返却不要24x7 1年 DL360 G6用</v>
          </cell>
          <cell r="C5218" t="str">
            <v>【HPEプロアクティブケア】メーカー推奨／低価格で国内専用窓口の高品質な保守により、システム運用における安心を提供します。</v>
          </cell>
        </row>
        <row r="5219">
          <cell r="A5219" t="str">
            <v>U1HR9PE</v>
          </cell>
          <cell r="B5219" t="str">
            <v>PW ProCare 24x7 1年 DL370 G6用</v>
          </cell>
          <cell r="C5219" t="str">
            <v>【HPEプロアクティブケア】メーカー推奨／低価格で国内専用窓口の高品質な保守により、システム運用における安心を提供します。</v>
          </cell>
        </row>
        <row r="5220">
          <cell r="A5220" t="str">
            <v>U1HS0PE</v>
          </cell>
          <cell r="B5220" t="str">
            <v>PW ProCare HD返却不要24x7 1年 DL370 G6用</v>
          </cell>
          <cell r="C5220" t="str">
            <v>【HPEプロアクティブケア】メーカー推奨／低価格で国内専用窓口の高品質な保守により、システム運用における安心を提供します。</v>
          </cell>
        </row>
        <row r="5221">
          <cell r="A5221" t="str">
            <v>U1HS8PE</v>
          </cell>
          <cell r="B5221" t="str">
            <v>PW ProCare 24x7 1年 DL380 G6用</v>
          </cell>
          <cell r="C5221" t="str">
            <v>【HPEプロアクティブケア】メーカー推奨／低価格で国内専用窓口の高品質な保守により、システム運用における安心を提供します。</v>
          </cell>
        </row>
        <row r="5222">
          <cell r="A5222" t="str">
            <v>U1HS9PE</v>
          </cell>
          <cell r="B5222" t="str">
            <v>PW ProCare HD返却不要24x7 1年 DL380 G6用</v>
          </cell>
          <cell r="C5222" t="str">
            <v>【HPEプロアクティブケア】メーカー推奨／低価格で国内専用窓口の高品質な保守により、システム運用における安心を提供します。</v>
          </cell>
        </row>
        <row r="5223">
          <cell r="A5223" t="str">
            <v>U1HW7PE</v>
          </cell>
          <cell r="B5223" t="str">
            <v>PW ProCare 24x7 1年 DL385 G6用</v>
          </cell>
          <cell r="C5223" t="str">
            <v>【HPEプロアクティブケア】メーカー推奨／低価格で国内専用窓口の高品質な保守により、システム運用における安心を提供します。</v>
          </cell>
        </row>
        <row r="5224">
          <cell r="A5224" t="str">
            <v>U1HW8PE</v>
          </cell>
          <cell r="B5224" t="str">
            <v>PW ProCare HD返却不要24x7 1年 DL385 G6用</v>
          </cell>
          <cell r="C5224" t="str">
            <v>【HPEプロアクティブケア】メーカー推奨／低価格で国内専用窓口の高品質な保守により、システム運用における安心を提供します。</v>
          </cell>
        </row>
        <row r="5225">
          <cell r="A5225" t="str">
            <v>U1HX6PE</v>
          </cell>
          <cell r="B5225" t="str">
            <v>PW ProCare 24x7 1年 DL585 G6用</v>
          </cell>
          <cell r="C5225" t="str">
            <v>【HPEプロアクティブケア】メーカー推奨／低価格で国内専用窓口の高品質な保守により、システム運用における安心を提供します。</v>
          </cell>
        </row>
        <row r="5226">
          <cell r="A5226" t="str">
            <v>U1HX7PE</v>
          </cell>
          <cell r="B5226" t="str">
            <v>PW ProCare HD返却不要24x7 1年 DL585 G6用</v>
          </cell>
          <cell r="C5226" t="str">
            <v>【HPEプロアクティブケア】メーカー推奨／低価格で国内専用窓口の高品質な保守により、システム運用における安心を提供します。</v>
          </cell>
        </row>
        <row r="5227">
          <cell r="A5227" t="str">
            <v>U1JA3PE</v>
          </cell>
          <cell r="B5227" t="str">
            <v>PW ProCare 24x7 1年 ML330 G6用</v>
          </cell>
          <cell r="C5227" t="str">
            <v>【HPEプロアクティブケア】メーカー推奨／低価格で国内専用窓口の高品質な保守により、システム運用における安心を提供します。</v>
          </cell>
        </row>
        <row r="5228">
          <cell r="A5228" t="str">
            <v>U1JA4PE</v>
          </cell>
          <cell r="B5228" t="str">
            <v>PW ProCare HD返却不要24x7 1年 ML330 G6用</v>
          </cell>
          <cell r="C5228" t="str">
            <v>【HPEプロアクティブケア】メーカー推奨／低価格で国内専用窓口の高品質な保守により、システム運用における安心を提供します。</v>
          </cell>
        </row>
        <row r="5229">
          <cell r="A5229" t="str">
            <v>U1JB2PE</v>
          </cell>
          <cell r="B5229" t="str">
            <v>PW ProCare 24x7 1年 ML350 G6用</v>
          </cell>
          <cell r="C5229" t="str">
            <v>【HPEプロアクティブケア】メーカー推奨／低価格で国内専用窓口の高品質な保守により、システム運用における安心を提供します。</v>
          </cell>
        </row>
        <row r="5230">
          <cell r="A5230" t="str">
            <v>U1JB3PE</v>
          </cell>
          <cell r="B5230" t="str">
            <v>PW ProCare HD返却不要24x7 1年 ML350 G6用</v>
          </cell>
          <cell r="C5230" t="str">
            <v>【HPEプロアクティブケア】メーカー推奨／低価格で国内専用窓口の高品質な保守により、システム運用における安心を提供します。</v>
          </cell>
        </row>
        <row r="5231">
          <cell r="A5231" t="str">
            <v>U1JF1PE</v>
          </cell>
          <cell r="B5231" t="str">
            <v>PW ProCare 24x7 1年 ML370 G6用</v>
          </cell>
          <cell r="C5231" t="str">
            <v>【HPEプロアクティブケア】メーカー推奨／低価格で国内専用窓口の高品質な保守により、システム運用における安心を提供します。</v>
          </cell>
        </row>
        <row r="5232">
          <cell r="A5232" t="str">
            <v>U1JF2PE</v>
          </cell>
          <cell r="B5232" t="str">
            <v>PW ProCare HD返却不要24x7 1年 ML370 G6用</v>
          </cell>
          <cell r="C5232" t="str">
            <v>【HPEプロアクティブケア】メーカー推奨／低価格で国内専用窓口の高品質な保守により、システム運用における安心を提供します。</v>
          </cell>
        </row>
        <row r="5233">
          <cell r="A5233" t="str">
            <v>U1JG9PE</v>
          </cell>
          <cell r="B5233" t="str">
            <v>PW ProCare 24x7 1年 BL2x220c G7</v>
          </cell>
          <cell r="C5233" t="str">
            <v>【HPEプロアクティブケア】メーカー推奨／低価格で国内専用窓口の高品質な保守により、システム運用における安心を提供します。</v>
          </cell>
        </row>
        <row r="5234">
          <cell r="A5234" t="str">
            <v>U1JH0PE</v>
          </cell>
          <cell r="B5234" t="str">
            <v>PW ProCare HD返却不要24x7 1年 BL2x220cG7</v>
          </cell>
          <cell r="C5234" t="str">
            <v>【HPEプロアクティブケア】メーカー推奨／低価格で国内専用窓口の高品質な保守により、システム運用における安心を提供します。</v>
          </cell>
        </row>
        <row r="5235">
          <cell r="A5235" t="str">
            <v>U1JH8PE</v>
          </cell>
          <cell r="B5235" t="str">
            <v>PW ProCare 24x7 1年 BL460c G7用</v>
          </cell>
          <cell r="C5235" t="str">
            <v>【HPEプロアクティブケア】メーカー推奨／低価格で国内専用窓口の高品質な保守により、システム運用における安心を提供します。</v>
          </cell>
        </row>
        <row r="5236">
          <cell r="A5236" t="str">
            <v>U1JH9PE</v>
          </cell>
          <cell r="B5236" t="str">
            <v>PW ProCare HD返却不要24x7 1年 BL460c G7</v>
          </cell>
          <cell r="C5236" t="str">
            <v>【HPEプロアクティブケア】メーカー推奨／低価格で国内専用窓口の高品質な保守により、システム運用における安心を提供します。</v>
          </cell>
        </row>
        <row r="5237">
          <cell r="A5237" t="str">
            <v>U1JJ7PE</v>
          </cell>
          <cell r="B5237" t="str">
            <v>PW ProCare 24x7 1年 BL465c G7用</v>
          </cell>
          <cell r="C5237" t="str">
            <v>【HPEプロアクティブケア】メーカー推奨／低価格で国内専用窓口の高品質な保守により、システム運用における安心を提供します。</v>
          </cell>
        </row>
        <row r="5238">
          <cell r="A5238" t="str">
            <v>U1JJ8PE</v>
          </cell>
          <cell r="B5238" t="str">
            <v>PW ProCare HD返却不要24x7 1年 BL465c G7</v>
          </cell>
          <cell r="C5238" t="str">
            <v>【HPEプロアクティブケア】メーカー推奨／低価格で国内専用窓口の高品質な保守により、システム運用における安心を提供します。</v>
          </cell>
        </row>
        <row r="5239">
          <cell r="A5239" t="str">
            <v>U1JK6PE</v>
          </cell>
          <cell r="B5239" t="str">
            <v>PW ProCare 24x7 1年 BL490c G7</v>
          </cell>
          <cell r="C5239" t="str">
            <v>【HPEプロアクティブケア】メーカー推奨／低価格で国内専用窓口の高品質な保守により、システム運用における安心を提供します。</v>
          </cell>
        </row>
        <row r="5240">
          <cell r="A5240" t="str">
            <v>U1JK7PE</v>
          </cell>
          <cell r="B5240" t="str">
            <v>PW ProCare HD返却不要24x7 1年 BL490c G7</v>
          </cell>
          <cell r="C5240" t="str">
            <v>【HPEプロアクティブケア】メーカー推奨／低価格で国内専用窓口の高品質な保守により、システム運用における安心を提供します。</v>
          </cell>
        </row>
        <row r="5241">
          <cell r="A5241" t="str">
            <v>U1JL5PE</v>
          </cell>
          <cell r="B5241" t="str">
            <v>PW ProCare 24x7 1年 BL620c G7用</v>
          </cell>
          <cell r="C5241" t="str">
            <v>【HPEプロアクティブケア】メーカー推奨／低価格で国内専用窓口の高品質な保守により、システム運用における安心を提供します。</v>
          </cell>
        </row>
        <row r="5242">
          <cell r="A5242" t="str">
            <v>U1JL6PE</v>
          </cell>
          <cell r="B5242" t="str">
            <v>PW ProCare HD返却不要24x7 1年 BL620c G7</v>
          </cell>
          <cell r="C5242" t="str">
            <v>【HPEプロアクティブケア】メーカー推奨／低価格で国内専用窓口の高品質な保守により、システム運用における安心を提供します。</v>
          </cell>
        </row>
        <row r="5243">
          <cell r="A5243" t="str">
            <v>U1JM4PE</v>
          </cell>
          <cell r="B5243" t="str">
            <v>PW ProCare 24x7 1年 BL680c G7用</v>
          </cell>
          <cell r="C5243" t="str">
            <v>【HPEプロアクティブケア】メーカー推奨／低価格で国内専用窓口の高品質な保守により、システム運用における安心を提供します。</v>
          </cell>
        </row>
        <row r="5244">
          <cell r="A5244" t="str">
            <v>U1JM5PE</v>
          </cell>
          <cell r="B5244" t="str">
            <v>PW ProCare HD返却不要24x7 1年 BL680c G7</v>
          </cell>
          <cell r="C5244" t="str">
            <v>【HPEプロアクティブケア】メーカー推奨／低価格で国内専用窓口の高品質な保守により、システム運用における安心を提供します。</v>
          </cell>
        </row>
        <row r="5245">
          <cell r="A5245" t="str">
            <v>U1JN3PE</v>
          </cell>
          <cell r="B5245" t="str">
            <v>PW ProCare 24x7 1年 BL685c G7用</v>
          </cell>
          <cell r="C5245" t="str">
            <v>【HPEプロアクティブケア】メーカー推奨／低価格で国内専用窓口の高品質な保守により、システム運用における安心を提供します。</v>
          </cell>
        </row>
        <row r="5246">
          <cell r="A5246" t="str">
            <v>U1JN4PE</v>
          </cell>
          <cell r="B5246" t="str">
            <v>PW ProCare HD返却不要24x7 1年 BL685c G7</v>
          </cell>
          <cell r="C5246" t="str">
            <v>【HPEプロアクティブケア】メーカー推奨／低価格で国内専用窓口の高品質な保守により、システム運用における安心を提供します。</v>
          </cell>
        </row>
        <row r="5247">
          <cell r="A5247" t="str">
            <v>U1JU0PE</v>
          </cell>
          <cell r="B5247" t="str">
            <v>PW ProCare 24x7 1年 DL360 G7用</v>
          </cell>
          <cell r="C5247" t="str">
            <v>【HPEプロアクティブケア】メーカー推奨／低価格で国内専用窓口の高品質な保守により、システム運用における安心を提供します。</v>
          </cell>
        </row>
        <row r="5248">
          <cell r="A5248" t="str">
            <v>U1JU1PE</v>
          </cell>
          <cell r="B5248" t="str">
            <v>PW ProCare HD返却不要24x7 1年 DL360 G7用</v>
          </cell>
          <cell r="C5248" t="str">
            <v>【HPEプロアクティブケア】メーカー推奨／低価格で国内専用窓口の高品質な保守により、システム運用における安心を提供します。</v>
          </cell>
        </row>
        <row r="5249">
          <cell r="A5249" t="str">
            <v>U1JU9PE</v>
          </cell>
          <cell r="B5249" t="str">
            <v>PW ProCare 24x7 1年 DL385 G7用</v>
          </cell>
          <cell r="C5249" t="str">
            <v>【HPEプロアクティブケア】メーカー推奨／低価格で国内専用窓口の高品質な保守により、システム運用における安心を提供します。</v>
          </cell>
        </row>
        <row r="5250">
          <cell r="A5250" t="str">
            <v>U1JV0PE</v>
          </cell>
          <cell r="B5250" t="str">
            <v>PW ProCare HD返却不要24x7 1年 DL385 G7用</v>
          </cell>
          <cell r="C5250" t="str">
            <v>【HPEプロアクティブケア】メーカー推奨／低価格で国内専用窓口の高品質な保守により、システム運用における安心を提供します。</v>
          </cell>
        </row>
        <row r="5251">
          <cell r="A5251" t="str">
            <v>U1JV8PE</v>
          </cell>
          <cell r="B5251" t="str">
            <v>PW ProCare 24x7 1年 DL580 G7用</v>
          </cell>
          <cell r="C5251" t="str">
            <v>【HPEプロアクティブケア】メーカー推奨／低価格で国内専用窓口の高品質な保守により、システム運用における安心を提供します。</v>
          </cell>
        </row>
        <row r="5252">
          <cell r="A5252" t="str">
            <v>U1JV9PE</v>
          </cell>
          <cell r="B5252" t="str">
            <v>PW ProCare HD返却不要24x7 1年 DL580 G7用</v>
          </cell>
          <cell r="C5252" t="str">
            <v>【HPEプロアクティブケア】メーカー推奨／低価格で国内専用窓口の高品質な保守により、システム運用における安心を提供します。</v>
          </cell>
        </row>
        <row r="5253">
          <cell r="A5253" t="str">
            <v>U1JW7PE</v>
          </cell>
          <cell r="B5253" t="str">
            <v>PW ProCare 24x7 1年 DL585 G7用</v>
          </cell>
          <cell r="C5253" t="str">
            <v>【HPEプロアクティブケア】メーカー推奨／低価格で国内専用窓口の高品質な保守により、システム運用における安心を提供します。</v>
          </cell>
        </row>
        <row r="5254">
          <cell r="A5254" t="str">
            <v>U1JW8PE</v>
          </cell>
          <cell r="B5254" t="str">
            <v>PW ProCare HD返却不要24x7 1年 DL585 G7用</v>
          </cell>
          <cell r="C5254" t="str">
            <v>【HPEプロアクティブケア】メーカー推奨／低価格で国内専用窓口の高品質な保守により、システム運用における安心を提供します。</v>
          </cell>
        </row>
        <row r="5255">
          <cell r="A5255" t="str">
            <v>U1JY5PE</v>
          </cell>
          <cell r="B5255" t="str">
            <v>PW ProCare 24x7 1年 DL320e Gen8用</v>
          </cell>
          <cell r="C5255" t="str">
            <v>【HPEプロアクティブケア】メーカー推奨／低価格で国内専用窓口の高品質な保守により、システム運用における安心を提供します。</v>
          </cell>
        </row>
        <row r="5256">
          <cell r="A5256" t="str">
            <v>U1JY6PE</v>
          </cell>
          <cell r="B5256" t="str">
            <v>PW ProCare HD返却不要24x7 1年 DL320eGen8</v>
          </cell>
          <cell r="C5256" t="str">
            <v>【HPEプロアクティブケア】メーカー推奨／低価格で国内専用窓口の高品質な保守により、システム運用における安心を提供します。</v>
          </cell>
        </row>
        <row r="5257">
          <cell r="A5257" t="str">
            <v>U1KC4PE</v>
          </cell>
          <cell r="B5257" t="str">
            <v>PW ProCare 24x7 1年 ML310e Gen8用</v>
          </cell>
          <cell r="C5257" t="str">
            <v>【HPEプロアクティブケア】メーカー推奨／低価格で国内専用窓口の高品質な保守により、システム運用における安心を提供します。</v>
          </cell>
        </row>
        <row r="5258">
          <cell r="A5258" t="str">
            <v>U1KC5PE</v>
          </cell>
          <cell r="B5258" t="str">
            <v>PW ProCare HD返却不要24x7 1年 ML310eGen8</v>
          </cell>
          <cell r="C5258" t="str">
            <v>【HPEプロアクティブケア】メーカー推奨／低価格で国内専用窓口の高品質な保守により、システム運用における安心を提供します。</v>
          </cell>
        </row>
        <row r="5259">
          <cell r="A5259" t="str">
            <v>U1KD2PE</v>
          </cell>
          <cell r="B5259" t="str">
            <v>PW ProCare 24x7 1年 c3000 Encl用</v>
          </cell>
          <cell r="C5259" t="str">
            <v>【HPEプロアクティブケア】メーカー推奨／低価格で国内専用窓口の高品質な保守により、システム運用における安心を提供します。</v>
          </cell>
        </row>
        <row r="5260">
          <cell r="A5260" t="str">
            <v>U1KD8PE</v>
          </cell>
          <cell r="B5260" t="str">
            <v>PW ProCare 24x7 1年 c7000 Encl用</v>
          </cell>
          <cell r="C5260" t="str">
            <v>【HPEプロアクティブケア】メーカー推奨／低価格で国内専用窓口の高品質な保守により、システム運用における安心を提供します。</v>
          </cell>
        </row>
        <row r="5261">
          <cell r="A5261" t="str">
            <v>U1NH0PE</v>
          </cell>
          <cell r="B5261" t="str">
            <v>PW ProCare 24x7 1年 DL380 G7用</v>
          </cell>
          <cell r="C5261" t="str">
            <v>【HPEプロアクティブケア】メーカー推奨／低価格で国内専用窓口の高品質な保守により、システム運用における安心を提供します。</v>
          </cell>
        </row>
        <row r="5262">
          <cell r="A5262" t="str">
            <v>U1NH1PE</v>
          </cell>
          <cell r="B5262" t="str">
            <v>PW ProCare HD返却不要24x7 1年 DL380 G7用</v>
          </cell>
          <cell r="C5262" t="str">
            <v>【HPEプロアクティブケア】メーカー推奨／低価格で国内専用窓口の高品質な保守により、システム運用における安心を提供します。</v>
          </cell>
        </row>
        <row r="5263">
          <cell r="A5263" t="str">
            <v>U1NH9PE</v>
          </cell>
          <cell r="B5263" t="str">
            <v>PW ProCare 24x7 1年 DL360 G6 IC用</v>
          </cell>
          <cell r="C5263" t="str">
            <v>【HPEプロアクティブケア】メーカー推奨／低価格で国内専用窓口の高品質な保守により、システム運用における安心を提供します。</v>
          </cell>
        </row>
        <row r="5264">
          <cell r="A5264" t="str">
            <v>U1NJ0PE</v>
          </cell>
          <cell r="B5264" t="str">
            <v>PW ProCare HD返却不要24x7 1年 DL360G6 IC</v>
          </cell>
          <cell r="C5264" t="str">
            <v>【HPEプロアクティブケア】メーカー推奨／低価格で国内専用窓口の高品質な保守により、システム運用における安心を提供します。</v>
          </cell>
        </row>
        <row r="5265">
          <cell r="A5265" t="str">
            <v>U1NJ7PE</v>
          </cell>
          <cell r="B5265" t="str">
            <v>PW ProCare 24x7 1年 DL370 G6 IC用</v>
          </cell>
          <cell r="C5265" t="str">
            <v>【HPEプロアクティブケア】メーカー推奨／低価格で国内専用窓口の高品質な保守により、システム運用における安心を提供します。</v>
          </cell>
        </row>
        <row r="5266">
          <cell r="A5266" t="str">
            <v>U1NJ8PE</v>
          </cell>
          <cell r="B5266" t="str">
            <v>PW ProCare HD返却不要24x7 1年 DL370G6 IC</v>
          </cell>
          <cell r="C5266" t="str">
            <v>【HPEプロアクティブケア】メーカー推奨／低価格で国内専用窓口の高品質な保守により、システム運用における安心を提供します。</v>
          </cell>
        </row>
        <row r="5267">
          <cell r="A5267" t="str">
            <v>U1NK6PE</v>
          </cell>
          <cell r="B5267" t="str">
            <v>PW ProCare 24x7 1年 DL380 G6 IC用</v>
          </cell>
          <cell r="C5267" t="str">
            <v>【HPEプロアクティブケア】メーカー推奨／低価格で国内専用窓口の高品質な保守により、システム運用における安心を提供します。</v>
          </cell>
        </row>
        <row r="5268">
          <cell r="A5268" t="str">
            <v>U1NK7PE</v>
          </cell>
          <cell r="B5268" t="str">
            <v>PW ProCare HD返却不要24x7 1年 DL380G6 IC</v>
          </cell>
          <cell r="C5268" t="str">
            <v>【HPEプロアクティブケア】メーカー推奨／低価格で国内専用窓口の高品質な保守により、システム運用における安心を提供します。</v>
          </cell>
        </row>
        <row r="5269">
          <cell r="A5269" t="str">
            <v>U1NL5PE</v>
          </cell>
          <cell r="B5269" t="str">
            <v>PW ProCare 24x7 1年 DL385 G6 IC用</v>
          </cell>
          <cell r="C5269" t="str">
            <v>【HPEプロアクティブケア】メーカー推奨／低価格で国内専用窓口の高品質な保守により、システム運用における安心を提供します。</v>
          </cell>
        </row>
        <row r="5270">
          <cell r="A5270" t="str">
            <v>U1NL6PE</v>
          </cell>
          <cell r="B5270" t="str">
            <v>PW ProCare HD返却不要24x7 1年 DL385G6 IC</v>
          </cell>
          <cell r="C5270" t="str">
            <v>【HPEプロアクティブケア】メーカー推奨／低価格で国内専用窓口の高品質な保守により、システム運用における安心を提供します。</v>
          </cell>
        </row>
        <row r="5271">
          <cell r="A5271" t="str">
            <v>U1NQ4PE</v>
          </cell>
          <cell r="B5271" t="str">
            <v>PW ProCare 24x7 1年 DL585 G6 IC用</v>
          </cell>
          <cell r="C5271" t="str">
            <v>【HPEプロアクティブケア】メーカー推奨／低価格で国内専用窓口の高品質な保守により、システム運用における安心を提供します。</v>
          </cell>
        </row>
        <row r="5272">
          <cell r="A5272" t="str">
            <v>U1NQ5PE</v>
          </cell>
          <cell r="B5272" t="str">
            <v>PW ProCare HD返却不要24x7 1年 DL585G6 IC</v>
          </cell>
          <cell r="C5272" t="str">
            <v>【HPEプロアクティブケア】メーカー推奨／低価格で国内専用窓口の高品質な保守により、システム運用における安心を提供します。</v>
          </cell>
        </row>
        <row r="5273">
          <cell r="A5273" t="str">
            <v>U1NR3PE</v>
          </cell>
          <cell r="B5273" t="str">
            <v>PW ProCare 24x7 1年 ML350 G6 IC用</v>
          </cell>
          <cell r="C5273" t="str">
            <v>【HPEプロアクティブケア】メーカー推奨／低価格で国内専用窓口の高品質な保守により、システム運用における安心を提供します。</v>
          </cell>
        </row>
        <row r="5274">
          <cell r="A5274" t="str">
            <v>U1NR4PE</v>
          </cell>
          <cell r="B5274" t="str">
            <v>PW ProCare HD返却不要24x7 1年 ML350G6 IC</v>
          </cell>
          <cell r="C5274" t="str">
            <v>【HPEプロアクティブケア】メーカー推奨／低価格で国内専用窓口の高品質な保守により、システム運用における安心を提供します。</v>
          </cell>
        </row>
        <row r="5275">
          <cell r="A5275" t="str">
            <v>U1NS2PE</v>
          </cell>
          <cell r="B5275" t="str">
            <v>PW ProCare 24x7 1年 DL360 G7 IC用</v>
          </cell>
          <cell r="C5275" t="str">
            <v>【HPEプロアクティブケア】メーカー推奨／低価格で国内専用窓口の高品質な保守により、システム運用における安心を提供します。</v>
          </cell>
        </row>
        <row r="5276">
          <cell r="A5276" t="str">
            <v>U1NS3PE</v>
          </cell>
          <cell r="B5276" t="str">
            <v>PW ProCare HD返却不要24x7 1年 DL360G7 IC</v>
          </cell>
          <cell r="C5276" t="str">
            <v>【HPEプロアクティブケア】メーカー推奨／低価格で国内専用窓口の高品質な保守により、システム運用における安心を提供します。</v>
          </cell>
        </row>
        <row r="5277">
          <cell r="A5277" t="str">
            <v>U1NT1PE</v>
          </cell>
          <cell r="B5277" t="str">
            <v>PW ProCare 24x7 1年 DL385 G7 IC用</v>
          </cell>
          <cell r="C5277" t="str">
            <v>【HPEプロアクティブケア】メーカー推奨／低価格で国内専用窓口の高品質な保守により、システム運用における安心を提供します。</v>
          </cell>
        </row>
        <row r="5278">
          <cell r="A5278" t="str">
            <v>U1NT2PE</v>
          </cell>
          <cell r="B5278" t="str">
            <v>PW ProCare HD返却不要24x7 1年 DL385G7 IC</v>
          </cell>
          <cell r="C5278" t="str">
            <v>【HPEプロアクティブケア】メーカー推奨／低価格で国内専用窓口の高品質な保守により、システム運用における安心を提供します。</v>
          </cell>
        </row>
        <row r="5279">
          <cell r="A5279" t="str">
            <v>U1NU0PE</v>
          </cell>
          <cell r="B5279" t="str">
            <v>PW ProCare 24x7 1年 DL580 G7 IC用</v>
          </cell>
          <cell r="C5279" t="str">
            <v>【HPEプロアクティブケア】メーカー推奨／低価格で国内専用窓口の高品質な保守により、システム運用における安心を提供します。</v>
          </cell>
        </row>
        <row r="5280">
          <cell r="A5280" t="str">
            <v>U1NU1PE</v>
          </cell>
          <cell r="B5280" t="str">
            <v>PW ProCare HD返却不要24x7 1年 DL580G7 IC</v>
          </cell>
          <cell r="C5280" t="str">
            <v>【HPEプロアクティブケア】メーカー推奨／低価格で国内専用窓口の高品質な保守により、システム運用における安心を提供します。</v>
          </cell>
        </row>
        <row r="5281">
          <cell r="A5281" t="str">
            <v>U1NU9PE</v>
          </cell>
          <cell r="B5281" t="str">
            <v>PW ProCare 24x7 1年 DL585 G7 IC用</v>
          </cell>
          <cell r="C5281" t="str">
            <v>【HPEプロアクティブケア】メーカー推奨／低価格で国内専用窓口の高品質な保守により、システム運用における安心を提供します。</v>
          </cell>
        </row>
        <row r="5282">
          <cell r="A5282" t="str">
            <v>U1NV0PE</v>
          </cell>
          <cell r="B5282" t="str">
            <v>PW ProCare HD返却不要24x7 1年 DL585G7 IC</v>
          </cell>
          <cell r="C5282" t="str">
            <v>【HPEプロアクティブケア】メーカー推奨／低価格で国内専用窓口の高品質な保守により、システム運用における安心を提供します。</v>
          </cell>
        </row>
        <row r="5283">
          <cell r="A5283" t="str">
            <v>U1NV7PE</v>
          </cell>
          <cell r="B5283" t="str">
            <v>PW ProCare 24x7 1年 c3000 8IC付属用</v>
          </cell>
          <cell r="C5283" t="str">
            <v>【HPEプロアクティブケア】メーカー推奨／低価格で国内専用窓口の高品質な保守により、システム運用における安心を提供します。</v>
          </cell>
        </row>
        <row r="5284">
          <cell r="A5284" t="str">
            <v>U1NW3PE</v>
          </cell>
          <cell r="B5284" t="str">
            <v>PW ProCare 24x7 1年 BladeSys c7000 16IC</v>
          </cell>
          <cell r="C5284" t="str">
            <v>【HPEプロアクティブケア】メーカー推奨／低価格で国内専用窓口の高品質な保守により、システム運用における安心を提供します。</v>
          </cell>
        </row>
        <row r="5285">
          <cell r="A5285" t="str">
            <v>U1NX0PE</v>
          </cell>
          <cell r="B5285" t="str">
            <v>PW ProCare 24x7 1年 DL380 G7 IC用</v>
          </cell>
          <cell r="C5285" t="str">
            <v>【HPEプロアクティブケア】メーカー推奨／低価格で国内専用窓口の高品質な保守により、システム運用における安心を提供します。</v>
          </cell>
        </row>
        <row r="5286">
          <cell r="A5286" t="str">
            <v>U1NX1PE</v>
          </cell>
          <cell r="B5286" t="str">
            <v>PW ProCare HD返却不要24x7 1年 DL380G7 IC</v>
          </cell>
          <cell r="C5286" t="str">
            <v>【HPEプロアクティブケア】メーカー推奨／低価格で国内専用窓口の高品質な保守により、システム運用における安心を提供します。</v>
          </cell>
        </row>
        <row r="5287">
          <cell r="A5287" t="str">
            <v>U1NX7PE</v>
          </cell>
          <cell r="B5287" t="str">
            <v>PW FC 翌日 1年 MicroServer</v>
          </cell>
          <cell r="C5287" t="str">
            <v>【ファウンデーションケア】</v>
          </cell>
        </row>
        <row r="5288">
          <cell r="A5288" t="str">
            <v>U1NY0PE</v>
          </cell>
          <cell r="B5288" t="str">
            <v>PW FC 24x7 1年 MicroServer</v>
          </cell>
          <cell r="C5288" t="str">
            <v>【ファウンデーションケア】</v>
          </cell>
        </row>
        <row r="5289">
          <cell r="A5289" t="str">
            <v>U1NY1PE</v>
          </cell>
          <cell r="B5289" t="str">
            <v>PW FC 24x7 HD返却不要 1年 MicroServer</v>
          </cell>
          <cell r="C5289" t="str">
            <v>【ファウンデーションケア】</v>
          </cell>
        </row>
        <row r="5290">
          <cell r="A5290" t="str">
            <v>U1NY6PE</v>
          </cell>
          <cell r="B5290" t="str">
            <v>PW FC 翌日 1年 SL6500用</v>
          </cell>
          <cell r="C5290" t="str">
            <v>【ファウンデーションケア】</v>
          </cell>
        </row>
        <row r="5291">
          <cell r="A5291" t="str">
            <v>U2EF7E</v>
          </cell>
          <cell r="B5291" t="str">
            <v>FC 翌日 3年 MicroServer用</v>
          </cell>
          <cell r="C5291" t="str">
            <v>【ファウンデーションケア】</v>
          </cell>
        </row>
        <row r="5292">
          <cell r="A5292" t="str">
            <v>U2EG0E</v>
          </cell>
          <cell r="B5292" t="str">
            <v>FC 24x7 3年 MicroServer用</v>
          </cell>
          <cell r="C5292" t="str">
            <v>【ファウンデーションケア】</v>
          </cell>
        </row>
        <row r="5293">
          <cell r="A5293" t="str">
            <v>U2EG1E</v>
          </cell>
          <cell r="B5293" t="str">
            <v>FC 24x7 HD返却不要 3年 MicroServer用</v>
          </cell>
          <cell r="C5293" t="str">
            <v>【ファウンデーションケア】</v>
          </cell>
        </row>
        <row r="5294">
          <cell r="A5294" t="str">
            <v>U2EG6E</v>
          </cell>
          <cell r="B5294" t="str">
            <v>FC 翌日 4年 MicroServer用</v>
          </cell>
          <cell r="C5294" t="str">
            <v>【ファウンデーションケア】</v>
          </cell>
        </row>
        <row r="5295">
          <cell r="A5295" t="str">
            <v>U2EG9E</v>
          </cell>
          <cell r="B5295" t="str">
            <v>FC 24x7 4年 MicroServer用</v>
          </cell>
          <cell r="C5295" t="str">
            <v>【ファウンデーションケア】</v>
          </cell>
        </row>
        <row r="5296">
          <cell r="A5296" t="str">
            <v>U2EH0E</v>
          </cell>
          <cell r="B5296" t="str">
            <v>FC 24x7 HD返却不要 4年 MicroServer用</v>
          </cell>
          <cell r="C5296" t="str">
            <v>【ファウンデーションケア】</v>
          </cell>
        </row>
        <row r="5297">
          <cell r="A5297" t="str">
            <v>U2EH2E</v>
          </cell>
          <cell r="B5297" t="str">
            <v>FC 翌日 5年 MicroServer用</v>
          </cell>
          <cell r="C5297" t="str">
            <v>【ファウンデーションケア】</v>
          </cell>
        </row>
        <row r="5298">
          <cell r="A5298" t="str">
            <v>U2EH5E</v>
          </cell>
          <cell r="B5298" t="str">
            <v>FC 24x7 5年 MicroServer用</v>
          </cell>
          <cell r="C5298" t="str">
            <v>【ファウンデーションケア】</v>
          </cell>
        </row>
        <row r="5299">
          <cell r="A5299" t="str">
            <v>U2EH6E</v>
          </cell>
          <cell r="B5299" t="str">
            <v>FC 24x7 HD返却不要 5年 MicroServer用</v>
          </cell>
          <cell r="C5299" t="str">
            <v>【ファウンデーションケア】</v>
          </cell>
        </row>
        <row r="5300">
          <cell r="A5300" t="str">
            <v>U2EJ8E</v>
          </cell>
          <cell r="B5300" t="str">
            <v>FC 24x7 3年 BL c-Class InfiniBand用</v>
          </cell>
          <cell r="C5300" t="str">
            <v>【ファウンデーションケア】</v>
          </cell>
        </row>
        <row r="5301">
          <cell r="A5301" t="str">
            <v>U2EK1E</v>
          </cell>
          <cell r="B5301" t="str">
            <v>FC 24x7 4年 BL c-Class InfiniBand用</v>
          </cell>
          <cell r="C5301" t="str">
            <v>【ファウンデーションケア】</v>
          </cell>
        </row>
        <row r="5302">
          <cell r="A5302" t="str">
            <v>U2EK4E</v>
          </cell>
          <cell r="B5302" t="str">
            <v>FC 24x7 5年 BL c-Class InfiniBand用</v>
          </cell>
          <cell r="C5302" t="str">
            <v>【ファウンデーションケア】</v>
          </cell>
        </row>
        <row r="5303">
          <cell r="A5303" t="str">
            <v>U2EP5E</v>
          </cell>
          <cell r="B5303" t="str">
            <v>FC 24x7 3年 wrkldAccel用</v>
          </cell>
          <cell r="C5303" t="str">
            <v>【ファウンデーションケア】</v>
          </cell>
        </row>
        <row r="5304">
          <cell r="A5304" t="str">
            <v>U2EP7E</v>
          </cell>
          <cell r="B5304" t="str">
            <v>FC 24x7 HD返却不要 3年 wrkldAccel用</v>
          </cell>
          <cell r="C5304" t="str">
            <v>【ファウンデーションケア】</v>
          </cell>
        </row>
        <row r="5305">
          <cell r="A5305" t="str">
            <v>U2EQ4E</v>
          </cell>
          <cell r="B5305" t="str">
            <v>FC 24x7 4年 wrkldAccel用</v>
          </cell>
          <cell r="C5305" t="str">
            <v>【ファウンデーションケア】</v>
          </cell>
        </row>
        <row r="5306">
          <cell r="A5306" t="str">
            <v>U2EQ6E</v>
          </cell>
          <cell r="B5306" t="str">
            <v>FC 24x7 HD返却不要 4年 wrkldAccel用</v>
          </cell>
          <cell r="C5306" t="str">
            <v>【ファウンデーションケア】</v>
          </cell>
        </row>
        <row r="5307">
          <cell r="A5307" t="str">
            <v>U2FG3E</v>
          </cell>
          <cell r="B5307" t="str">
            <v>FC 24x7 5年 wrkldAccel用</v>
          </cell>
          <cell r="C5307" t="str">
            <v>【ファウンデーションケア】</v>
          </cell>
        </row>
        <row r="5308">
          <cell r="A5308" t="str">
            <v>U2FG5E</v>
          </cell>
          <cell r="B5308" t="str">
            <v>FC 24x7 HD返却不要 5年 wrkldAccel用</v>
          </cell>
          <cell r="C5308" t="str">
            <v>【ファウンデーションケア】</v>
          </cell>
        </row>
        <row r="5309">
          <cell r="A5309" t="str">
            <v>U2GY2E</v>
          </cell>
          <cell r="B5309" t="str">
            <v>FC 翌日 3年 BladeSys c3000 Encl用</v>
          </cell>
          <cell r="C5309" t="str">
            <v>【ファウンデーションケア】</v>
          </cell>
        </row>
        <row r="5310">
          <cell r="A5310" t="str">
            <v>U2GY4E</v>
          </cell>
          <cell r="B5310" t="str">
            <v>FC 24x7 3年 BladeSys c3000 Encl用</v>
          </cell>
          <cell r="C5310" t="str">
            <v>【ファウンデーションケア】</v>
          </cell>
        </row>
        <row r="5311">
          <cell r="A5311" t="str">
            <v>U2GY8E</v>
          </cell>
          <cell r="B5311" t="str">
            <v>FC 翌日 4年 BladeSys c3000 Encl用</v>
          </cell>
          <cell r="C5311" t="str">
            <v>【ファウンデーションケア】</v>
          </cell>
        </row>
        <row r="5312">
          <cell r="A5312" t="str">
            <v>U2GZ0E</v>
          </cell>
          <cell r="B5312" t="str">
            <v>FC 24x7 4年 BladeSys c3000 Encl用</v>
          </cell>
          <cell r="C5312" t="str">
            <v>【ファウンデーションケア】</v>
          </cell>
        </row>
        <row r="5313">
          <cell r="A5313" t="str">
            <v>U2GZ4E</v>
          </cell>
          <cell r="B5313" t="str">
            <v>FC 翌日 5年 BladeSys c3000 Encl用</v>
          </cell>
          <cell r="C5313" t="str">
            <v>【ファウンデーションケア】</v>
          </cell>
        </row>
        <row r="5314">
          <cell r="A5314" t="str">
            <v>U2GZ6E</v>
          </cell>
          <cell r="B5314" t="str">
            <v>FC 24x7 5年 BladeSys c3000 Encl用</v>
          </cell>
          <cell r="C5314" t="str">
            <v>【ファウンデーションケア】</v>
          </cell>
        </row>
        <row r="5315">
          <cell r="A5315" t="str">
            <v>U2HA0E</v>
          </cell>
          <cell r="B5315" t="str">
            <v>FC 翌日 3年 BladeSys c7000 Encl用</v>
          </cell>
          <cell r="C5315" t="str">
            <v>【ファウンデーションケア】</v>
          </cell>
        </row>
        <row r="5316">
          <cell r="A5316" t="str">
            <v>U2HA2E</v>
          </cell>
          <cell r="B5316" t="str">
            <v>FC 24x7 3年 BladeSys c7000 Encl用</v>
          </cell>
          <cell r="C5316" t="str">
            <v>【ファウンデーションケア】</v>
          </cell>
        </row>
        <row r="5317">
          <cell r="A5317" t="str">
            <v>U2HA6E</v>
          </cell>
          <cell r="B5317" t="str">
            <v>FC 翌日 4年 BladeSys c7000 Encl用</v>
          </cell>
          <cell r="C5317" t="str">
            <v>【ファウンデーションケア】</v>
          </cell>
        </row>
        <row r="5318">
          <cell r="A5318" t="str">
            <v>U2HA8E</v>
          </cell>
          <cell r="B5318" t="str">
            <v>FC 24x7 4年 BladeSys c7000 Encl用</v>
          </cell>
          <cell r="C5318" t="str">
            <v>【ファウンデーションケア】</v>
          </cell>
        </row>
        <row r="5319">
          <cell r="A5319" t="str">
            <v>U2HB2E</v>
          </cell>
          <cell r="B5319" t="str">
            <v>FC 翌日 5年 BladeSys c7000 Encl用</v>
          </cell>
          <cell r="C5319" t="str">
            <v>【ファウンデーションケア】</v>
          </cell>
        </row>
        <row r="5320">
          <cell r="A5320" t="str">
            <v>U2HB4E</v>
          </cell>
          <cell r="B5320" t="str">
            <v>FC 24x7 5年 BladeSys c7000 Encl用</v>
          </cell>
          <cell r="C5320" t="str">
            <v>【ファウンデーションケア】</v>
          </cell>
        </row>
        <row r="5321">
          <cell r="A5321" t="str">
            <v>U2HF2E</v>
          </cell>
          <cell r="B5321" t="str">
            <v>FC 24x7 3年 6125XLGスイッチ用</v>
          </cell>
          <cell r="C5321" t="str">
            <v>【ファウンデーションケア】</v>
          </cell>
        </row>
        <row r="5322">
          <cell r="A5322" t="str">
            <v>U2HF6E</v>
          </cell>
          <cell r="B5322" t="str">
            <v>FC 翌日 4年 6125XLGスイッチ用</v>
          </cell>
          <cell r="C5322" t="str">
            <v>【ファウンデーションケア】</v>
          </cell>
        </row>
        <row r="5323">
          <cell r="A5323" t="str">
            <v>U2HF8E</v>
          </cell>
          <cell r="B5323" t="str">
            <v>FC 24x7 4年 6125XLGスイッチ用</v>
          </cell>
          <cell r="C5323" t="str">
            <v>【ファウンデーションケア】</v>
          </cell>
        </row>
        <row r="5324">
          <cell r="A5324" t="str">
            <v>U2HG2E</v>
          </cell>
          <cell r="B5324" t="str">
            <v>FC 翌日 5年 6125XLGスイッチ用</v>
          </cell>
          <cell r="C5324" t="str">
            <v>【ファウンデーションケア】</v>
          </cell>
        </row>
        <row r="5325">
          <cell r="A5325" t="str">
            <v>U2HG4E</v>
          </cell>
          <cell r="B5325" t="str">
            <v>FC 24x7 5年 6125XLGスイッチ用</v>
          </cell>
          <cell r="C5325" t="str">
            <v>【ファウンデーションケア】</v>
          </cell>
        </row>
        <row r="5326">
          <cell r="A5326" t="str">
            <v>U2HG8E</v>
          </cell>
          <cell r="B5326" t="str">
            <v>FC 翌日 3年 BladeSys c7000 16IC用</v>
          </cell>
          <cell r="C5326" t="str">
            <v>【ファウンデーションケア】</v>
          </cell>
        </row>
        <row r="5327">
          <cell r="A5327" t="str">
            <v>U2HH0E</v>
          </cell>
          <cell r="B5327" t="str">
            <v>FC 24x7 3年 BladeSys c7000 16IC用</v>
          </cell>
          <cell r="C5327" t="str">
            <v>【ファウンデーションケア】</v>
          </cell>
        </row>
        <row r="5328">
          <cell r="A5328" t="str">
            <v>U2HH4E</v>
          </cell>
          <cell r="B5328" t="str">
            <v>FC 翌日 4年 BladeSys c7000 16IC用</v>
          </cell>
          <cell r="C5328" t="str">
            <v>【ファウンデーションケア】</v>
          </cell>
        </row>
        <row r="5329">
          <cell r="A5329" t="str">
            <v>U2HH6E</v>
          </cell>
          <cell r="B5329" t="str">
            <v>FC 24x7 4年 BladeSys c7000 16IC用</v>
          </cell>
          <cell r="C5329" t="str">
            <v>【ファウンデーションケア】</v>
          </cell>
        </row>
        <row r="5330">
          <cell r="A5330" t="str">
            <v>U2HJ0E</v>
          </cell>
          <cell r="B5330" t="str">
            <v>FC 翌日 5年 BladeSys c7000 16IC用</v>
          </cell>
          <cell r="C5330" t="str">
            <v>【ファウンデーションケア】</v>
          </cell>
        </row>
        <row r="5331">
          <cell r="A5331" t="str">
            <v>U2HJ2E</v>
          </cell>
          <cell r="B5331" t="str">
            <v>FC 24x7 5年 BladeSys c7000 16IC用</v>
          </cell>
          <cell r="C5331" t="str">
            <v>【ファウンデーションケア】</v>
          </cell>
        </row>
        <row r="5332">
          <cell r="A5332" t="str">
            <v>U2JD5PE</v>
          </cell>
          <cell r="B5332" t="str">
            <v>PW FC 翌日 1年 DL320e Gen8用</v>
          </cell>
          <cell r="C5332" t="str">
            <v>【ファウンデーションケア】</v>
          </cell>
        </row>
        <row r="5333">
          <cell r="A5333" t="str">
            <v>U2JD8PE</v>
          </cell>
          <cell r="B5333" t="str">
            <v>PW FC 24x7 1年 DL320e Gen8用</v>
          </cell>
          <cell r="C5333" t="str">
            <v>【ファウンデーションケア】</v>
          </cell>
        </row>
        <row r="5334">
          <cell r="A5334" t="str">
            <v>U2JD9PE</v>
          </cell>
          <cell r="B5334" t="str">
            <v>PW FC 24x7 HD返却不要 1年 DL320e Gen8</v>
          </cell>
          <cell r="C5334" t="str">
            <v>【ファウンデーションケア】</v>
          </cell>
        </row>
        <row r="5335">
          <cell r="A5335" t="str">
            <v>U2JE4PE</v>
          </cell>
          <cell r="B5335" t="str">
            <v>PW FC 翌日 1年 ML310e Gen8用</v>
          </cell>
          <cell r="C5335" t="str">
            <v>【ファウンデーションケア】</v>
          </cell>
        </row>
        <row r="5336">
          <cell r="A5336" t="str">
            <v>U2JE7PE</v>
          </cell>
          <cell r="B5336" t="str">
            <v>PW FC 24x7 1年 ML310e Gen8用</v>
          </cell>
          <cell r="C5336" t="str">
            <v>【ファウンデーションケア】</v>
          </cell>
        </row>
        <row r="5337">
          <cell r="A5337" t="str">
            <v>U2JE8PE</v>
          </cell>
          <cell r="B5337" t="str">
            <v>PW FC 24x7 HD返却不要 1年 ML310e Gen8</v>
          </cell>
          <cell r="C5337" t="str">
            <v>【ファウンデーションケア】</v>
          </cell>
        </row>
        <row r="5338">
          <cell r="A5338" t="str">
            <v>U2JF3PE</v>
          </cell>
          <cell r="B5338" t="str">
            <v>PW FC 翌日 1年 ML350e Gen8用</v>
          </cell>
          <cell r="C5338" t="str">
            <v>【ファウンデーションケア】</v>
          </cell>
        </row>
        <row r="5339">
          <cell r="A5339" t="str">
            <v>U2JF6PE</v>
          </cell>
          <cell r="B5339" t="str">
            <v>PW FC 24x7 1年 ML350e Gen8用</v>
          </cell>
          <cell r="C5339" t="str">
            <v>【ファウンデーションケア】</v>
          </cell>
        </row>
        <row r="5340">
          <cell r="A5340" t="str">
            <v>U2JF7PE</v>
          </cell>
          <cell r="B5340" t="str">
            <v>PW FC 24x7 HD返却不要 1年 ML350e Gen8</v>
          </cell>
          <cell r="C5340" t="str">
            <v>【ファウンデーションケア】</v>
          </cell>
        </row>
        <row r="5341">
          <cell r="A5341" t="str">
            <v>U2JG2PE</v>
          </cell>
          <cell r="B5341" t="str">
            <v>PW FC 翌日 1年 BL2x220c G7</v>
          </cell>
          <cell r="C5341" t="str">
            <v>【ファウンデーションケア】</v>
          </cell>
        </row>
        <row r="5342">
          <cell r="A5342" t="str">
            <v>U2JG5PE</v>
          </cell>
          <cell r="B5342" t="str">
            <v>PW FC 24x7 1年 BL2x220c G7</v>
          </cell>
          <cell r="C5342" t="str">
            <v>【ファウンデーションケア】</v>
          </cell>
        </row>
        <row r="5343">
          <cell r="A5343" t="str">
            <v>U2JG6PE</v>
          </cell>
          <cell r="B5343" t="str">
            <v>PW FC 24x7 HD返却不要 1年 BL2x220c G7</v>
          </cell>
          <cell r="C5343" t="str">
            <v>【ファウンデーションケア】</v>
          </cell>
        </row>
        <row r="5344">
          <cell r="A5344" t="str">
            <v>U2JH1PE</v>
          </cell>
          <cell r="B5344" t="str">
            <v>PW FC 翌日 1年 BL460c G7用</v>
          </cell>
          <cell r="C5344" t="str">
            <v>【ファウンデーションケア】</v>
          </cell>
        </row>
        <row r="5345">
          <cell r="A5345" t="str">
            <v>U2JH4PE</v>
          </cell>
          <cell r="B5345" t="str">
            <v>PW FC 24x7 1年 BL460c G7用</v>
          </cell>
          <cell r="C5345" t="str">
            <v>【ファウンデーションケア】</v>
          </cell>
        </row>
        <row r="5346">
          <cell r="A5346" t="str">
            <v>U2JH5PE</v>
          </cell>
          <cell r="B5346" t="str">
            <v>PW FC 24x7 HD返却不要 1年 BL460c G7用</v>
          </cell>
          <cell r="C5346" t="str">
            <v>【ファウンデーションケア】</v>
          </cell>
        </row>
        <row r="5347">
          <cell r="A5347" t="str">
            <v>U2JJ0PE</v>
          </cell>
          <cell r="B5347" t="str">
            <v>PW FC 翌日 1年 BL465c G7用</v>
          </cell>
          <cell r="C5347" t="str">
            <v>【ファウンデーションケア】</v>
          </cell>
        </row>
        <row r="5348">
          <cell r="A5348" t="str">
            <v>U2JJ3PE</v>
          </cell>
          <cell r="B5348" t="str">
            <v>PW FC 24x7 1年 BL465c G7用</v>
          </cell>
          <cell r="C5348" t="str">
            <v>【ファウンデーションケア】</v>
          </cell>
        </row>
        <row r="5349">
          <cell r="A5349" t="str">
            <v>U2JJ4PE</v>
          </cell>
          <cell r="B5349" t="str">
            <v>PW FC 24x7 HD返却不要 1年 BL465c G7用</v>
          </cell>
          <cell r="C5349" t="str">
            <v>【ファウンデーションケア】</v>
          </cell>
        </row>
        <row r="5350">
          <cell r="A5350" t="str">
            <v>U2JJ9PE</v>
          </cell>
          <cell r="B5350" t="str">
            <v>PW FC 翌日 1年 BL490c G7</v>
          </cell>
          <cell r="C5350" t="str">
            <v>【ファウンデーションケア】</v>
          </cell>
        </row>
        <row r="5351">
          <cell r="A5351" t="str">
            <v>U2JK2PE</v>
          </cell>
          <cell r="B5351" t="str">
            <v>PW FC 24x7 1年 BL490c G7</v>
          </cell>
          <cell r="C5351" t="str">
            <v>【ファウンデーションケア】</v>
          </cell>
        </row>
        <row r="5352">
          <cell r="A5352" t="str">
            <v>U2JK3PE</v>
          </cell>
          <cell r="B5352" t="str">
            <v>PW FC 24x7 HD返却不要 1年 BL490c G7</v>
          </cell>
          <cell r="C5352" t="str">
            <v>【ファウンデーションケア】</v>
          </cell>
        </row>
        <row r="5353">
          <cell r="A5353" t="str">
            <v>U2JK8PE</v>
          </cell>
          <cell r="B5353" t="str">
            <v>PW FC 翌日 1年 BL620c G7用</v>
          </cell>
          <cell r="C5353" t="str">
            <v>【ファウンデーションケア】</v>
          </cell>
        </row>
        <row r="5354">
          <cell r="A5354" t="str">
            <v>U2JL1PE</v>
          </cell>
          <cell r="B5354" t="str">
            <v>PW FC 24x7 1年 BL620c G7用</v>
          </cell>
          <cell r="C5354" t="str">
            <v>【ファウンデーションケア】</v>
          </cell>
        </row>
        <row r="5355">
          <cell r="A5355" t="str">
            <v>U2JL2PE</v>
          </cell>
          <cell r="B5355" t="str">
            <v>PW FC 24x7 HD返却不要 1年 BL620c G7用</v>
          </cell>
          <cell r="C5355" t="str">
            <v>【ファウンデーションケア】</v>
          </cell>
        </row>
        <row r="5356">
          <cell r="A5356" t="str">
            <v>U2JL7PE</v>
          </cell>
          <cell r="B5356" t="str">
            <v>PW FC 翌日 1年 BL680c G7用</v>
          </cell>
          <cell r="C5356" t="str">
            <v>【ファウンデーションケア】</v>
          </cell>
        </row>
        <row r="5357">
          <cell r="A5357" t="str">
            <v>U2JM0PE</v>
          </cell>
          <cell r="B5357" t="str">
            <v>PW FC 24x7 1年 BL680c G7用</v>
          </cell>
          <cell r="C5357" t="str">
            <v>【ファウンデーションケア】</v>
          </cell>
        </row>
        <row r="5358">
          <cell r="A5358" t="str">
            <v>U2JM1PE</v>
          </cell>
          <cell r="B5358" t="str">
            <v>PW FC 24x7 HD返却不要 1年 BL680c G7用</v>
          </cell>
          <cell r="C5358" t="str">
            <v>【ファウンデーションケア】</v>
          </cell>
        </row>
        <row r="5359">
          <cell r="A5359" t="str">
            <v>U2JM6PE</v>
          </cell>
          <cell r="B5359" t="str">
            <v>PW FC 翌日 1年 BL685c G7用</v>
          </cell>
          <cell r="C5359" t="str">
            <v>【ファウンデーションケア】</v>
          </cell>
        </row>
        <row r="5360">
          <cell r="A5360" t="str">
            <v>U2JM9PE</v>
          </cell>
          <cell r="B5360" t="str">
            <v>PW FC 24x7 1年 BL685c G7用</v>
          </cell>
          <cell r="C5360" t="str">
            <v>【ファウンデーションケア】</v>
          </cell>
        </row>
        <row r="5361">
          <cell r="A5361" t="str">
            <v>U2JN0PE</v>
          </cell>
          <cell r="B5361" t="str">
            <v>PW FC 24x7 HD返却不要 1年 BL685c G7用</v>
          </cell>
          <cell r="C5361" t="str">
            <v>【ファウンデーションケア】</v>
          </cell>
        </row>
        <row r="5362">
          <cell r="A5362" t="str">
            <v>U2JN5PE</v>
          </cell>
          <cell r="B5362" t="str">
            <v>PW FC 翌日 1年 DL120 G7用</v>
          </cell>
          <cell r="C5362" t="str">
            <v>【ファウンデーションケア】</v>
          </cell>
        </row>
        <row r="5363">
          <cell r="A5363" t="str">
            <v>U2JN8PE</v>
          </cell>
          <cell r="B5363" t="str">
            <v>PW FC 24x7 1年 DL120 G7用</v>
          </cell>
          <cell r="C5363" t="str">
            <v>【ファウンデーションケア】</v>
          </cell>
        </row>
        <row r="5364">
          <cell r="A5364" t="str">
            <v>U2JN9PE</v>
          </cell>
          <cell r="B5364" t="str">
            <v>PW FC 24x7 HD返却不要 1年 DL120 G7用</v>
          </cell>
          <cell r="C5364" t="str">
            <v>【ファウンデーションケア】</v>
          </cell>
        </row>
        <row r="5365">
          <cell r="A5365" t="str">
            <v>U2JP4PE</v>
          </cell>
          <cell r="B5365" t="str">
            <v>PW FC 翌日 1年 DL165 G7用</v>
          </cell>
          <cell r="C5365" t="str">
            <v>【ファウンデーションケア】</v>
          </cell>
        </row>
        <row r="5366">
          <cell r="A5366" t="str">
            <v>U2JP7PE</v>
          </cell>
          <cell r="B5366" t="str">
            <v>PW FC 24x7 1年 DL165 G7用</v>
          </cell>
          <cell r="C5366" t="str">
            <v>【ファウンデーションケア】</v>
          </cell>
        </row>
        <row r="5367">
          <cell r="A5367" t="str">
            <v>U2JP8PE</v>
          </cell>
          <cell r="B5367" t="str">
            <v>PW FC 24x7 HD返却不要 1年 DL165 G7用</v>
          </cell>
          <cell r="C5367" t="str">
            <v>【ファウンデーションケア】</v>
          </cell>
        </row>
        <row r="5368">
          <cell r="A5368" t="str">
            <v>U2JQ3PE</v>
          </cell>
          <cell r="B5368" t="str">
            <v>PW FC 翌日 1年 DL360 G7用</v>
          </cell>
          <cell r="C5368" t="str">
            <v>【ファウンデーションケア】</v>
          </cell>
        </row>
        <row r="5369">
          <cell r="A5369" t="str">
            <v>U2JQ6PE</v>
          </cell>
          <cell r="B5369" t="str">
            <v>PW FC 24x7 1年 DL360 G7用</v>
          </cell>
          <cell r="C5369" t="str">
            <v>【ファウンデーションケア】</v>
          </cell>
        </row>
        <row r="5370">
          <cell r="A5370" t="str">
            <v>U2JQ7PE</v>
          </cell>
          <cell r="B5370" t="str">
            <v>PW FC 24x7 HD返却不要 1年 DL360 G7用</v>
          </cell>
          <cell r="C5370" t="str">
            <v>【ファウンデーションケア】</v>
          </cell>
        </row>
        <row r="5371">
          <cell r="A5371" t="str">
            <v>U2JR2PE</v>
          </cell>
          <cell r="B5371" t="str">
            <v>PW FC 翌日 1年 DL380 G7用</v>
          </cell>
          <cell r="C5371" t="str">
            <v>【ファウンデーションケア】</v>
          </cell>
        </row>
        <row r="5372">
          <cell r="A5372" t="str">
            <v>U2JR5PE</v>
          </cell>
          <cell r="B5372" t="str">
            <v>PW FC 24x7 1年 DL380 G7用</v>
          </cell>
          <cell r="C5372" t="str">
            <v>【ファウンデーションケア】</v>
          </cell>
        </row>
        <row r="5373">
          <cell r="A5373" t="str">
            <v>U2JR6PE</v>
          </cell>
          <cell r="B5373" t="str">
            <v>PW FC 24x7 HD返却不要 1年 DL380 G7用</v>
          </cell>
          <cell r="C5373" t="str">
            <v>【ファウンデーションケア】</v>
          </cell>
        </row>
        <row r="5374">
          <cell r="A5374" t="str">
            <v>U2JS1PE</v>
          </cell>
          <cell r="B5374" t="str">
            <v>PW FC 翌日 1年 DL385 G7用</v>
          </cell>
          <cell r="C5374" t="str">
            <v>【ファウンデーションケア】</v>
          </cell>
        </row>
        <row r="5375">
          <cell r="A5375" t="str">
            <v>U2JS4PE</v>
          </cell>
          <cell r="B5375" t="str">
            <v>PW FC 24x7 1年 DL385 G7用</v>
          </cell>
          <cell r="C5375" t="str">
            <v>【ファウンデーションケア】</v>
          </cell>
        </row>
        <row r="5376">
          <cell r="A5376" t="str">
            <v>U2JS5PE</v>
          </cell>
          <cell r="B5376" t="str">
            <v>PW FC 24x7 HD返却不要 1年 DL385 G7用</v>
          </cell>
          <cell r="C5376" t="str">
            <v>【ファウンデーションケア】</v>
          </cell>
        </row>
        <row r="5377">
          <cell r="A5377" t="str">
            <v>U2JT0PE</v>
          </cell>
          <cell r="B5377" t="str">
            <v>PW FC 翌日 1年 DL580 G7用</v>
          </cell>
          <cell r="C5377" t="str">
            <v>【ファウンデーションケア】</v>
          </cell>
        </row>
        <row r="5378">
          <cell r="A5378" t="str">
            <v>U2JT3PE</v>
          </cell>
          <cell r="B5378" t="str">
            <v>PW FC 24x7 1年 DL580 G7用</v>
          </cell>
          <cell r="C5378" t="str">
            <v>【ファウンデーションケア】</v>
          </cell>
        </row>
        <row r="5379">
          <cell r="A5379" t="str">
            <v>U2JT4PE</v>
          </cell>
          <cell r="B5379" t="str">
            <v>PW FC 24x7 HD返却不要 1年 DL580 G7用</v>
          </cell>
          <cell r="C5379" t="str">
            <v>【ファウンデーションケア】</v>
          </cell>
        </row>
        <row r="5380">
          <cell r="A5380" t="str">
            <v>U2JT9PE</v>
          </cell>
          <cell r="B5380" t="str">
            <v>PW FC 翌日 1年 DL585 G7用</v>
          </cell>
          <cell r="C5380" t="str">
            <v>【ファウンデーションケア】</v>
          </cell>
        </row>
        <row r="5381">
          <cell r="A5381" t="str">
            <v>U2JU2PE</v>
          </cell>
          <cell r="B5381" t="str">
            <v>PW FC 24x7 1年 DL585 G7用</v>
          </cell>
          <cell r="C5381" t="str">
            <v>【ファウンデーションケア】</v>
          </cell>
        </row>
        <row r="5382">
          <cell r="A5382" t="str">
            <v>U2JU3PE</v>
          </cell>
          <cell r="B5382" t="str">
            <v>PW FC 24x7 HD返却不要 1年 DL585 G7用</v>
          </cell>
          <cell r="C5382" t="str">
            <v>【ファウンデーションケア】</v>
          </cell>
        </row>
        <row r="5383">
          <cell r="A5383" t="str">
            <v>U2JU8PE</v>
          </cell>
          <cell r="B5383" t="str">
            <v>PW FC 翌日 1年 ML110 G7用</v>
          </cell>
          <cell r="C5383" t="str">
            <v>【ファウンデーションケア】</v>
          </cell>
        </row>
        <row r="5384">
          <cell r="A5384" t="str">
            <v>U2JV1PE</v>
          </cell>
          <cell r="B5384" t="str">
            <v>PW FC 24x7 1年 ML110 G7用</v>
          </cell>
          <cell r="C5384" t="str">
            <v>【ファウンデーションケア】</v>
          </cell>
        </row>
        <row r="5385">
          <cell r="A5385" t="str">
            <v>U2JV2PE</v>
          </cell>
          <cell r="B5385" t="str">
            <v>PW FC 24x7 HD返却不要 1年 ML110 G7用</v>
          </cell>
          <cell r="C5385" t="str">
            <v>【ファウンデーションケア】</v>
          </cell>
        </row>
        <row r="5386">
          <cell r="A5386" t="str">
            <v>U2JV7PE</v>
          </cell>
          <cell r="B5386" t="str">
            <v>PW FC 翌日 1年 BL280c G6用</v>
          </cell>
          <cell r="C5386" t="str">
            <v>【ファウンデーションケア】</v>
          </cell>
        </row>
        <row r="5387">
          <cell r="A5387" t="str">
            <v>U2JW0PE</v>
          </cell>
          <cell r="B5387" t="str">
            <v>PW FC 24x7 1年 BL280c G6用</v>
          </cell>
          <cell r="C5387" t="str">
            <v>【ファウンデーションケア】</v>
          </cell>
        </row>
        <row r="5388">
          <cell r="A5388" t="str">
            <v>U2JW1PE</v>
          </cell>
          <cell r="B5388" t="str">
            <v>PW FC 24x7 HD返却不要 1年 BL280c G6用</v>
          </cell>
          <cell r="C5388" t="str">
            <v>【ファウンデーションケア】</v>
          </cell>
        </row>
        <row r="5389">
          <cell r="A5389" t="str">
            <v>U2JW6PE</v>
          </cell>
          <cell r="B5389" t="str">
            <v>PW FC 翌日 1年 BL2x220c G6</v>
          </cell>
          <cell r="C5389" t="str">
            <v>【ファウンデーションケア】</v>
          </cell>
        </row>
        <row r="5390">
          <cell r="A5390" t="str">
            <v>U2JW9PE</v>
          </cell>
          <cell r="B5390" t="str">
            <v>PW FC 24x7 1年 BL2x220c G6</v>
          </cell>
          <cell r="C5390" t="str">
            <v>【ファウンデーションケア】</v>
          </cell>
        </row>
        <row r="5391">
          <cell r="A5391" t="str">
            <v>U2JX0PE</v>
          </cell>
          <cell r="B5391" t="str">
            <v>PW FC 24x7 HD返却不要 1年 BL2x220c G6</v>
          </cell>
          <cell r="C5391" t="str">
            <v>【ファウンデーションケア】</v>
          </cell>
        </row>
        <row r="5392">
          <cell r="A5392" t="str">
            <v>U2UH1PE</v>
          </cell>
          <cell r="B5392" t="str">
            <v>PW FC 翌日 1年 BL460c G6用</v>
          </cell>
          <cell r="C5392" t="str">
            <v>【ファウンデーションケア】</v>
          </cell>
        </row>
        <row r="5393">
          <cell r="A5393" t="str">
            <v>U2UH4PE</v>
          </cell>
          <cell r="B5393" t="str">
            <v>PW FC 24x7 1年 BL460c G6用</v>
          </cell>
          <cell r="C5393" t="str">
            <v>【ファウンデーションケア】</v>
          </cell>
        </row>
        <row r="5394">
          <cell r="A5394" t="str">
            <v>U2UH5PE</v>
          </cell>
          <cell r="B5394" t="str">
            <v>PW FC 24x7 HD返却不要 1年 BL460c G6用</v>
          </cell>
          <cell r="C5394" t="str">
            <v>【ファウンデーションケア】</v>
          </cell>
        </row>
        <row r="5395">
          <cell r="A5395" t="str">
            <v>U2UJ0PE</v>
          </cell>
          <cell r="B5395" t="str">
            <v>PW FC 翌日 1年 BL465c G6用</v>
          </cell>
          <cell r="C5395" t="str">
            <v>【ファウンデーションケア】</v>
          </cell>
        </row>
        <row r="5396">
          <cell r="A5396" t="str">
            <v>U2UJ3PE</v>
          </cell>
          <cell r="B5396" t="str">
            <v>PW FC 24x7 1年 BL465c G6用</v>
          </cell>
          <cell r="C5396" t="str">
            <v>【ファウンデーションケア】</v>
          </cell>
        </row>
        <row r="5397">
          <cell r="A5397" t="str">
            <v>U2UJ4PE</v>
          </cell>
          <cell r="B5397" t="str">
            <v>PW FC 24x7 HD返却不要 1年 BL465c G6用</v>
          </cell>
          <cell r="C5397" t="str">
            <v>【ファウンデーションケア】</v>
          </cell>
        </row>
        <row r="5398">
          <cell r="A5398" t="str">
            <v>U2UJ9PE</v>
          </cell>
          <cell r="B5398" t="str">
            <v>PW FC 翌日 1年 BL490c G6用</v>
          </cell>
          <cell r="C5398" t="str">
            <v>【ファウンデーションケア】</v>
          </cell>
        </row>
        <row r="5399">
          <cell r="A5399" t="str">
            <v>U2UK2PE</v>
          </cell>
          <cell r="B5399" t="str">
            <v>PW FC 24x7 1年 BL490c G6用</v>
          </cell>
          <cell r="C5399" t="str">
            <v>【ファウンデーションケア】</v>
          </cell>
        </row>
        <row r="5400">
          <cell r="A5400" t="str">
            <v>U2UK3PE</v>
          </cell>
          <cell r="B5400" t="str">
            <v>PW FC 24x7 HD返却不要 1年 BL490c G6用</v>
          </cell>
          <cell r="C5400" t="str">
            <v>【ファウンデーションケア】</v>
          </cell>
        </row>
        <row r="5401">
          <cell r="A5401" t="str">
            <v>U2UK8PE</v>
          </cell>
          <cell r="B5401" t="str">
            <v>PW FC 翌日 1年 BL495c G6用</v>
          </cell>
          <cell r="C5401" t="str">
            <v>【ファウンデーションケア】</v>
          </cell>
        </row>
        <row r="5402">
          <cell r="A5402" t="str">
            <v>U2UL1PE</v>
          </cell>
          <cell r="B5402" t="str">
            <v>PW FC 24x7 1年 BL495c G6用</v>
          </cell>
          <cell r="C5402" t="str">
            <v>【ファウンデーションケア】</v>
          </cell>
        </row>
        <row r="5403">
          <cell r="A5403" t="str">
            <v>U2UL2PE</v>
          </cell>
          <cell r="B5403" t="str">
            <v>PW FC 24x7 HD返却不要 1年 BL495c G6用</v>
          </cell>
          <cell r="C5403" t="str">
            <v>【ファウンデーションケア】</v>
          </cell>
        </row>
        <row r="5404">
          <cell r="A5404" t="str">
            <v>U2UL7PE</v>
          </cell>
          <cell r="B5404" t="str">
            <v>PW FC 翌日 1年 BL685c G6用</v>
          </cell>
          <cell r="C5404" t="str">
            <v>【ファウンデーションケア】</v>
          </cell>
        </row>
        <row r="5405">
          <cell r="A5405" t="str">
            <v>U2UM0PE</v>
          </cell>
          <cell r="B5405" t="str">
            <v>PW FC 24x7 1年 BL685c G6用</v>
          </cell>
          <cell r="C5405" t="str">
            <v>【ファウンデーションケア】</v>
          </cell>
        </row>
        <row r="5406">
          <cell r="A5406" t="str">
            <v>U2UM1PE</v>
          </cell>
          <cell r="B5406" t="str">
            <v>PW FC 24x7 HD返却不要 1年 BL685c G6用</v>
          </cell>
          <cell r="C5406" t="str">
            <v>【ファウンデーションケア】</v>
          </cell>
        </row>
        <row r="5407">
          <cell r="A5407" t="str">
            <v>U2UM6PE</v>
          </cell>
          <cell r="B5407" t="str">
            <v>PW FC 翌日 1年 DL120 G6用</v>
          </cell>
          <cell r="C5407" t="str">
            <v>【ファウンデーションケア】</v>
          </cell>
        </row>
        <row r="5408">
          <cell r="A5408" t="str">
            <v>U2UM9PE</v>
          </cell>
          <cell r="B5408" t="str">
            <v>PW FC 24x7 1年 DL120 G6用</v>
          </cell>
          <cell r="C5408" t="str">
            <v>【ファウンデーションケア】</v>
          </cell>
        </row>
        <row r="5409">
          <cell r="A5409" t="str">
            <v>U2UN0PE</v>
          </cell>
          <cell r="B5409" t="str">
            <v>PW FC 24x7 HD返却不要 1年 DL120 G6用</v>
          </cell>
          <cell r="C5409" t="str">
            <v>【ファウンデーションケア】</v>
          </cell>
        </row>
        <row r="5410">
          <cell r="A5410" t="str">
            <v>U2UN5PE</v>
          </cell>
          <cell r="B5410" t="str">
            <v>PW FC 翌日 1年 DL160 G6用</v>
          </cell>
          <cell r="C5410" t="str">
            <v>【ファウンデーションケア】</v>
          </cell>
        </row>
        <row r="5411">
          <cell r="A5411" t="str">
            <v>U2UN8PE</v>
          </cell>
          <cell r="B5411" t="str">
            <v>PW FC 24x7 1年 DL160 G6用</v>
          </cell>
          <cell r="C5411" t="str">
            <v>【ファウンデーションケア】</v>
          </cell>
        </row>
        <row r="5412">
          <cell r="A5412" t="str">
            <v>U2UN9PE</v>
          </cell>
          <cell r="B5412" t="str">
            <v>PW FC 24x7 HD返却不要 1年 DL160 G6用</v>
          </cell>
          <cell r="C5412" t="str">
            <v>【ファウンデーションケア】</v>
          </cell>
        </row>
        <row r="5413">
          <cell r="A5413" t="str">
            <v>U2UP4PE</v>
          </cell>
          <cell r="B5413" t="str">
            <v>PW FC 翌日 1年 DL165 G6用</v>
          </cell>
          <cell r="C5413" t="str">
            <v>【ファウンデーションケア】</v>
          </cell>
        </row>
        <row r="5414">
          <cell r="A5414" t="str">
            <v>U2UP7PE</v>
          </cell>
          <cell r="B5414" t="str">
            <v>PW FC 24x7 1年 DL165 G6用</v>
          </cell>
          <cell r="C5414" t="str">
            <v>【ファウンデーションケア】</v>
          </cell>
        </row>
        <row r="5415">
          <cell r="A5415" t="str">
            <v>U2UP8PE</v>
          </cell>
          <cell r="B5415" t="str">
            <v>PW FC 24x7 HD返却不要 1年 DL165 G6用</v>
          </cell>
          <cell r="C5415" t="str">
            <v>【ファウンデーションケア】</v>
          </cell>
        </row>
        <row r="5416">
          <cell r="A5416" t="str">
            <v>U2UQ3PE</v>
          </cell>
          <cell r="B5416" t="str">
            <v>PW FC 翌日 1年 DL180 G6用</v>
          </cell>
          <cell r="C5416" t="str">
            <v>【ファウンデーションケア】</v>
          </cell>
        </row>
        <row r="5417">
          <cell r="A5417" t="str">
            <v>U2UQ6PE</v>
          </cell>
          <cell r="B5417" t="str">
            <v>PW FC 24x7 1年 DL180 G6用</v>
          </cell>
          <cell r="C5417" t="str">
            <v>【ファウンデーションケア】</v>
          </cell>
        </row>
        <row r="5418">
          <cell r="A5418" t="str">
            <v>U2UQ7PE</v>
          </cell>
          <cell r="B5418" t="str">
            <v>PW FC 24x7 HD返却不要 1年 DL180 G6用</v>
          </cell>
          <cell r="C5418" t="str">
            <v>【ファウンデーションケア】</v>
          </cell>
        </row>
        <row r="5419">
          <cell r="A5419" t="str">
            <v>U2UR2PE</v>
          </cell>
          <cell r="B5419" t="str">
            <v>PW FC 翌日 1年 DL320 G6用</v>
          </cell>
          <cell r="C5419" t="str">
            <v>【ファウンデーションケア】</v>
          </cell>
        </row>
        <row r="5420">
          <cell r="A5420" t="str">
            <v>U2UR5PE</v>
          </cell>
          <cell r="B5420" t="str">
            <v>PW FC 24x7 1年 DL320 G6用</v>
          </cell>
          <cell r="C5420" t="str">
            <v>【ファウンデーションケア】</v>
          </cell>
        </row>
        <row r="5421">
          <cell r="A5421" t="str">
            <v>U2UR6PE</v>
          </cell>
          <cell r="B5421" t="str">
            <v>PW FC 24x7 HD返却不要 1年 DL320 G6用</v>
          </cell>
          <cell r="C5421" t="str">
            <v>【ファウンデーションケア】</v>
          </cell>
        </row>
        <row r="5422">
          <cell r="A5422" t="str">
            <v>U2US1PE</v>
          </cell>
          <cell r="B5422" t="str">
            <v>PW FC 翌日 1年 DL360 G6用</v>
          </cell>
          <cell r="C5422" t="str">
            <v>【ファウンデーションケア】</v>
          </cell>
        </row>
        <row r="5423">
          <cell r="A5423" t="str">
            <v>U2US4PE</v>
          </cell>
          <cell r="B5423" t="str">
            <v>PW FC 24x7 1年 DL360 G6用</v>
          </cell>
          <cell r="C5423" t="str">
            <v>【ファウンデーションケア】</v>
          </cell>
        </row>
        <row r="5424">
          <cell r="A5424" t="str">
            <v>U2US5PE</v>
          </cell>
          <cell r="B5424" t="str">
            <v>PW FC 24x7 HD返却不要 1年 DL360 G6用</v>
          </cell>
          <cell r="C5424" t="str">
            <v>【ファウンデーションケア】</v>
          </cell>
        </row>
        <row r="5425">
          <cell r="A5425" t="str">
            <v>U2UT0PE</v>
          </cell>
          <cell r="B5425" t="str">
            <v>PW FC 翌日 1年 DL370 G6用</v>
          </cell>
          <cell r="C5425" t="str">
            <v>【ファウンデーションケア】</v>
          </cell>
        </row>
        <row r="5426">
          <cell r="A5426" t="str">
            <v>U2UT3PE</v>
          </cell>
          <cell r="B5426" t="str">
            <v>PW FC 24x7 1年 DL370 G6用</v>
          </cell>
          <cell r="C5426" t="str">
            <v>【ファウンデーションケア】</v>
          </cell>
        </row>
        <row r="5427">
          <cell r="A5427" t="str">
            <v>U2UT4PE</v>
          </cell>
          <cell r="B5427" t="str">
            <v>PW FC 24x7 HD返却不要 1年 DL370 G6用</v>
          </cell>
          <cell r="C5427" t="str">
            <v>【ファウンデーションケア】</v>
          </cell>
        </row>
        <row r="5428">
          <cell r="A5428" t="str">
            <v>U2UT9PE</v>
          </cell>
          <cell r="B5428" t="str">
            <v>PW FC 翌日 1年 DL380 G6用</v>
          </cell>
          <cell r="C5428" t="str">
            <v>【ファウンデーションケア】</v>
          </cell>
        </row>
        <row r="5429">
          <cell r="A5429" t="str">
            <v>U2UU2PE</v>
          </cell>
          <cell r="B5429" t="str">
            <v>PW FC 24x7 1年 DL380 G6用</v>
          </cell>
          <cell r="C5429" t="str">
            <v>【ファウンデーションケア】</v>
          </cell>
        </row>
        <row r="5430">
          <cell r="A5430" t="str">
            <v>U2UU3PE</v>
          </cell>
          <cell r="B5430" t="str">
            <v>PW FC 24x7 HD返却不要 1年 DL380 G6用</v>
          </cell>
          <cell r="C5430" t="str">
            <v>【ファウンデーションケア】</v>
          </cell>
        </row>
        <row r="5431">
          <cell r="A5431" t="str">
            <v>U2UU8PE</v>
          </cell>
          <cell r="B5431" t="str">
            <v>PW FC 翌日 1年 DL385 G6用</v>
          </cell>
          <cell r="C5431" t="str">
            <v>【ファウンデーションケア】</v>
          </cell>
        </row>
        <row r="5432">
          <cell r="A5432" t="str">
            <v>U2UV1PE</v>
          </cell>
          <cell r="B5432" t="str">
            <v>PW FC 24x7 1年 DL385 G6用</v>
          </cell>
          <cell r="C5432" t="str">
            <v>【ファウンデーションケア】</v>
          </cell>
        </row>
        <row r="5433">
          <cell r="A5433" t="str">
            <v>U2UV2PE</v>
          </cell>
          <cell r="B5433" t="str">
            <v>PW FC 24x7 HD返却不要 1年 DL385 G6用</v>
          </cell>
          <cell r="C5433" t="str">
            <v>【ファウンデーションケア】</v>
          </cell>
        </row>
        <row r="5434">
          <cell r="A5434" t="str">
            <v>U2UV7PE</v>
          </cell>
          <cell r="B5434" t="str">
            <v>PW FC 翌日 1年 DL585 G6用</v>
          </cell>
          <cell r="C5434" t="str">
            <v>【ファウンデーションケア】</v>
          </cell>
        </row>
        <row r="5435">
          <cell r="A5435" t="str">
            <v>U2UW0PE</v>
          </cell>
          <cell r="B5435" t="str">
            <v>PW FC 24x7 1年 DL585 G6用</v>
          </cell>
          <cell r="C5435" t="str">
            <v>【ファウンデーションケア】</v>
          </cell>
        </row>
        <row r="5436">
          <cell r="A5436" t="str">
            <v>U2UW1PE</v>
          </cell>
          <cell r="B5436" t="str">
            <v>PW FC 24x7 HD返却不要 1年 DL585 G6用</v>
          </cell>
          <cell r="C5436" t="str">
            <v>【ファウンデーションケア】</v>
          </cell>
        </row>
        <row r="5437">
          <cell r="A5437" t="str">
            <v>U2UW6PE</v>
          </cell>
          <cell r="B5437" t="str">
            <v>PW FC 翌日 1年 ML110 G6用</v>
          </cell>
          <cell r="C5437" t="str">
            <v>【ファウンデーションケア】</v>
          </cell>
        </row>
        <row r="5438">
          <cell r="A5438" t="str">
            <v>U2UW9PE</v>
          </cell>
          <cell r="B5438" t="str">
            <v>PW FC 24x7 1年 ML110 G6用</v>
          </cell>
          <cell r="C5438" t="str">
            <v>【ファウンデーションケア】</v>
          </cell>
        </row>
        <row r="5439">
          <cell r="A5439" t="str">
            <v>U2UX0PE</v>
          </cell>
          <cell r="B5439" t="str">
            <v>PW FC 24x7 HD返却不要 1年 ML110 G6用</v>
          </cell>
          <cell r="C5439" t="str">
            <v>【ファウンデーションケア】</v>
          </cell>
        </row>
        <row r="5440">
          <cell r="A5440" t="str">
            <v>U2UX5PE</v>
          </cell>
          <cell r="B5440" t="str">
            <v>PW FC 翌日 1年 ML150 G6用</v>
          </cell>
          <cell r="C5440" t="str">
            <v>【ファウンデーションケア】</v>
          </cell>
        </row>
        <row r="5441">
          <cell r="A5441" t="str">
            <v>U2UX8PE</v>
          </cell>
          <cell r="B5441" t="str">
            <v>PW FC 24x7 1年 ML150 G6用</v>
          </cell>
          <cell r="C5441" t="str">
            <v>【ファウンデーションケア】</v>
          </cell>
        </row>
        <row r="5442">
          <cell r="A5442" t="str">
            <v>U2UX9PE</v>
          </cell>
          <cell r="B5442" t="str">
            <v>PW FC 24x7 HD返却不要 1年 ML150 G6用</v>
          </cell>
          <cell r="C5442" t="str">
            <v>【ファウンデーションケア】</v>
          </cell>
        </row>
        <row r="5443">
          <cell r="A5443" t="str">
            <v>U2UY4PE</v>
          </cell>
          <cell r="B5443" t="str">
            <v>PW FC 翌日 1年 ML330 G6用</v>
          </cell>
          <cell r="C5443" t="str">
            <v>【ファウンデーションケア】</v>
          </cell>
        </row>
        <row r="5444">
          <cell r="A5444" t="str">
            <v>U2UY7PE</v>
          </cell>
          <cell r="B5444" t="str">
            <v>PW FC 24x7 1年 ML330 G6用</v>
          </cell>
          <cell r="C5444" t="str">
            <v>【ファウンデーションケア】</v>
          </cell>
        </row>
        <row r="5445">
          <cell r="A5445" t="str">
            <v>U2UY8PE</v>
          </cell>
          <cell r="B5445" t="str">
            <v>PW FC 24x7 HD返却不要 1年 ML330 G6用</v>
          </cell>
          <cell r="C5445" t="str">
            <v>【ファウンデーションケア】</v>
          </cell>
        </row>
        <row r="5446">
          <cell r="A5446" t="str">
            <v>U2UZ3PE</v>
          </cell>
          <cell r="B5446" t="str">
            <v>PW FC 翌日 1年 ML350 G6用</v>
          </cell>
          <cell r="C5446" t="str">
            <v>【ファウンデーションケア】</v>
          </cell>
        </row>
        <row r="5447">
          <cell r="A5447" t="str">
            <v>U2UZ6PE</v>
          </cell>
          <cell r="B5447" t="str">
            <v>PW FC 24x7 1年 ML350 G6用</v>
          </cell>
          <cell r="C5447" t="str">
            <v>【ファウンデーションケア】</v>
          </cell>
        </row>
        <row r="5448">
          <cell r="A5448" t="str">
            <v>U2UZ7PE</v>
          </cell>
          <cell r="B5448" t="str">
            <v>PW FC 24x7 HD返却不要 1年 ML350 G6用</v>
          </cell>
          <cell r="C5448" t="str">
            <v>【ファウンデーションケア】</v>
          </cell>
        </row>
        <row r="5449">
          <cell r="A5449" t="str">
            <v>U2VA2PE</v>
          </cell>
          <cell r="B5449" t="str">
            <v>PW FC 翌日 1年 ML370 G6用</v>
          </cell>
          <cell r="C5449" t="str">
            <v>【ファウンデーションケア】</v>
          </cell>
        </row>
        <row r="5450">
          <cell r="A5450" t="str">
            <v>U2VA5PE</v>
          </cell>
          <cell r="B5450" t="str">
            <v>PW FC 24x7 1年 ML370 G6用</v>
          </cell>
          <cell r="C5450" t="str">
            <v>【ファウンデーションケア】</v>
          </cell>
        </row>
        <row r="5451">
          <cell r="A5451" t="str">
            <v>U2VA6PE</v>
          </cell>
          <cell r="B5451" t="str">
            <v>PW FC 24x7 HD返却不要 1年 ML370 G6用</v>
          </cell>
          <cell r="C5451" t="str">
            <v>【ファウンデーションケア】</v>
          </cell>
        </row>
        <row r="5452">
          <cell r="A5452" t="str">
            <v>U2VB1PE</v>
          </cell>
          <cell r="B5452" t="str">
            <v>PW FC 翌日 1年 WS460c G6用</v>
          </cell>
          <cell r="C5452" t="str">
            <v>【ファウンデーションケア】</v>
          </cell>
        </row>
        <row r="5453">
          <cell r="A5453" t="str">
            <v>U2VB4PE</v>
          </cell>
          <cell r="B5453" t="str">
            <v>PW FC 24x7 1年 WS460c G6用</v>
          </cell>
          <cell r="C5453" t="str">
            <v>【ファウンデーションケア】</v>
          </cell>
        </row>
        <row r="5454">
          <cell r="A5454" t="str">
            <v>U2VB5PE</v>
          </cell>
          <cell r="B5454" t="str">
            <v>PW FC 24x7 HD返却不要 1年 WS460c G6用</v>
          </cell>
          <cell r="C5454" t="str">
            <v>【ファウンデーションケア】</v>
          </cell>
        </row>
        <row r="5455">
          <cell r="A5455" t="str">
            <v>U2VC0PE</v>
          </cell>
          <cell r="B5455" t="str">
            <v>PW FC 翌日 1年 BL260c G5用</v>
          </cell>
          <cell r="C5455" t="str">
            <v>【ファウンデーションケア】</v>
          </cell>
        </row>
        <row r="5456">
          <cell r="A5456" t="str">
            <v>U2VC3PE</v>
          </cell>
          <cell r="B5456" t="str">
            <v>PW FC 24x7 1年 BL260c G5用</v>
          </cell>
          <cell r="C5456" t="str">
            <v>【ファウンデーションケア】</v>
          </cell>
        </row>
        <row r="5457">
          <cell r="A5457" t="str">
            <v>U2VC4PE</v>
          </cell>
          <cell r="B5457" t="str">
            <v>PW FC 24x7 HD返却不要 1年 BL260c G5用</v>
          </cell>
          <cell r="C5457" t="str">
            <v>【ファウンデーションケア】</v>
          </cell>
        </row>
        <row r="5458">
          <cell r="A5458" t="str">
            <v>U2VC9PE</v>
          </cell>
          <cell r="B5458" t="str">
            <v>PW FC 翌日 1年 BL2x220c G5</v>
          </cell>
          <cell r="C5458" t="str">
            <v>【ファウンデーションケア】</v>
          </cell>
        </row>
        <row r="5459">
          <cell r="A5459" t="str">
            <v>U2VD2PE</v>
          </cell>
          <cell r="B5459" t="str">
            <v>PW FC 24x7 1年 BL2x220c G5</v>
          </cell>
          <cell r="C5459" t="str">
            <v>【ファウンデーションケア】</v>
          </cell>
        </row>
        <row r="5460">
          <cell r="A5460" t="str">
            <v>U2VD3PE</v>
          </cell>
          <cell r="B5460" t="str">
            <v>PW FC 24x7 HD返却不要 1年 BL2x220c G5</v>
          </cell>
          <cell r="C5460" t="str">
            <v>【ファウンデーションケア】</v>
          </cell>
        </row>
        <row r="5461">
          <cell r="A5461" t="str">
            <v>U2VD8PE</v>
          </cell>
          <cell r="B5461" t="str">
            <v>PW FC 翌日 1年 BL460c G5用</v>
          </cell>
          <cell r="C5461" t="str">
            <v>【ファウンデーションケア】</v>
          </cell>
        </row>
        <row r="5462">
          <cell r="A5462" t="str">
            <v>U2VE1PE</v>
          </cell>
          <cell r="B5462" t="str">
            <v>PW FC 24x7 1年 BL460c G5用</v>
          </cell>
          <cell r="C5462" t="str">
            <v>【ファウンデーションケア】</v>
          </cell>
        </row>
        <row r="5463">
          <cell r="A5463" t="str">
            <v>U2VE2PE</v>
          </cell>
          <cell r="B5463" t="str">
            <v>PW FC 24x7 HD返却不要 1年 BL460c G5用</v>
          </cell>
          <cell r="C5463" t="str">
            <v>【ファウンデーションケア】</v>
          </cell>
        </row>
        <row r="5464">
          <cell r="A5464" t="str">
            <v>U2VE7PE</v>
          </cell>
          <cell r="B5464" t="str">
            <v>PW FC 翌日 1年 BL465c G5用</v>
          </cell>
          <cell r="C5464" t="str">
            <v>【ファウンデーションケア】</v>
          </cell>
        </row>
        <row r="5465">
          <cell r="A5465" t="str">
            <v>U2VF0PE</v>
          </cell>
          <cell r="B5465" t="str">
            <v>PW FC 24x7 1年 BL465c G5用</v>
          </cell>
          <cell r="C5465" t="str">
            <v>【ファウンデーションケア】</v>
          </cell>
        </row>
        <row r="5466">
          <cell r="A5466" t="str">
            <v>U2VF1PE</v>
          </cell>
          <cell r="B5466" t="str">
            <v>PW FC 24x7 HD返却不要 1年 BL465c G5用</v>
          </cell>
          <cell r="C5466" t="str">
            <v>【ファウンデーションケア】</v>
          </cell>
        </row>
        <row r="5467">
          <cell r="A5467" t="str">
            <v>U2VF6PE</v>
          </cell>
          <cell r="B5467" t="str">
            <v>PW FC 翌日 1年 BL495c G5用</v>
          </cell>
          <cell r="C5467" t="str">
            <v>【ファウンデーションケア】</v>
          </cell>
        </row>
        <row r="5468">
          <cell r="A5468" t="str">
            <v>U2VF9PE</v>
          </cell>
          <cell r="B5468" t="str">
            <v>PW FC 24x7 1年 BL495c G5用</v>
          </cell>
          <cell r="C5468" t="str">
            <v>【ファウンデーションケア】</v>
          </cell>
        </row>
        <row r="5469">
          <cell r="A5469" t="str">
            <v>U2VG0PE</v>
          </cell>
          <cell r="B5469" t="str">
            <v>PW FC 24x7 HD返却不要 1年 BL495c G5用</v>
          </cell>
          <cell r="C5469" t="str">
            <v>【ファウンデーションケア】</v>
          </cell>
        </row>
        <row r="5470">
          <cell r="A5470" t="str">
            <v>U2VG5PE</v>
          </cell>
          <cell r="B5470" t="str">
            <v>PW FC 翌日 1年 BL680c G5用</v>
          </cell>
          <cell r="C5470" t="str">
            <v>【ファウンデーションケア】</v>
          </cell>
        </row>
        <row r="5471">
          <cell r="A5471" t="str">
            <v>U2VG8PE</v>
          </cell>
          <cell r="B5471" t="str">
            <v>PW FC 24x7 1年 BL680c G5用</v>
          </cell>
          <cell r="C5471" t="str">
            <v>【ファウンデーションケア】</v>
          </cell>
        </row>
        <row r="5472">
          <cell r="A5472" t="str">
            <v>U2VG9PE</v>
          </cell>
          <cell r="B5472" t="str">
            <v>PW FC 24x7 HD返却不要 1年 BL680c G5用</v>
          </cell>
          <cell r="C5472" t="str">
            <v>【ファウンデーションケア】</v>
          </cell>
        </row>
        <row r="5473">
          <cell r="A5473" t="str">
            <v>U2VH4PE</v>
          </cell>
          <cell r="B5473" t="str">
            <v>PW FC 翌日 1年 BL685c G5用</v>
          </cell>
          <cell r="C5473" t="str">
            <v>【ファウンデーションケア】</v>
          </cell>
        </row>
        <row r="5474">
          <cell r="A5474" t="str">
            <v>U2VH7PE</v>
          </cell>
          <cell r="B5474" t="str">
            <v>PW FC 24x7 1年 BL685c G5用</v>
          </cell>
          <cell r="C5474" t="str">
            <v>【ファウンデーションケア】</v>
          </cell>
        </row>
        <row r="5475">
          <cell r="A5475" t="str">
            <v>U2VH8PE</v>
          </cell>
          <cell r="B5475" t="str">
            <v>PW FC 24x7 HD返却不要 1年 BL685c G5用</v>
          </cell>
          <cell r="C5475" t="str">
            <v>【ファウンデーションケア】</v>
          </cell>
        </row>
        <row r="5476">
          <cell r="A5476" t="str">
            <v>U2VJ3PE</v>
          </cell>
          <cell r="B5476" t="str">
            <v>PW FC 翌日 1年 DL120 G5用</v>
          </cell>
          <cell r="C5476" t="str">
            <v>【ファウンデーションケア】</v>
          </cell>
        </row>
        <row r="5477">
          <cell r="A5477" t="str">
            <v>U2VJ6PE</v>
          </cell>
          <cell r="B5477" t="str">
            <v>PW FC 24x7 1年 DL120 G5用</v>
          </cell>
          <cell r="C5477" t="str">
            <v>【ファウンデーションケア】</v>
          </cell>
        </row>
        <row r="5478">
          <cell r="A5478" t="str">
            <v>U2VJ7PE</v>
          </cell>
          <cell r="B5478" t="str">
            <v>PW FC 24x7 HD返却不要 1年 DL120 G5用</v>
          </cell>
          <cell r="C5478" t="str">
            <v>【ファウンデーションケア】</v>
          </cell>
        </row>
        <row r="5479">
          <cell r="A5479" t="str">
            <v>U2VM0PE</v>
          </cell>
          <cell r="B5479" t="str">
            <v>PW FC 翌日 1年 DL165 G5用</v>
          </cell>
          <cell r="C5479" t="str">
            <v>【ファウンデーションケア】</v>
          </cell>
        </row>
        <row r="5480">
          <cell r="A5480" t="str">
            <v>U2VM3PE</v>
          </cell>
          <cell r="B5480" t="str">
            <v>PW FC 24x7 1年 DL165 G5用</v>
          </cell>
          <cell r="C5480" t="str">
            <v>【ファウンデーションケア】</v>
          </cell>
        </row>
        <row r="5481">
          <cell r="A5481" t="str">
            <v>U2VM4PE</v>
          </cell>
          <cell r="B5481" t="str">
            <v>PW FC 24x7 HD返却不要 1年 DL165 G5用</v>
          </cell>
          <cell r="C5481" t="str">
            <v>【ファウンデーションケア】</v>
          </cell>
        </row>
        <row r="5482">
          <cell r="A5482" t="str">
            <v>U2VQ6PE</v>
          </cell>
          <cell r="B5482" t="str">
            <v>PW FC 翌日 1年 DL320 G5用</v>
          </cell>
          <cell r="C5482" t="str">
            <v>【ファウンデーションケア】</v>
          </cell>
        </row>
        <row r="5483">
          <cell r="A5483" t="str">
            <v>U2VQ9PE</v>
          </cell>
          <cell r="B5483" t="str">
            <v>PW FC 24x7 1年 DL320 G5用</v>
          </cell>
          <cell r="C5483" t="str">
            <v>【ファウンデーションケア】</v>
          </cell>
        </row>
        <row r="5484">
          <cell r="A5484" t="str">
            <v>U2VR0PE</v>
          </cell>
          <cell r="B5484" t="str">
            <v>PW FC 24x7 HD返却不要 1年 DL320 G5用</v>
          </cell>
          <cell r="C5484" t="str">
            <v>【ファウンデーションケア】</v>
          </cell>
        </row>
        <row r="5485">
          <cell r="A5485" t="str">
            <v>U2VR5PE</v>
          </cell>
          <cell r="B5485" t="str">
            <v>PW FC 翌日 1年 DL320 G5p用</v>
          </cell>
          <cell r="C5485" t="str">
            <v>【ファウンデーションケア】</v>
          </cell>
        </row>
        <row r="5486">
          <cell r="A5486" t="str">
            <v>U2VR8PE</v>
          </cell>
          <cell r="B5486" t="str">
            <v>PW FC 24x7 1年 DL320 G5p用</v>
          </cell>
          <cell r="C5486" t="str">
            <v>【ファウンデーションケア】</v>
          </cell>
        </row>
        <row r="5487">
          <cell r="A5487" t="str">
            <v>U2VR9PE</v>
          </cell>
          <cell r="B5487" t="str">
            <v>PW FC 24x7 HD返却不要 1年 DL320 G5p用</v>
          </cell>
          <cell r="C5487" t="str">
            <v>【ファウンデーションケア】</v>
          </cell>
        </row>
        <row r="5488">
          <cell r="A5488" t="str">
            <v>U2VS4PE</v>
          </cell>
          <cell r="B5488" t="str">
            <v>PW FC 翌日 1年 DL360 G5用</v>
          </cell>
          <cell r="C5488" t="str">
            <v>【ファウンデーションケア】</v>
          </cell>
        </row>
        <row r="5489">
          <cell r="A5489" t="str">
            <v>U2VS7PE</v>
          </cell>
          <cell r="B5489" t="str">
            <v>PW FC 24x7 1年 DL360 G5用</v>
          </cell>
          <cell r="C5489" t="str">
            <v>【ファウンデーションケア】</v>
          </cell>
        </row>
        <row r="5490">
          <cell r="A5490" t="str">
            <v>U2VS8PE</v>
          </cell>
          <cell r="B5490" t="str">
            <v>PW FC 24x7 HD返却不要 1年 DL360 G5用</v>
          </cell>
          <cell r="C5490" t="str">
            <v>【ファウンデーションケア】</v>
          </cell>
        </row>
        <row r="5491">
          <cell r="A5491" t="str">
            <v>U2VT3PE</v>
          </cell>
          <cell r="B5491" t="str">
            <v>PW FC 翌日 1年 DL365 G5用</v>
          </cell>
          <cell r="C5491" t="str">
            <v>【ファウンデーションケア】</v>
          </cell>
        </row>
        <row r="5492">
          <cell r="A5492" t="str">
            <v>U2VT6PE</v>
          </cell>
          <cell r="B5492" t="str">
            <v>PW FC 24x7 1年 DL365 G5用</v>
          </cell>
          <cell r="C5492" t="str">
            <v>【ファウンデーションケア】</v>
          </cell>
        </row>
        <row r="5493">
          <cell r="A5493" t="str">
            <v>U2VT7PE</v>
          </cell>
          <cell r="B5493" t="str">
            <v>PW FC 24x7 HD返却不要 1年 DL365 G5用</v>
          </cell>
          <cell r="C5493" t="str">
            <v>【ファウンデーションケア】</v>
          </cell>
        </row>
        <row r="5494">
          <cell r="A5494" t="str">
            <v>U2VU2PE</v>
          </cell>
          <cell r="B5494" t="str">
            <v>PW FC 翌日 1年 DL380 G5用</v>
          </cell>
          <cell r="C5494" t="str">
            <v>【ファウンデーションケア】</v>
          </cell>
        </row>
        <row r="5495">
          <cell r="A5495" t="str">
            <v>U2VU5PE</v>
          </cell>
          <cell r="B5495" t="str">
            <v>PW FC 24x7 1年 DL380 G5用</v>
          </cell>
          <cell r="C5495" t="str">
            <v>【ファウンデーションケア】</v>
          </cell>
        </row>
        <row r="5496">
          <cell r="A5496" t="str">
            <v>U2VU6PE</v>
          </cell>
          <cell r="B5496" t="str">
            <v>PW FC 24x7 HD返却不要 1年 DL380 G5用</v>
          </cell>
          <cell r="C5496" t="str">
            <v>【ファウンデーションケア】</v>
          </cell>
        </row>
        <row r="5497">
          <cell r="A5497" t="str">
            <v>U2VV1PE</v>
          </cell>
          <cell r="B5497" t="str">
            <v>PW FC 翌日 1年 DL385 G5用</v>
          </cell>
          <cell r="C5497" t="str">
            <v>【ファウンデーションケア】</v>
          </cell>
        </row>
        <row r="5498">
          <cell r="A5498" t="str">
            <v>U2VV4PE</v>
          </cell>
          <cell r="B5498" t="str">
            <v>PW FC 24x7 1年 DL385 G5用</v>
          </cell>
          <cell r="C5498" t="str">
            <v>【ファウンデーションケア】</v>
          </cell>
        </row>
        <row r="5499">
          <cell r="A5499" t="str">
            <v>U2VV5PE</v>
          </cell>
          <cell r="B5499" t="str">
            <v>PW FC 24x7 HD返却不要 1年 DL385 G5用</v>
          </cell>
          <cell r="C5499" t="str">
            <v>【ファウンデーションケア】</v>
          </cell>
        </row>
        <row r="5500">
          <cell r="A5500" t="str">
            <v>U2VW0PE</v>
          </cell>
          <cell r="B5500" t="str">
            <v>PW FC 翌日 1年 DL385 G5p用</v>
          </cell>
          <cell r="C5500" t="str">
            <v>【ファウンデーションケア】</v>
          </cell>
        </row>
        <row r="5501">
          <cell r="A5501" t="str">
            <v>U2VW3PE</v>
          </cell>
          <cell r="B5501" t="str">
            <v>PW FC 24x7 1年 DL385 G5p用</v>
          </cell>
          <cell r="C5501" t="str">
            <v>【ファウンデーションケア】</v>
          </cell>
        </row>
        <row r="5502">
          <cell r="A5502" t="str">
            <v>U2VW4PE</v>
          </cell>
          <cell r="B5502" t="str">
            <v>PW FC 24x7 HD返却不要 1年 DL385 G5p用</v>
          </cell>
          <cell r="C5502" t="str">
            <v>【ファウンデーションケア】</v>
          </cell>
        </row>
        <row r="5503">
          <cell r="A5503" t="str">
            <v>U2VW9PE</v>
          </cell>
          <cell r="B5503" t="str">
            <v>PW FC 翌日 1年 DL580 G5用</v>
          </cell>
          <cell r="C5503" t="str">
            <v>【ファウンデーションケア】</v>
          </cell>
        </row>
        <row r="5504">
          <cell r="A5504" t="str">
            <v>U2VX2PE</v>
          </cell>
          <cell r="B5504" t="str">
            <v>PW FC 24x7 1年 DL580 G5用</v>
          </cell>
          <cell r="C5504" t="str">
            <v>【ファウンデーションケア】</v>
          </cell>
        </row>
        <row r="5505">
          <cell r="A5505" t="str">
            <v>U2VX3PE</v>
          </cell>
          <cell r="B5505" t="str">
            <v>PW FC 24x7 HD返却不要 1年 DL580 G5用</v>
          </cell>
          <cell r="C5505" t="str">
            <v>【ファウンデーションケア】</v>
          </cell>
        </row>
        <row r="5506">
          <cell r="A5506" t="str">
            <v>U2VX8PE</v>
          </cell>
          <cell r="B5506" t="str">
            <v>PW FC 翌日 1年 DL585 G5用</v>
          </cell>
          <cell r="C5506" t="str">
            <v>【ファウンデーションケア】</v>
          </cell>
        </row>
        <row r="5507">
          <cell r="A5507" t="str">
            <v>U2VY1PE</v>
          </cell>
          <cell r="B5507" t="str">
            <v>PW FC 24x7 1年 DL585 G5用</v>
          </cell>
          <cell r="C5507" t="str">
            <v>【ファウンデーションケア】</v>
          </cell>
        </row>
        <row r="5508">
          <cell r="A5508" t="str">
            <v>U2VY2PE</v>
          </cell>
          <cell r="B5508" t="str">
            <v>PW FC 24x7 HD返却不要 1年 DL585 G5用</v>
          </cell>
          <cell r="C5508" t="str">
            <v>【ファウンデーションケア】</v>
          </cell>
        </row>
        <row r="5509">
          <cell r="A5509" t="str">
            <v>U2VY7PE</v>
          </cell>
          <cell r="B5509" t="str">
            <v>PW FC 翌日 1年 ML110 G5用</v>
          </cell>
          <cell r="C5509" t="str">
            <v>【ファウンデーションケア】</v>
          </cell>
        </row>
        <row r="5510">
          <cell r="A5510" t="str">
            <v>U2VZ0PE</v>
          </cell>
          <cell r="B5510" t="str">
            <v>PW FC 24x7 1年 ML110 G5用</v>
          </cell>
          <cell r="C5510" t="str">
            <v>【ファウンデーションケア】</v>
          </cell>
        </row>
        <row r="5511">
          <cell r="A5511" t="str">
            <v>U2VZ1PE</v>
          </cell>
          <cell r="B5511" t="str">
            <v>PW FC 24x7 HD返却不要 1年 ML110 G5用</v>
          </cell>
          <cell r="C5511" t="str">
            <v>【ファウンデーションケア】</v>
          </cell>
        </row>
        <row r="5512">
          <cell r="A5512" t="str">
            <v>U2VZ6PE</v>
          </cell>
          <cell r="B5512" t="str">
            <v>PW FC 翌日 1年 ML115 G5用</v>
          </cell>
          <cell r="C5512" t="str">
            <v>【ファウンデーションケア】</v>
          </cell>
        </row>
        <row r="5513">
          <cell r="A5513" t="str">
            <v>U2VZ9PE</v>
          </cell>
          <cell r="B5513" t="str">
            <v>PW FC 24x7 1年 ML115 G5用</v>
          </cell>
          <cell r="C5513" t="str">
            <v>【ファウンデーションケア】</v>
          </cell>
        </row>
        <row r="5514">
          <cell r="A5514" t="str">
            <v>U2WA0PE</v>
          </cell>
          <cell r="B5514" t="str">
            <v>PW FC 24x7 HD返却不要 1年 ML115 G5用</v>
          </cell>
          <cell r="C5514" t="str">
            <v>【ファウンデーションケア】</v>
          </cell>
        </row>
        <row r="5515">
          <cell r="A5515" t="str">
            <v>U2WD2PE</v>
          </cell>
          <cell r="B5515" t="str">
            <v>PW FC 翌日 1年 ML350 G5用</v>
          </cell>
          <cell r="C5515" t="str">
            <v>【ファウンデーションケア】</v>
          </cell>
        </row>
        <row r="5516">
          <cell r="A5516" t="str">
            <v>U2WD5PE</v>
          </cell>
          <cell r="B5516" t="str">
            <v>PW FC 24x7 1年 ML350 G5用</v>
          </cell>
          <cell r="C5516" t="str">
            <v>【ファウンデーションケア】</v>
          </cell>
        </row>
        <row r="5517">
          <cell r="A5517" t="str">
            <v>U2WD6PE</v>
          </cell>
          <cell r="B5517" t="str">
            <v>PW FC 24x7 HD返却不要 1年 ML350 G5用</v>
          </cell>
          <cell r="C5517" t="str">
            <v>【ファウンデーションケア】</v>
          </cell>
        </row>
        <row r="5518">
          <cell r="A5518" t="str">
            <v>U2WE1PE</v>
          </cell>
          <cell r="B5518" t="str">
            <v>PW FC 翌日 1年 ML370 G5用</v>
          </cell>
          <cell r="C5518" t="str">
            <v>【ファウンデーションケア】</v>
          </cell>
        </row>
        <row r="5519">
          <cell r="A5519" t="str">
            <v>U2WE4PE</v>
          </cell>
          <cell r="B5519" t="str">
            <v>PW FC 24x7 1年 ML370 G5用</v>
          </cell>
          <cell r="C5519" t="str">
            <v>【ファウンデーションケア】</v>
          </cell>
        </row>
        <row r="5520">
          <cell r="A5520" t="str">
            <v>U2WE5PE</v>
          </cell>
          <cell r="B5520" t="str">
            <v>PW FC 24x7 HD返却不要 1年 ML370 G5用</v>
          </cell>
          <cell r="C5520" t="str">
            <v>【ファウンデーションケア】</v>
          </cell>
        </row>
        <row r="5521">
          <cell r="A5521" t="str">
            <v>U2WF9PE</v>
          </cell>
          <cell r="B5521" t="str">
            <v>PW FC 翌日 1年 c3000 Encl用</v>
          </cell>
          <cell r="C5521" t="str">
            <v>【ファウンデーションケア】</v>
          </cell>
        </row>
        <row r="5522">
          <cell r="A5522" t="str">
            <v>U2WG1PE</v>
          </cell>
          <cell r="B5522" t="str">
            <v>PW FC 24x7 1年 c3000 Encl用</v>
          </cell>
          <cell r="C5522" t="str">
            <v>【ファウンデーションケア】</v>
          </cell>
        </row>
        <row r="5523">
          <cell r="A5523" t="str">
            <v>U2WG5PE</v>
          </cell>
          <cell r="B5523" t="str">
            <v>PW FC 翌日 1年 c7000 Encl用</v>
          </cell>
          <cell r="C5523" t="str">
            <v>【ファウンデーションケア】</v>
          </cell>
        </row>
        <row r="5524">
          <cell r="A5524" t="str">
            <v>U2WG7PE</v>
          </cell>
          <cell r="B5524" t="str">
            <v>PW FC 24x7 1年 c7000 Encl用</v>
          </cell>
          <cell r="C5524" t="str">
            <v>【ファウンデーションケア】</v>
          </cell>
        </row>
        <row r="5525">
          <cell r="A5525" t="str">
            <v>U2WP8PE</v>
          </cell>
          <cell r="B5525" t="str">
            <v>PW FC 翌日 1年 DL1000/2000</v>
          </cell>
          <cell r="C5525" t="str">
            <v>【ファウンデーションケア】</v>
          </cell>
        </row>
        <row r="5526">
          <cell r="A5526" t="str">
            <v>U2WQ1PE</v>
          </cell>
          <cell r="B5526" t="str">
            <v>PW FC 24x7 1年 DL1000/2000</v>
          </cell>
          <cell r="C5526" t="str">
            <v>【ファウンデーションケア】</v>
          </cell>
        </row>
        <row r="5527">
          <cell r="A5527" t="str">
            <v>U2WQ2PE</v>
          </cell>
          <cell r="B5527" t="str">
            <v>PW FC 24x7 HD返却不要 1年 DL1000/2000</v>
          </cell>
          <cell r="C5527" t="str">
            <v>【ファウンデーションケア】</v>
          </cell>
        </row>
        <row r="5528">
          <cell r="A5528" t="str">
            <v>U2WQ7E</v>
          </cell>
          <cell r="B5528" t="str">
            <v>FC 9x5 3年 MicroServer用</v>
          </cell>
          <cell r="C5528" t="str">
            <v>【ファウンデーションケア】</v>
          </cell>
        </row>
        <row r="5529">
          <cell r="A5529" t="str">
            <v>U2WQ8E</v>
          </cell>
          <cell r="B5529" t="str">
            <v>FC 9x5 HD返却不要 3年 MicroServer用</v>
          </cell>
          <cell r="C5529" t="str">
            <v>【ファウンデーションケア】</v>
          </cell>
        </row>
        <row r="5530">
          <cell r="A5530" t="str">
            <v>U2WQ9E</v>
          </cell>
          <cell r="B5530" t="str">
            <v>FC 9x5 4年 MicroServer用</v>
          </cell>
          <cell r="C5530" t="str">
            <v>【ファウンデーションケア】</v>
          </cell>
        </row>
        <row r="5531">
          <cell r="A5531" t="str">
            <v>U2WR0E</v>
          </cell>
          <cell r="B5531" t="str">
            <v>FC 9x5 HD返却不要 4年 MicroServer用</v>
          </cell>
          <cell r="C5531" t="str">
            <v>【ファウンデーションケア】</v>
          </cell>
        </row>
        <row r="5532">
          <cell r="A5532" t="str">
            <v>U2WR1E</v>
          </cell>
          <cell r="B5532" t="str">
            <v>FC 9x5 5年 MicroServer用</v>
          </cell>
          <cell r="C5532" t="str">
            <v>【ファウンデーションケア】</v>
          </cell>
        </row>
        <row r="5533">
          <cell r="A5533" t="str">
            <v>U2WR2E</v>
          </cell>
          <cell r="B5533" t="str">
            <v>FC 9x5 HD返却不要 5年 MicroServer用</v>
          </cell>
          <cell r="C5533" t="str">
            <v>【ファウンデーションケア】</v>
          </cell>
        </row>
        <row r="5534">
          <cell r="A5534" t="str">
            <v>U2WS5E</v>
          </cell>
          <cell r="B5534" t="str">
            <v>FC 9x5 3年 wrkldAccel用</v>
          </cell>
          <cell r="C5534" t="str">
            <v>【ファウンデーションケア】</v>
          </cell>
        </row>
        <row r="5535">
          <cell r="A5535" t="str">
            <v>U2WS7E</v>
          </cell>
          <cell r="B5535" t="str">
            <v>FC 9x5 4年 wrkldAccel用</v>
          </cell>
          <cell r="C5535" t="str">
            <v>【ファウンデーションケア】</v>
          </cell>
        </row>
        <row r="5536">
          <cell r="A5536" t="str">
            <v>U2WS9E</v>
          </cell>
          <cell r="B5536" t="str">
            <v>FC 9x5 5年 wrkldAccel用</v>
          </cell>
          <cell r="C5536" t="str">
            <v>【ファウンデーションケア】</v>
          </cell>
        </row>
        <row r="5537">
          <cell r="A5537" t="str">
            <v>U2XR6E</v>
          </cell>
          <cell r="B5537" t="str">
            <v>FC 翌日 3年 IB FDR 36P Switch用</v>
          </cell>
          <cell r="C5537" t="str">
            <v>【ファウンデーションケア】</v>
          </cell>
        </row>
        <row r="5538">
          <cell r="A5538" t="str">
            <v>U2XR7E</v>
          </cell>
          <cell r="B5538" t="str">
            <v>FC 翌日 4年 IB FDR 36P Switch用</v>
          </cell>
          <cell r="C5538" t="str">
            <v>【ファウンデーションケア】</v>
          </cell>
        </row>
        <row r="5539">
          <cell r="A5539" t="str">
            <v>U2XR8E</v>
          </cell>
          <cell r="B5539" t="str">
            <v>FC 翌日 5年 IB FDR 36P Switch用</v>
          </cell>
          <cell r="C5539" t="str">
            <v>【ファウンデーションケア】</v>
          </cell>
        </row>
        <row r="5540">
          <cell r="A5540" t="str">
            <v>U2XS5E</v>
          </cell>
          <cell r="B5540" t="str">
            <v>FC 24x7 3年 IB FDR 36P Switch用</v>
          </cell>
          <cell r="C5540" t="str">
            <v>【ファウンデーションケア】</v>
          </cell>
        </row>
        <row r="5541">
          <cell r="A5541" t="str">
            <v>U2XS6E</v>
          </cell>
          <cell r="B5541" t="str">
            <v>FC 24x7 4年 IB FDR 36P Switch用</v>
          </cell>
          <cell r="C5541" t="str">
            <v>【ファウンデーションケア】</v>
          </cell>
        </row>
        <row r="5542">
          <cell r="A5542" t="str">
            <v>U2XS7E</v>
          </cell>
          <cell r="B5542" t="str">
            <v>FC 24x7 5年 IB FDR 36P Switch用</v>
          </cell>
          <cell r="C5542" t="str">
            <v>【ファウンデーションケア】</v>
          </cell>
        </row>
        <row r="5543">
          <cell r="A5543" t="str">
            <v>U3C33E</v>
          </cell>
          <cell r="B5543" t="str">
            <v>ProCare 24x7 3年 BladeSys c7000 Encl用</v>
          </cell>
          <cell r="C5543" t="str">
            <v>【HPEプロアクティブケア】メーカー推奨／低価格で国内専用窓口の高品質な保守により、システム運用における安心を提供します。</v>
          </cell>
        </row>
        <row r="5544">
          <cell r="A5544" t="str">
            <v>U3C34E</v>
          </cell>
          <cell r="B5544" t="str">
            <v>ProCare 24x7 4年 BladeSys c7000 Encl用</v>
          </cell>
          <cell r="C5544" t="str">
            <v>【HPEプロアクティブケア】メーカー推奨／低価格で国内専用窓口の高品質な保守により、システム運用における安心を提供します。</v>
          </cell>
        </row>
        <row r="5545">
          <cell r="A5545" t="str">
            <v>U3C35E</v>
          </cell>
          <cell r="B5545" t="str">
            <v>ProCare 24x7 5年 BladeSys c7000 Encl用</v>
          </cell>
          <cell r="C5545" t="str">
            <v>【HPEプロアクティブケア】メーカー推奨／低価格で国内専用窓口の高品質な保守により、システム運用における安心を提供します。</v>
          </cell>
        </row>
        <row r="5546">
          <cell r="A5546" t="str">
            <v>U3C42E</v>
          </cell>
          <cell r="B5546" t="str">
            <v>ProCare 24x7 3年 BladeSys c3000 Encl用</v>
          </cell>
          <cell r="C5546" t="str">
            <v>【HPEプロアクティブケア】メーカー推奨／低価格で国内専用窓口の高品質な保守により、システム運用における安心を提供します。</v>
          </cell>
        </row>
        <row r="5547">
          <cell r="A5547" t="str">
            <v>U3C43E</v>
          </cell>
          <cell r="B5547" t="str">
            <v>ProCare 24x7 4年 BladeSys c3000 Encl用</v>
          </cell>
          <cell r="C5547" t="str">
            <v>【HPEプロアクティブケア】メーカー推奨／低価格で国内専用窓口の高品質な保守により、システム運用における安心を提供します。</v>
          </cell>
        </row>
        <row r="5548">
          <cell r="A5548" t="str">
            <v>U3C44E</v>
          </cell>
          <cell r="B5548" t="str">
            <v>ProCare 24x7 5年 BladeSys c3000 Encl用</v>
          </cell>
          <cell r="C5548" t="str">
            <v>【HPEプロアクティブケア】メーカー推奨／低価格で国内専用窓口の高品質な保守により、システム運用における安心を提供します。</v>
          </cell>
        </row>
        <row r="5549">
          <cell r="A5549" t="str">
            <v>U3EA5E</v>
          </cell>
          <cell r="B5549" t="str">
            <v>FC 9x5 3年 IB FDR 36P Switch用</v>
          </cell>
          <cell r="C5549" t="str">
            <v>【ファウンデーションケア】</v>
          </cell>
        </row>
        <row r="5550">
          <cell r="A5550" t="str">
            <v>U3EA6E</v>
          </cell>
          <cell r="B5550" t="str">
            <v>FC 9x5 4年 IB FDR 36P Switch用</v>
          </cell>
          <cell r="C5550" t="str">
            <v>【ファウンデーションケア】</v>
          </cell>
        </row>
        <row r="5551">
          <cell r="A5551" t="str">
            <v>U3EA7E</v>
          </cell>
          <cell r="B5551" t="str">
            <v>FC 9x5 5年 IB FDR 36P Switch用</v>
          </cell>
          <cell r="C5551" t="str">
            <v>【ファウンデーションケア】</v>
          </cell>
        </row>
        <row r="5552">
          <cell r="A5552" t="str">
            <v>U3EK6E</v>
          </cell>
          <cell r="B5552" t="str">
            <v>FC 9x5 3年 6125XLGスイッチ用</v>
          </cell>
          <cell r="C5552" t="str">
            <v>【ファウンデーションケア】</v>
          </cell>
        </row>
        <row r="5553">
          <cell r="A5553" t="str">
            <v>U3EK7E</v>
          </cell>
          <cell r="B5553" t="str">
            <v>FC 9x5 4年 6125XLGスイッチ用</v>
          </cell>
          <cell r="C5553" t="str">
            <v>【ファウンデーションケア】</v>
          </cell>
        </row>
        <row r="5554">
          <cell r="A5554" t="str">
            <v>U3EK8E</v>
          </cell>
          <cell r="B5554" t="str">
            <v>FC 9x5 5年 6125XLGスイッチ用</v>
          </cell>
          <cell r="C5554" t="str">
            <v>【ファウンデーションケア】</v>
          </cell>
        </row>
        <row r="5555">
          <cell r="A5555" t="str">
            <v>U3EK9E</v>
          </cell>
          <cell r="B5555" t="str">
            <v>FC 9x5 3年 BladeSys c3000 Encl用</v>
          </cell>
          <cell r="C5555" t="str">
            <v>【ファウンデーションケア】</v>
          </cell>
        </row>
        <row r="5556">
          <cell r="A5556" t="str">
            <v>U3EL0E</v>
          </cell>
          <cell r="B5556" t="str">
            <v>FC 9x5 4年 BladeSys c3000 Encl用</v>
          </cell>
          <cell r="C5556" t="str">
            <v>【ファウンデーションケア】</v>
          </cell>
        </row>
        <row r="5557">
          <cell r="A5557" t="str">
            <v>U3EL1E</v>
          </cell>
          <cell r="B5557" t="str">
            <v>FC 9x5 5年 BladeSys c3000 Encl用</v>
          </cell>
          <cell r="C5557" t="str">
            <v>【ファウンデーションケア】</v>
          </cell>
        </row>
        <row r="5558">
          <cell r="A5558" t="str">
            <v>U3EL2E</v>
          </cell>
          <cell r="B5558" t="str">
            <v>FC 9x5 3年 BladeSys c7000 Encl用</v>
          </cell>
          <cell r="C5558" t="str">
            <v>【ファウンデーションケア】</v>
          </cell>
        </row>
        <row r="5559">
          <cell r="A5559" t="str">
            <v>U3EL3E</v>
          </cell>
          <cell r="B5559" t="str">
            <v>FC 9x5 4年 BladeSys c7000 Encl用</v>
          </cell>
          <cell r="C5559" t="str">
            <v>【ファウンデーションケア】</v>
          </cell>
        </row>
        <row r="5560">
          <cell r="A5560" t="str">
            <v>U3EL4E</v>
          </cell>
          <cell r="B5560" t="str">
            <v>FC 9x5 5年 BladeSys c7000 Encl用</v>
          </cell>
          <cell r="C5560" t="str">
            <v>【ファウンデーションケア】</v>
          </cell>
        </row>
        <row r="5561">
          <cell r="A5561" t="str">
            <v>U3EL5E</v>
          </cell>
          <cell r="B5561" t="str">
            <v>FC 9x5 3年 BladeSys c7000 16IC用</v>
          </cell>
          <cell r="C5561" t="str">
            <v>【ファウンデーションケア】</v>
          </cell>
        </row>
        <row r="5562">
          <cell r="A5562" t="str">
            <v>U3EL6E</v>
          </cell>
          <cell r="B5562" t="str">
            <v>FC 9x5 4年 BladeSys c7000 16IC用</v>
          </cell>
          <cell r="C5562" t="str">
            <v>【ファウンデーションケア】</v>
          </cell>
        </row>
        <row r="5563">
          <cell r="A5563" t="str">
            <v>U3EL7E</v>
          </cell>
          <cell r="B5563" t="str">
            <v>FC 9x5 5年 BladeSys c7000 16IC用</v>
          </cell>
          <cell r="C5563" t="str">
            <v>【ファウンデーションケア】</v>
          </cell>
        </row>
        <row r="5564">
          <cell r="A5564" t="str">
            <v>U3ER2PE</v>
          </cell>
          <cell r="B5564" t="str">
            <v>PW FC 9x5 1年 DL320e Gen8用</v>
          </cell>
          <cell r="C5564" t="str">
            <v>【ファウンデーションケア】</v>
          </cell>
        </row>
        <row r="5565">
          <cell r="A5565" t="str">
            <v>U3ER3PE</v>
          </cell>
          <cell r="B5565" t="str">
            <v>PW FC 9x5 HD返却不要 1年 DL320e Gen8</v>
          </cell>
          <cell r="C5565" t="str">
            <v>【ファウンデーションケア】</v>
          </cell>
        </row>
        <row r="5566">
          <cell r="A5566" t="str">
            <v>U3ER4PE</v>
          </cell>
          <cell r="B5566" t="str">
            <v>PW FC 9x5 1年 ML310e Gen8用</v>
          </cell>
          <cell r="C5566" t="str">
            <v>【ファウンデーションケア】</v>
          </cell>
        </row>
        <row r="5567">
          <cell r="A5567" t="str">
            <v>U3ER5PE</v>
          </cell>
          <cell r="B5567" t="str">
            <v>PW FC 9x5 HD返却不要 1年 ML310e Gen8</v>
          </cell>
          <cell r="C5567" t="str">
            <v>【ファウンデーションケア】</v>
          </cell>
        </row>
        <row r="5568">
          <cell r="A5568" t="str">
            <v>U3ER6PE</v>
          </cell>
          <cell r="B5568" t="str">
            <v>PW FC 9x5 1年 ML350e Gen8用</v>
          </cell>
          <cell r="C5568" t="str">
            <v>【ファウンデーションケア】</v>
          </cell>
        </row>
        <row r="5569">
          <cell r="A5569" t="str">
            <v>U3ER7PE</v>
          </cell>
          <cell r="B5569" t="str">
            <v>PW FC 9x5 HD返却不要 1年 ML350e Gen8</v>
          </cell>
          <cell r="C5569" t="str">
            <v>【ファウンデーションケア】</v>
          </cell>
        </row>
        <row r="5570">
          <cell r="A5570" t="str">
            <v>U3ER8PE</v>
          </cell>
          <cell r="B5570" t="str">
            <v>PW FC 9x5 1年 BL2x220c G7</v>
          </cell>
          <cell r="C5570" t="str">
            <v>【ファウンデーションケア】</v>
          </cell>
        </row>
        <row r="5571">
          <cell r="A5571" t="str">
            <v>U3ER9PE</v>
          </cell>
          <cell r="B5571" t="str">
            <v>PW FC 9x5 HD返却不要 1年 BL2x220c G7</v>
          </cell>
          <cell r="C5571" t="str">
            <v>【ファウンデーションケア】</v>
          </cell>
        </row>
        <row r="5572">
          <cell r="A5572" t="str">
            <v>U3ES0PE</v>
          </cell>
          <cell r="B5572" t="str">
            <v>PW FC 9x5 1年 BL460c G7用</v>
          </cell>
          <cell r="C5572" t="str">
            <v>【ファウンデーションケア】</v>
          </cell>
        </row>
        <row r="5573">
          <cell r="A5573" t="str">
            <v>U3ES1PE</v>
          </cell>
          <cell r="B5573" t="str">
            <v>PW FC 9x5 HD返却不要 1年 BL460c G7用</v>
          </cell>
          <cell r="C5573" t="str">
            <v>【ファウンデーションケア】</v>
          </cell>
        </row>
        <row r="5574">
          <cell r="A5574" t="str">
            <v>U3ES2PE</v>
          </cell>
          <cell r="B5574" t="str">
            <v>PW FC 9x5 1年 BL465c G7用</v>
          </cell>
          <cell r="C5574" t="str">
            <v>【ファウンデーションケア】</v>
          </cell>
        </row>
        <row r="5575">
          <cell r="A5575" t="str">
            <v>U3ES3PE</v>
          </cell>
          <cell r="B5575" t="str">
            <v>PW FC 9x5 HD返却不要 1年 BL465c G7用</v>
          </cell>
          <cell r="C5575" t="str">
            <v>【ファウンデーションケア】</v>
          </cell>
        </row>
        <row r="5576">
          <cell r="A5576" t="str">
            <v>U3ES4PE</v>
          </cell>
          <cell r="B5576" t="str">
            <v>PW FC 9x5 1年 BL490c G7</v>
          </cell>
          <cell r="C5576" t="str">
            <v>【ファウンデーションケア】</v>
          </cell>
        </row>
        <row r="5577">
          <cell r="A5577" t="str">
            <v>U3ES5PE</v>
          </cell>
          <cell r="B5577" t="str">
            <v>PW FC 9x5 HD返却不要 1年 BL490c G7</v>
          </cell>
          <cell r="C5577" t="str">
            <v>【ファウンデーションケア】</v>
          </cell>
        </row>
        <row r="5578">
          <cell r="A5578" t="str">
            <v>U3ES6PE</v>
          </cell>
          <cell r="B5578" t="str">
            <v>PW FC 9x5 1年 BL620c G7用</v>
          </cell>
          <cell r="C5578" t="str">
            <v>【ファウンデーションケア】</v>
          </cell>
        </row>
        <row r="5579">
          <cell r="A5579" t="str">
            <v>U3ES7PE</v>
          </cell>
          <cell r="B5579" t="str">
            <v>PW FC 9x5 HD返却不要 1年 BL620c G7用</v>
          </cell>
          <cell r="C5579" t="str">
            <v>【ファウンデーションケア】</v>
          </cell>
        </row>
        <row r="5580">
          <cell r="A5580" t="str">
            <v>U3ES8PE</v>
          </cell>
          <cell r="B5580" t="str">
            <v>PW FC 9x5 1年 BL680c G7用</v>
          </cell>
          <cell r="C5580" t="str">
            <v>【ファウンデーションケア】</v>
          </cell>
        </row>
        <row r="5581">
          <cell r="A5581" t="str">
            <v>U3ES9PE</v>
          </cell>
          <cell r="B5581" t="str">
            <v>PW FC 9x5 HD返却不要 1年 BL680c G7用</v>
          </cell>
          <cell r="C5581" t="str">
            <v>【ファウンデーションケア】</v>
          </cell>
        </row>
        <row r="5582">
          <cell r="A5582" t="str">
            <v>U3ET0PE</v>
          </cell>
          <cell r="B5582" t="str">
            <v>PW FC 9x5 1年 BL685c G7用</v>
          </cell>
          <cell r="C5582" t="str">
            <v>【ファウンデーションケア】</v>
          </cell>
        </row>
        <row r="5583">
          <cell r="A5583" t="str">
            <v>U3ET1PE</v>
          </cell>
          <cell r="B5583" t="str">
            <v>PW FC 9x5 HD返却不要 1年 BL685c G7用</v>
          </cell>
          <cell r="C5583" t="str">
            <v>【ファウンデーションケア】</v>
          </cell>
        </row>
        <row r="5584">
          <cell r="A5584" t="str">
            <v>U3ET2PE</v>
          </cell>
          <cell r="B5584" t="str">
            <v>PW FC 9x5 1年 DL120 G7用</v>
          </cell>
          <cell r="C5584" t="str">
            <v>【ファウンデーションケア】</v>
          </cell>
        </row>
        <row r="5585">
          <cell r="A5585" t="str">
            <v>U3ET3PE</v>
          </cell>
          <cell r="B5585" t="str">
            <v>PW FC 9x5 HD返却不要 1年 DL120 G7用</v>
          </cell>
          <cell r="C5585" t="str">
            <v>【ファウンデーションケア】</v>
          </cell>
        </row>
        <row r="5586">
          <cell r="A5586" t="str">
            <v>U3ET4PE</v>
          </cell>
          <cell r="B5586" t="str">
            <v>PW FC 9x5 1年 DL165 G7用</v>
          </cell>
          <cell r="C5586" t="str">
            <v>【ファウンデーションケア】</v>
          </cell>
        </row>
        <row r="5587">
          <cell r="A5587" t="str">
            <v>U3ET5PE</v>
          </cell>
          <cell r="B5587" t="str">
            <v>PW FC 9x5 HD返却不要 1年 DL165 G7用</v>
          </cell>
          <cell r="C5587" t="str">
            <v>【ファウンデーションケア】</v>
          </cell>
        </row>
        <row r="5588">
          <cell r="A5588" t="str">
            <v>U3ET6PE</v>
          </cell>
          <cell r="B5588" t="str">
            <v>PW FC 9x5 1年 DL360 G7用</v>
          </cell>
          <cell r="C5588" t="str">
            <v>【ファウンデーションケア】</v>
          </cell>
        </row>
        <row r="5589">
          <cell r="A5589" t="str">
            <v>U3ET7PE</v>
          </cell>
          <cell r="B5589" t="str">
            <v>PW FC 9x5 HD返却不要 1年 DL360 G7用</v>
          </cell>
          <cell r="C5589" t="str">
            <v>【ファウンデーションケア】</v>
          </cell>
        </row>
        <row r="5590">
          <cell r="A5590" t="str">
            <v>U3ET8PE</v>
          </cell>
          <cell r="B5590" t="str">
            <v>PW FC 9x5 1年 DL380 G7用</v>
          </cell>
          <cell r="C5590" t="str">
            <v>【ファウンデーションケア】</v>
          </cell>
        </row>
        <row r="5591">
          <cell r="A5591" t="str">
            <v>U3ET9PE</v>
          </cell>
          <cell r="B5591" t="str">
            <v>PW FC 9x5 HD返却不要 1年 DL380 G7用</v>
          </cell>
          <cell r="C5591" t="str">
            <v>【ファウンデーションケア】</v>
          </cell>
        </row>
        <row r="5592">
          <cell r="A5592" t="str">
            <v>U3EU0PE</v>
          </cell>
          <cell r="B5592" t="str">
            <v>PW FC 9x5 1年 DL385 G7用</v>
          </cell>
          <cell r="C5592" t="str">
            <v>【ファウンデーションケア】</v>
          </cell>
        </row>
        <row r="5593">
          <cell r="A5593" t="str">
            <v>U3EU1PE</v>
          </cell>
          <cell r="B5593" t="str">
            <v>PW FC 9x5 HD返却不要 1年 DL385 G7用</v>
          </cell>
          <cell r="C5593" t="str">
            <v>【ファウンデーションケア】</v>
          </cell>
        </row>
        <row r="5594">
          <cell r="A5594" t="str">
            <v>U3EU2PE</v>
          </cell>
          <cell r="B5594" t="str">
            <v>PW FC 9x5 1年 DL580 G7用</v>
          </cell>
          <cell r="C5594" t="str">
            <v>【ファウンデーションケア】</v>
          </cell>
        </row>
        <row r="5595">
          <cell r="A5595" t="str">
            <v>U3EU3PE</v>
          </cell>
          <cell r="B5595" t="str">
            <v>PW FC 9x5 HD返却不要 1年 DL580 G7用</v>
          </cell>
          <cell r="C5595" t="str">
            <v>【ファウンデーションケア】</v>
          </cell>
        </row>
        <row r="5596">
          <cell r="A5596" t="str">
            <v>U3EU4PE</v>
          </cell>
          <cell r="B5596" t="str">
            <v>PW FC 9x5 1年 DL585 G7用</v>
          </cell>
          <cell r="C5596" t="str">
            <v>【ファウンデーションケア】</v>
          </cell>
        </row>
        <row r="5597">
          <cell r="A5597" t="str">
            <v>U3EU5PE</v>
          </cell>
          <cell r="B5597" t="str">
            <v>PW FC 9x5 HD返却不要 1年 DL585 G7用</v>
          </cell>
          <cell r="C5597" t="str">
            <v>【ファウンデーションケア】</v>
          </cell>
        </row>
        <row r="5598">
          <cell r="A5598" t="str">
            <v>U3EU6PE</v>
          </cell>
          <cell r="B5598" t="str">
            <v>PW FC 9x5 1年 ML110 G7用</v>
          </cell>
          <cell r="C5598" t="str">
            <v>【ファウンデーションケア】</v>
          </cell>
        </row>
        <row r="5599">
          <cell r="A5599" t="str">
            <v>U3EU7PE</v>
          </cell>
          <cell r="B5599" t="str">
            <v>PW FC 9x5 HD返却不要 1年 ML110 G7用</v>
          </cell>
          <cell r="C5599" t="str">
            <v>【ファウンデーションケア】</v>
          </cell>
        </row>
        <row r="5600">
          <cell r="A5600" t="str">
            <v>U3EU8PE</v>
          </cell>
          <cell r="B5600" t="str">
            <v>PW FC 9x5 1年 BL280c G6用</v>
          </cell>
          <cell r="C5600" t="str">
            <v>【ファウンデーションケア】</v>
          </cell>
        </row>
        <row r="5601">
          <cell r="A5601" t="str">
            <v>U3EU9PE</v>
          </cell>
          <cell r="B5601" t="str">
            <v>PW FC 9x5 HD返却不要 1年 BL280c G6用</v>
          </cell>
          <cell r="C5601" t="str">
            <v>【ファウンデーションケア】</v>
          </cell>
        </row>
        <row r="5602">
          <cell r="A5602" t="str">
            <v>U3EV0PE</v>
          </cell>
          <cell r="B5602" t="str">
            <v>PW FC 9x5 1年 BL2x220c G6</v>
          </cell>
          <cell r="C5602" t="str">
            <v>【ファウンデーションケア】</v>
          </cell>
        </row>
        <row r="5603">
          <cell r="A5603" t="str">
            <v>U3EV1PE</v>
          </cell>
          <cell r="B5603" t="str">
            <v>PW FC 9x5 HD返却不要 1年 BL2x220c G6</v>
          </cell>
          <cell r="C5603" t="str">
            <v>【ファウンデーションケア】</v>
          </cell>
        </row>
        <row r="5604">
          <cell r="A5604" t="str">
            <v>U3EV2PE</v>
          </cell>
          <cell r="B5604" t="str">
            <v>PW FC 9x5 1年 BL460c G6用</v>
          </cell>
          <cell r="C5604" t="str">
            <v>【ファウンデーションケア】</v>
          </cell>
        </row>
        <row r="5605">
          <cell r="A5605" t="str">
            <v>U3FH6PE</v>
          </cell>
          <cell r="B5605" t="str">
            <v>PW FC 9x5 HD返却不要 1年 BL460c G6用</v>
          </cell>
          <cell r="C5605" t="str">
            <v>【ファウンデーションケア】</v>
          </cell>
        </row>
        <row r="5606">
          <cell r="A5606" t="str">
            <v>U3FH7PE</v>
          </cell>
          <cell r="B5606" t="str">
            <v>PW FC 9x5 1年 BL465c G6用</v>
          </cell>
          <cell r="C5606" t="str">
            <v>【ファウンデーションケア】</v>
          </cell>
        </row>
        <row r="5607">
          <cell r="A5607" t="str">
            <v>U3FH8PE</v>
          </cell>
          <cell r="B5607" t="str">
            <v>PW FC 9x5 HD返却不要 1年 BL465c G6用</v>
          </cell>
          <cell r="C5607" t="str">
            <v>【ファウンデーションケア】</v>
          </cell>
        </row>
        <row r="5608">
          <cell r="A5608" t="str">
            <v>U3FH9PE</v>
          </cell>
          <cell r="B5608" t="str">
            <v>PW FC 9x5 1年 BL490c G6用</v>
          </cell>
          <cell r="C5608" t="str">
            <v>【ファウンデーションケア】</v>
          </cell>
        </row>
        <row r="5609">
          <cell r="A5609" t="str">
            <v>U3FJ0PE</v>
          </cell>
          <cell r="B5609" t="str">
            <v>PW FC 9x5 HD返却不要 1年 BL490c G6用</v>
          </cell>
          <cell r="C5609" t="str">
            <v>【ファウンデーションケア】</v>
          </cell>
        </row>
        <row r="5610">
          <cell r="A5610" t="str">
            <v>U3FJ1PE</v>
          </cell>
          <cell r="B5610" t="str">
            <v>PW FC 9x5 1年 BL495c G6用</v>
          </cell>
          <cell r="C5610" t="str">
            <v>【ファウンデーションケア】</v>
          </cell>
        </row>
        <row r="5611">
          <cell r="A5611" t="str">
            <v>U3FJ2PE</v>
          </cell>
          <cell r="B5611" t="str">
            <v>PW FC 9x5 HD返却不要 1年 BL495c G6用</v>
          </cell>
          <cell r="C5611" t="str">
            <v>【ファウンデーションケア】</v>
          </cell>
        </row>
        <row r="5612">
          <cell r="A5612" t="str">
            <v>U3FJ3PE</v>
          </cell>
          <cell r="B5612" t="str">
            <v>PW FC 9x5 1年 BL685c G6用</v>
          </cell>
          <cell r="C5612" t="str">
            <v>【ファウンデーションケア】</v>
          </cell>
        </row>
        <row r="5613">
          <cell r="A5613" t="str">
            <v>U3FJ4PE</v>
          </cell>
          <cell r="B5613" t="str">
            <v>PW FC 9x5 HD返却不要 1年 BL685c G6用</v>
          </cell>
          <cell r="C5613" t="str">
            <v>【ファウンデーションケア】</v>
          </cell>
        </row>
        <row r="5614">
          <cell r="A5614" t="str">
            <v>U3FJ5PE</v>
          </cell>
          <cell r="B5614" t="str">
            <v>PW FC 9x5 1年 DL120 G6用</v>
          </cell>
          <cell r="C5614" t="str">
            <v>【ファウンデーションケア】</v>
          </cell>
        </row>
        <row r="5615">
          <cell r="A5615" t="str">
            <v>U3FJ6PE</v>
          </cell>
          <cell r="B5615" t="str">
            <v>PW FC 9x5 HD返却不要 1年 DL120 G6用</v>
          </cell>
          <cell r="C5615" t="str">
            <v>【ファウンデーションケア】</v>
          </cell>
        </row>
        <row r="5616">
          <cell r="A5616" t="str">
            <v>U3FJ7PE</v>
          </cell>
          <cell r="B5616" t="str">
            <v>PW FC 9x5 1年 DL160 G6用</v>
          </cell>
          <cell r="C5616" t="str">
            <v>【ファウンデーションケア】</v>
          </cell>
        </row>
        <row r="5617">
          <cell r="A5617" t="str">
            <v>U3FJ8PE</v>
          </cell>
          <cell r="B5617" t="str">
            <v>PW FC 9x5 HD返却不要 1年 DL160 G6用</v>
          </cell>
          <cell r="C5617" t="str">
            <v>【ファウンデーションケア】</v>
          </cell>
        </row>
        <row r="5618">
          <cell r="A5618" t="str">
            <v>U3FJ9PE</v>
          </cell>
          <cell r="B5618" t="str">
            <v>PW FC 9x5 1年 DL165 G6用</v>
          </cell>
          <cell r="C5618" t="str">
            <v>【ファウンデーションケア】</v>
          </cell>
        </row>
        <row r="5619">
          <cell r="A5619" t="str">
            <v>U3FK0PE</v>
          </cell>
          <cell r="B5619" t="str">
            <v>PW FC 9x5 HD返却不要 1年 DL165 G6用</v>
          </cell>
          <cell r="C5619" t="str">
            <v>【ファウンデーションケア】</v>
          </cell>
        </row>
        <row r="5620">
          <cell r="A5620" t="str">
            <v>U3FK1PE</v>
          </cell>
          <cell r="B5620" t="str">
            <v>PW FC 9x5 1年 DL180 G6用</v>
          </cell>
          <cell r="C5620" t="str">
            <v>【ファウンデーションケア】</v>
          </cell>
        </row>
        <row r="5621">
          <cell r="A5621" t="str">
            <v>U3FK2PE</v>
          </cell>
          <cell r="B5621" t="str">
            <v>PW FC 9x5 HD返却不要 1年 DL180 G6用</v>
          </cell>
          <cell r="C5621" t="str">
            <v>【ファウンデーションケア】</v>
          </cell>
        </row>
        <row r="5622">
          <cell r="A5622" t="str">
            <v>U3FK3PE</v>
          </cell>
          <cell r="B5622" t="str">
            <v>PW FC 9x5 1年 DL320 G6用</v>
          </cell>
          <cell r="C5622" t="str">
            <v>【ファウンデーションケア】</v>
          </cell>
        </row>
        <row r="5623">
          <cell r="A5623" t="str">
            <v>U3FK4PE</v>
          </cell>
          <cell r="B5623" t="str">
            <v>PW FC 9x5 HD返却不要 1年 DL320 G6用</v>
          </cell>
          <cell r="C5623" t="str">
            <v>【ファウンデーションケア】</v>
          </cell>
        </row>
        <row r="5624">
          <cell r="A5624" t="str">
            <v>U3FK5PE</v>
          </cell>
          <cell r="B5624" t="str">
            <v>PW FC 9x5 1年 DL360 G6用</v>
          </cell>
          <cell r="C5624" t="str">
            <v>【ファウンデーションケア】</v>
          </cell>
        </row>
        <row r="5625">
          <cell r="A5625" t="str">
            <v>U3FK6PE</v>
          </cell>
          <cell r="B5625" t="str">
            <v>PW FC 9x5 HD返却不要 1年 DL360 G6用</v>
          </cell>
          <cell r="C5625" t="str">
            <v>【ファウンデーションケア】</v>
          </cell>
        </row>
        <row r="5626">
          <cell r="A5626" t="str">
            <v>U3FK7PE</v>
          </cell>
          <cell r="B5626" t="str">
            <v>PW FC 9x5 1年 DL370 G6用</v>
          </cell>
          <cell r="C5626" t="str">
            <v>【ファウンデーションケア】</v>
          </cell>
        </row>
        <row r="5627">
          <cell r="A5627" t="str">
            <v>U3FK8PE</v>
          </cell>
          <cell r="B5627" t="str">
            <v>PW FC 9x5 HD返却不要 1年 DL370 G6用</v>
          </cell>
          <cell r="C5627" t="str">
            <v>【ファウンデーションケア】</v>
          </cell>
        </row>
        <row r="5628">
          <cell r="A5628" t="str">
            <v>U3FK9PE</v>
          </cell>
          <cell r="B5628" t="str">
            <v>PW FC 9x5 1年 DL380 G6用</v>
          </cell>
          <cell r="C5628" t="str">
            <v>【ファウンデーションケア】</v>
          </cell>
        </row>
        <row r="5629">
          <cell r="A5629" t="str">
            <v>U3FL0PE</v>
          </cell>
          <cell r="B5629" t="str">
            <v>PW FC 9x5 HD返却不要 1年 DL380 G6用</v>
          </cell>
          <cell r="C5629" t="str">
            <v>【ファウンデーションケア】</v>
          </cell>
        </row>
        <row r="5630">
          <cell r="A5630" t="str">
            <v>U3FL1PE</v>
          </cell>
          <cell r="B5630" t="str">
            <v>PW FC 9x5 1年 DL385 G6用</v>
          </cell>
          <cell r="C5630" t="str">
            <v>【ファウンデーションケア】</v>
          </cell>
        </row>
        <row r="5631">
          <cell r="A5631" t="str">
            <v>U3FL2PE</v>
          </cell>
          <cell r="B5631" t="str">
            <v>PW FC 9x5 HD返却不要 1年 DL385 G6用</v>
          </cell>
          <cell r="C5631" t="str">
            <v>【ファウンデーションケア】</v>
          </cell>
        </row>
        <row r="5632">
          <cell r="A5632" t="str">
            <v>U3FL3PE</v>
          </cell>
          <cell r="B5632" t="str">
            <v>PW FC 9x5 1年 DL585 G6用</v>
          </cell>
          <cell r="C5632" t="str">
            <v>【ファウンデーションケア】</v>
          </cell>
        </row>
        <row r="5633">
          <cell r="A5633" t="str">
            <v>U3FL4PE</v>
          </cell>
          <cell r="B5633" t="str">
            <v>PW FC 9x5 HD返却不要 1年 DL585 G6用</v>
          </cell>
          <cell r="C5633" t="str">
            <v>【ファウンデーションケア】</v>
          </cell>
        </row>
        <row r="5634">
          <cell r="A5634" t="str">
            <v>U3FL5PE</v>
          </cell>
          <cell r="B5634" t="str">
            <v>PW FC 9x5 1年 ML110 G6用</v>
          </cell>
          <cell r="C5634" t="str">
            <v>【ファウンデーションケア】</v>
          </cell>
        </row>
        <row r="5635">
          <cell r="A5635" t="str">
            <v>U3FL6PE</v>
          </cell>
          <cell r="B5635" t="str">
            <v>PW FC 9x5 HD返却不要 1年 ML110 G6用</v>
          </cell>
          <cell r="C5635" t="str">
            <v>【ファウンデーションケア】</v>
          </cell>
        </row>
        <row r="5636">
          <cell r="A5636" t="str">
            <v>U3FL7PE</v>
          </cell>
          <cell r="B5636" t="str">
            <v>PW FC 9x5 1年 ML150 G6用</v>
          </cell>
          <cell r="C5636" t="str">
            <v>【ファウンデーションケア】</v>
          </cell>
        </row>
        <row r="5637">
          <cell r="A5637" t="str">
            <v>U3FL8PE</v>
          </cell>
          <cell r="B5637" t="str">
            <v>PW FC 9x5 HD返却不要 1年 ML150 G6用</v>
          </cell>
          <cell r="C5637" t="str">
            <v>【ファウンデーションケア】</v>
          </cell>
        </row>
        <row r="5638">
          <cell r="A5638" t="str">
            <v>U3FL9PE</v>
          </cell>
          <cell r="B5638" t="str">
            <v>PW FC 9x5 1年 ML330 G6用</v>
          </cell>
          <cell r="C5638" t="str">
            <v>【ファウンデーションケア】</v>
          </cell>
        </row>
        <row r="5639">
          <cell r="A5639" t="str">
            <v>U3FM0PE</v>
          </cell>
          <cell r="B5639" t="str">
            <v>PW FC 9x5 HD返却不要 1年 ML330 G6用</v>
          </cell>
          <cell r="C5639" t="str">
            <v>【ファウンデーションケア】</v>
          </cell>
        </row>
        <row r="5640">
          <cell r="A5640" t="str">
            <v>U3FM1PE</v>
          </cell>
          <cell r="B5640" t="str">
            <v>PW FC 9x5 1年 ML350 G6用</v>
          </cell>
          <cell r="C5640" t="str">
            <v>【ファウンデーションケア】</v>
          </cell>
        </row>
        <row r="5641">
          <cell r="A5641" t="str">
            <v>U3FM2PE</v>
          </cell>
          <cell r="B5641" t="str">
            <v>PW FC 9x5 HD返却不要 1年 ML350 G6用</v>
          </cell>
          <cell r="C5641" t="str">
            <v>【ファウンデーションケア】</v>
          </cell>
        </row>
        <row r="5642">
          <cell r="A5642" t="str">
            <v>U3FM3PE</v>
          </cell>
          <cell r="B5642" t="str">
            <v>PW FC 9x5 1年 ML370 G6用</v>
          </cell>
          <cell r="C5642" t="str">
            <v>【ファウンデーションケア】</v>
          </cell>
        </row>
        <row r="5643">
          <cell r="A5643" t="str">
            <v>U3FM4PE</v>
          </cell>
          <cell r="B5643" t="str">
            <v>PW FC 9x5 HD返却不要 1年 ML370 G6用</v>
          </cell>
          <cell r="C5643" t="str">
            <v>【ファウンデーションケア】</v>
          </cell>
        </row>
        <row r="5644">
          <cell r="A5644" t="str">
            <v>U3FM5PE</v>
          </cell>
          <cell r="B5644" t="str">
            <v>PW FC 9x5 1年 WS460c G6用</v>
          </cell>
          <cell r="C5644" t="str">
            <v>【ファウンデーションケア】</v>
          </cell>
        </row>
        <row r="5645">
          <cell r="A5645" t="str">
            <v>U3FM6PE</v>
          </cell>
          <cell r="B5645" t="str">
            <v>PW FC 9x5 HD返却不要 1年 WS460c G6用</v>
          </cell>
          <cell r="C5645" t="str">
            <v>【ファウンデーションケア】</v>
          </cell>
        </row>
        <row r="5646">
          <cell r="A5646" t="str">
            <v>U3FM7PE</v>
          </cell>
          <cell r="B5646" t="str">
            <v>PW FC 9x5 1年 DL1000/2000</v>
          </cell>
          <cell r="C5646" t="str">
            <v>【ファウンデーションケア】</v>
          </cell>
        </row>
        <row r="5647">
          <cell r="A5647" t="str">
            <v>U3FM8PE</v>
          </cell>
          <cell r="B5647" t="str">
            <v>PW FC 9x5 HD返却不要 1年 DL1000/2000</v>
          </cell>
          <cell r="C5647" t="str">
            <v>【ファウンデーションケア】</v>
          </cell>
        </row>
        <row r="5648">
          <cell r="A5648" t="str">
            <v>U3FM9PE</v>
          </cell>
          <cell r="B5648" t="str">
            <v>PW FC 9x5 1年 BL260c G5用</v>
          </cell>
          <cell r="C5648" t="str">
            <v>【ファウンデーションケア】</v>
          </cell>
        </row>
        <row r="5649">
          <cell r="A5649" t="str">
            <v>U3FN0PE</v>
          </cell>
          <cell r="B5649" t="str">
            <v>PW FC 9x5 HD返却不要 1年 BL260c G5用</v>
          </cell>
          <cell r="C5649" t="str">
            <v>【ファウンデーションケア】</v>
          </cell>
        </row>
        <row r="5650">
          <cell r="A5650" t="str">
            <v>U3FN1PE</v>
          </cell>
          <cell r="B5650" t="str">
            <v>PW FC 9x5 1年 BL2x220c G5</v>
          </cell>
          <cell r="C5650" t="str">
            <v>【ファウンデーションケア】</v>
          </cell>
        </row>
        <row r="5651">
          <cell r="A5651" t="str">
            <v>U3FN2PE</v>
          </cell>
          <cell r="B5651" t="str">
            <v>PW FC 9x5 HD返却不要 1年 BL2x220c G5</v>
          </cell>
          <cell r="C5651" t="str">
            <v>【ファウンデーションケア】</v>
          </cell>
        </row>
        <row r="5652">
          <cell r="A5652" t="str">
            <v>U3FN3PE</v>
          </cell>
          <cell r="B5652" t="str">
            <v>PW FC 9x5 1年 BL460c G5用</v>
          </cell>
          <cell r="C5652" t="str">
            <v>【ファウンデーションケア】</v>
          </cell>
        </row>
        <row r="5653">
          <cell r="A5653" t="str">
            <v>U3FN4PE</v>
          </cell>
          <cell r="B5653" t="str">
            <v>PW FC 9x5 HD返却不要 1年 BL460c G5用</v>
          </cell>
          <cell r="C5653" t="str">
            <v>【ファウンデーションケア】</v>
          </cell>
        </row>
        <row r="5654">
          <cell r="A5654" t="str">
            <v>U3FN5PE</v>
          </cell>
          <cell r="B5654" t="str">
            <v>PW FC 9x5 1年 BL465c G5用</v>
          </cell>
          <cell r="C5654" t="str">
            <v>【ファウンデーションケア】</v>
          </cell>
        </row>
        <row r="5655">
          <cell r="A5655" t="str">
            <v>U3FN6PE</v>
          </cell>
          <cell r="B5655" t="str">
            <v>PW FC 9x5 HD返却不要 1年 BL465c G5用</v>
          </cell>
          <cell r="C5655" t="str">
            <v>【ファウンデーションケア】</v>
          </cell>
        </row>
        <row r="5656">
          <cell r="A5656" t="str">
            <v>U3FN7PE</v>
          </cell>
          <cell r="B5656" t="str">
            <v>PW FC 9x5 1年 BL495c G5用</v>
          </cell>
          <cell r="C5656" t="str">
            <v>【ファウンデーションケア】</v>
          </cell>
        </row>
        <row r="5657">
          <cell r="A5657" t="str">
            <v>U3FN8PE</v>
          </cell>
          <cell r="B5657" t="str">
            <v>PW FC 9x5 HD返却不要 1年 BL495c G5用</v>
          </cell>
          <cell r="C5657" t="str">
            <v>【ファウンデーションケア】</v>
          </cell>
        </row>
        <row r="5658">
          <cell r="A5658" t="str">
            <v>U3FN9PE</v>
          </cell>
          <cell r="B5658" t="str">
            <v>PW FC 9x5 1年 BL680c G5用</v>
          </cell>
          <cell r="C5658" t="str">
            <v>【ファウンデーションケア】</v>
          </cell>
        </row>
        <row r="5659">
          <cell r="A5659" t="str">
            <v>U3FP0PE</v>
          </cell>
          <cell r="B5659" t="str">
            <v>PW FC 9x5 HD返却不要 1年 BL680c G5用</v>
          </cell>
          <cell r="C5659" t="str">
            <v>【ファウンデーションケア】</v>
          </cell>
        </row>
        <row r="5660">
          <cell r="A5660" t="str">
            <v>U3FP1PE</v>
          </cell>
          <cell r="B5660" t="str">
            <v>PW FC 9x5 1年 BL685c G5用</v>
          </cell>
          <cell r="C5660" t="str">
            <v>【ファウンデーションケア】</v>
          </cell>
        </row>
        <row r="5661">
          <cell r="A5661" t="str">
            <v>U3FP2PE</v>
          </cell>
          <cell r="B5661" t="str">
            <v>PW FC 9x5 HD返却不要 1年 BL685c G5用</v>
          </cell>
          <cell r="C5661" t="str">
            <v>【ファウンデーションケア】</v>
          </cell>
        </row>
        <row r="5662">
          <cell r="A5662" t="str">
            <v>U3FP3PE</v>
          </cell>
          <cell r="B5662" t="str">
            <v>PW FC 9x5 1年 DL120 G5用</v>
          </cell>
          <cell r="C5662" t="str">
            <v>【ファウンデーションケア】</v>
          </cell>
        </row>
        <row r="5663">
          <cell r="A5663" t="str">
            <v>U3FP4PE</v>
          </cell>
          <cell r="B5663" t="str">
            <v>PW FC 9x5 HD返却不要 1年 DL120 G5用</v>
          </cell>
          <cell r="C5663" t="str">
            <v>【ファウンデーションケア】</v>
          </cell>
        </row>
        <row r="5664">
          <cell r="A5664" t="str">
            <v>U3FP9PE</v>
          </cell>
          <cell r="B5664" t="str">
            <v>PW FC 9x5 1年 DL165 G5用</v>
          </cell>
          <cell r="C5664" t="str">
            <v>【ファウンデーションケア】</v>
          </cell>
        </row>
        <row r="5665">
          <cell r="A5665" t="str">
            <v>U3FQ0PE</v>
          </cell>
          <cell r="B5665" t="str">
            <v>PW FC 9x5 HD返却不要 1年 DL165 G5用</v>
          </cell>
          <cell r="C5665" t="str">
            <v>【ファウンデーションケア】</v>
          </cell>
        </row>
        <row r="5666">
          <cell r="A5666" t="str">
            <v>U3FQ7PE</v>
          </cell>
          <cell r="B5666" t="str">
            <v>PW FC 9x5 1年 DL320 G5用</v>
          </cell>
          <cell r="C5666" t="str">
            <v>【ファウンデーションケア】</v>
          </cell>
        </row>
        <row r="5667">
          <cell r="A5667" t="str">
            <v>U3FQ8PE</v>
          </cell>
          <cell r="B5667" t="str">
            <v>PW FC 9x5 HD返却不要 1年 DL320 G5用</v>
          </cell>
          <cell r="C5667" t="str">
            <v>【ファウンデーションケア】</v>
          </cell>
        </row>
        <row r="5668">
          <cell r="A5668" t="str">
            <v>U3FQ9PE</v>
          </cell>
          <cell r="B5668" t="str">
            <v>PW FC 9x5 1年 DL320 G5p用</v>
          </cell>
          <cell r="C5668" t="str">
            <v>【ファウンデーションケア】</v>
          </cell>
        </row>
        <row r="5669">
          <cell r="A5669" t="str">
            <v>U3FR0PE</v>
          </cell>
          <cell r="B5669" t="str">
            <v>PW FC 9x5 HD返却不要 1年 DL320 G5p用</v>
          </cell>
          <cell r="C5669" t="str">
            <v>【ファウンデーションケア】</v>
          </cell>
        </row>
        <row r="5670">
          <cell r="A5670" t="str">
            <v>U3FR1PE</v>
          </cell>
          <cell r="B5670" t="str">
            <v>PW FC 9x5 1年 DL360 G5用</v>
          </cell>
          <cell r="C5670" t="str">
            <v>【ファウンデーションケア】</v>
          </cell>
        </row>
        <row r="5671">
          <cell r="A5671" t="str">
            <v>U3FR2PE</v>
          </cell>
          <cell r="B5671" t="str">
            <v>PW FC 9x5 HD返却不要 1年 DL360 G5用</v>
          </cell>
          <cell r="C5671" t="str">
            <v>【ファウンデーションケア】</v>
          </cell>
        </row>
        <row r="5672">
          <cell r="A5672" t="str">
            <v>U3FR3PE</v>
          </cell>
          <cell r="B5672" t="str">
            <v>PW FC 9x5 1年 DL365 G5用</v>
          </cell>
          <cell r="C5672" t="str">
            <v>【ファウンデーションケア】</v>
          </cell>
        </row>
        <row r="5673">
          <cell r="A5673" t="str">
            <v>U3FR4PE</v>
          </cell>
          <cell r="B5673" t="str">
            <v>PW FC 9x5 HD返却不要 1年 DL365 G5用</v>
          </cell>
          <cell r="C5673" t="str">
            <v>【ファウンデーションケア】</v>
          </cell>
        </row>
        <row r="5674">
          <cell r="A5674" t="str">
            <v>U3FR5PE</v>
          </cell>
          <cell r="B5674" t="str">
            <v>PW FC 9x5 1年 DL380 G5用</v>
          </cell>
          <cell r="C5674" t="str">
            <v>【ファウンデーションケア】</v>
          </cell>
        </row>
        <row r="5675">
          <cell r="A5675" t="str">
            <v>U3FR6PE</v>
          </cell>
          <cell r="B5675" t="str">
            <v>PW FC 9x5 HD返却不要 1年 DL380 G5用</v>
          </cell>
          <cell r="C5675" t="str">
            <v>【ファウンデーションケア】</v>
          </cell>
        </row>
        <row r="5676">
          <cell r="A5676" t="str">
            <v>U3FR7PE</v>
          </cell>
          <cell r="B5676" t="str">
            <v>PW FC 9x5 1年 DL385 G5用</v>
          </cell>
          <cell r="C5676" t="str">
            <v>【ファウンデーションケア】</v>
          </cell>
        </row>
        <row r="5677">
          <cell r="A5677" t="str">
            <v>U3FR8PE</v>
          </cell>
          <cell r="B5677" t="str">
            <v>PW FC 9x5 HD返却不要 1年 DL385 G5用</v>
          </cell>
          <cell r="C5677" t="str">
            <v>【ファウンデーションケア】</v>
          </cell>
        </row>
        <row r="5678">
          <cell r="A5678" t="str">
            <v>U3FR9PE</v>
          </cell>
          <cell r="B5678" t="str">
            <v>PW FC 9x5 1年 DL385 G5p用</v>
          </cell>
          <cell r="C5678" t="str">
            <v>【ファウンデーションケア】</v>
          </cell>
        </row>
        <row r="5679">
          <cell r="A5679" t="str">
            <v>U3FS0PE</v>
          </cell>
          <cell r="B5679" t="str">
            <v>PW FC 9x5 HD返却不要 1年 DL385 G5p用</v>
          </cell>
          <cell r="C5679" t="str">
            <v>【ファウンデーションケア】</v>
          </cell>
        </row>
        <row r="5680">
          <cell r="A5680" t="str">
            <v>U3FS1PE</v>
          </cell>
          <cell r="B5680" t="str">
            <v>PW FC 9x5 1年 DL580 G5用</v>
          </cell>
          <cell r="C5680" t="str">
            <v>【ファウンデーションケア】</v>
          </cell>
        </row>
        <row r="5681">
          <cell r="A5681" t="str">
            <v>U3FS2PE</v>
          </cell>
          <cell r="B5681" t="str">
            <v>PW FC 9x5 HD返却不要 1年 DL580 G5用</v>
          </cell>
          <cell r="C5681" t="str">
            <v>【ファウンデーションケア】</v>
          </cell>
        </row>
        <row r="5682">
          <cell r="A5682" t="str">
            <v>U3FS3PE</v>
          </cell>
          <cell r="B5682" t="str">
            <v>PW FC 9x5 1年 DL585 G5用</v>
          </cell>
          <cell r="C5682" t="str">
            <v>【ファウンデーションケア】</v>
          </cell>
        </row>
        <row r="5683">
          <cell r="A5683" t="str">
            <v>U3FS4PE</v>
          </cell>
          <cell r="B5683" t="str">
            <v>PW FC 9x5 HD返却不要 1年 DL585 G5用</v>
          </cell>
          <cell r="C5683" t="str">
            <v>【ファウンデーションケア】</v>
          </cell>
        </row>
        <row r="5684">
          <cell r="A5684" t="str">
            <v>U3FS5PE</v>
          </cell>
          <cell r="B5684" t="str">
            <v>PW FC 9x5 1年 ML110 G5用</v>
          </cell>
          <cell r="C5684" t="str">
            <v>【ファウンデーションケア】</v>
          </cell>
        </row>
        <row r="5685">
          <cell r="A5685" t="str">
            <v>U3FS6PE</v>
          </cell>
          <cell r="B5685" t="str">
            <v>PW FC 9x5 HD返却不要 1年 ML110 G5用</v>
          </cell>
          <cell r="C5685" t="str">
            <v>【ファウンデーションケア】</v>
          </cell>
        </row>
        <row r="5686">
          <cell r="A5686" t="str">
            <v>U3FS7PE</v>
          </cell>
          <cell r="B5686" t="str">
            <v>PW FC 9x5 1年 ML115 G5用</v>
          </cell>
          <cell r="C5686" t="str">
            <v>【ファウンデーションケア】</v>
          </cell>
        </row>
        <row r="5687">
          <cell r="A5687" t="str">
            <v>U3FS8PE</v>
          </cell>
          <cell r="B5687" t="str">
            <v>PW FC 9x5 HD返却不要 1年 ML115 G5用</v>
          </cell>
          <cell r="C5687" t="str">
            <v>【ファウンデーションケア】</v>
          </cell>
        </row>
        <row r="5688">
          <cell r="A5688" t="str">
            <v>U3FT5PE</v>
          </cell>
          <cell r="B5688" t="str">
            <v>PW FC 9x5 1年 ML350 G5用</v>
          </cell>
          <cell r="C5688" t="str">
            <v>【ファウンデーションケア】</v>
          </cell>
        </row>
        <row r="5689">
          <cell r="A5689" t="str">
            <v>U3FT6PE</v>
          </cell>
          <cell r="B5689" t="str">
            <v>PW FC 9x5 HD返却不要 1年 ML350 G5用</v>
          </cell>
          <cell r="C5689" t="str">
            <v>【ファウンデーションケア】</v>
          </cell>
        </row>
        <row r="5690">
          <cell r="A5690" t="str">
            <v>U3FT7PE</v>
          </cell>
          <cell r="B5690" t="str">
            <v>PW FC 9x5 1年 ML370 G5用</v>
          </cell>
          <cell r="C5690" t="str">
            <v>【ファウンデーションケア】</v>
          </cell>
        </row>
        <row r="5691">
          <cell r="A5691" t="str">
            <v>U3FT8PE</v>
          </cell>
          <cell r="B5691" t="str">
            <v>PW FC 9x5 HD返却不要 1年 ML370 G5用</v>
          </cell>
          <cell r="C5691" t="str">
            <v>【ファウンデーションケア】</v>
          </cell>
        </row>
        <row r="5692">
          <cell r="A5692" t="str">
            <v>U3FT9PE</v>
          </cell>
          <cell r="B5692" t="str">
            <v>PW FC 9x5 1年 c3000 Encl用</v>
          </cell>
          <cell r="C5692" t="str">
            <v>【ファウンデーションケア】</v>
          </cell>
        </row>
        <row r="5693">
          <cell r="A5693" t="str">
            <v>U3FU0PE</v>
          </cell>
          <cell r="B5693" t="str">
            <v>PW FC 9x5 1年 c7000 Encl用</v>
          </cell>
          <cell r="C5693" t="str">
            <v>【ファウンデーションケア】</v>
          </cell>
        </row>
        <row r="5694">
          <cell r="A5694" t="str">
            <v>U3P10E</v>
          </cell>
          <cell r="B5694" t="str">
            <v>ProCare 24x7 3年 BladeSys c7000 16IC用</v>
          </cell>
          <cell r="C5694" t="str">
            <v>【HPEプロアクティブケア】メーカー推奨／低価格で国内専用窓口の高品質な保守により、システム運用における安心を提供します。</v>
          </cell>
        </row>
        <row r="5695">
          <cell r="A5695" t="str">
            <v>U3P11E</v>
          </cell>
          <cell r="B5695" t="str">
            <v>ProCare 24x7 4年 BladeSys c7000 16IC用</v>
          </cell>
          <cell r="C5695" t="str">
            <v>【HPEプロアクティブケア】メーカー推奨／低価格で国内専用窓口の高品質な保守により、システム運用における安心を提供します。</v>
          </cell>
        </row>
        <row r="5696">
          <cell r="A5696" t="str">
            <v>U3P12E</v>
          </cell>
          <cell r="B5696" t="str">
            <v>ProCare 24x7 5年 BladeSys c7000 16IC用</v>
          </cell>
          <cell r="C5696" t="str">
            <v>【HPEプロアクティブケア】メーカー推奨／低価格で国内専用窓口の高品質な保守により、システム運用における安心を提供します。</v>
          </cell>
        </row>
        <row r="5697">
          <cell r="A5697" t="str">
            <v>U3P19E</v>
          </cell>
          <cell r="B5697" t="str">
            <v>ProCare 24x7 3年 BladeSys c3000 8IC用</v>
          </cell>
          <cell r="C5697" t="str">
            <v>【HPEプロアクティブケア】メーカー推奨／低価格で国内専用窓口の高品質な保守により、システム運用における安心を提供します。</v>
          </cell>
        </row>
        <row r="5698">
          <cell r="A5698" t="str">
            <v>U3P20E</v>
          </cell>
          <cell r="B5698" t="str">
            <v>ProCare 24x7 4年 BladeSys c3000 8IC用</v>
          </cell>
          <cell r="C5698" t="str">
            <v>【HPEプロアクティブケア】メーカー推奨／低価格で国内専用窓口の高品質な保守により、システム運用における安心を提供します。</v>
          </cell>
        </row>
        <row r="5699">
          <cell r="A5699" t="str">
            <v>U3P21E</v>
          </cell>
          <cell r="B5699" t="str">
            <v>ProCare 24x7 5年 BladeSys c3000 8IC用</v>
          </cell>
          <cell r="C5699" t="str">
            <v>【HPEプロアクティブケア】メーカー推奨／低価格で国内専用窓口の高品質な保守により、システム運用における安心を提供します。</v>
          </cell>
        </row>
        <row r="5700">
          <cell r="A5700" t="str">
            <v>U3R32E</v>
          </cell>
          <cell r="B5700" t="str">
            <v>PC 24x7 3年 IB FDR 36P Switch用</v>
          </cell>
          <cell r="C5700" t="str">
            <v>【HPEプロアクティブケア】メーカー推奨／低価格で国内専用窓口の高品質な保守により、システム運用における安心を提供します。</v>
          </cell>
        </row>
        <row r="5701">
          <cell r="A5701" t="str">
            <v>U3R33E</v>
          </cell>
          <cell r="B5701" t="str">
            <v>PC 24x7 4年 IB FDR 36P Switch用</v>
          </cell>
          <cell r="C5701" t="str">
            <v>【HPEプロアクティブケア】メーカー推奨／低価格で国内専用窓口の高品質な保守により、システム運用における安心を提供します。</v>
          </cell>
        </row>
        <row r="5702">
          <cell r="A5702" t="str">
            <v>U3R34E</v>
          </cell>
          <cell r="B5702" t="str">
            <v>PC 24x7 5年 IB FDR 36P Switch用</v>
          </cell>
          <cell r="C5702" t="str">
            <v>【HPEプロアクティブケア】メーカー推奨／低価格で国内専用窓口の高品質な保守により、システム運用における安心を提供します。</v>
          </cell>
        </row>
        <row r="5703">
          <cell r="A5703" t="str">
            <v>U4NT9E</v>
          </cell>
          <cell r="B5703" t="str">
            <v>FC 翌日 3年 BladeSys c3000 8IC用</v>
          </cell>
          <cell r="C5703" t="str">
            <v>【ファウンデーションケア】</v>
          </cell>
        </row>
        <row r="5704">
          <cell r="A5704" t="str">
            <v>U4NU1E</v>
          </cell>
          <cell r="B5704" t="str">
            <v>FC 24x7 3年 BladeSys c3000 8IC用</v>
          </cell>
          <cell r="C5704" t="str">
            <v>【ファウンデーションケア】</v>
          </cell>
        </row>
        <row r="5705">
          <cell r="A5705" t="str">
            <v>U4NU5E</v>
          </cell>
          <cell r="B5705" t="str">
            <v>FC 翌日 4年 BladeSys c3000 8IC用</v>
          </cell>
          <cell r="C5705" t="str">
            <v>【ファウンデーションケア】</v>
          </cell>
        </row>
        <row r="5706">
          <cell r="A5706" t="str">
            <v>U4NU7E</v>
          </cell>
          <cell r="B5706" t="str">
            <v>FC 24x7 4年 BladeSys c3000 8IC用</v>
          </cell>
          <cell r="C5706" t="str">
            <v>【ファウンデーションケア】</v>
          </cell>
        </row>
        <row r="5707">
          <cell r="A5707" t="str">
            <v>U4NV1E</v>
          </cell>
          <cell r="B5707" t="str">
            <v>FC 翌日 5年 BladeSys c3000 8IC用</v>
          </cell>
          <cell r="C5707" t="str">
            <v>【ファウンデーションケア】</v>
          </cell>
        </row>
        <row r="5708">
          <cell r="A5708" t="str">
            <v>U4NV3E</v>
          </cell>
          <cell r="B5708" t="str">
            <v>FC 24x7 5年 BladeSys c3000 8IC用</v>
          </cell>
          <cell r="C5708" t="str">
            <v>【ファウンデーションケア】</v>
          </cell>
        </row>
        <row r="5709">
          <cell r="A5709" t="str">
            <v>U4NV7E</v>
          </cell>
          <cell r="B5709" t="str">
            <v>FC 9x5 3年 BladeSys c3000 8IC用</v>
          </cell>
          <cell r="C5709" t="str">
            <v>【ファウンデーションケア】</v>
          </cell>
        </row>
        <row r="5710">
          <cell r="A5710" t="str">
            <v>U4NV8E</v>
          </cell>
          <cell r="B5710" t="str">
            <v>FC 9x5 4年 BladeSys c3000 8IC用</v>
          </cell>
          <cell r="C5710" t="str">
            <v>【ファウンデーションケア】</v>
          </cell>
        </row>
        <row r="5711">
          <cell r="A5711" t="str">
            <v>U4NV9E</v>
          </cell>
          <cell r="B5711" t="str">
            <v>FC 9x5 5年 BladeSys c3000 8IC用</v>
          </cell>
          <cell r="C5711" t="str">
            <v>【ファウンデーションケア】</v>
          </cell>
        </row>
        <row r="5712">
          <cell r="A5712" t="str">
            <v>U4NW5PE</v>
          </cell>
          <cell r="B5712" t="str">
            <v>PW ProCare 24x7 1年 ML350e Gen8用</v>
          </cell>
          <cell r="C5712" t="str">
            <v>【HPEプロアクティブケア】メーカー推奨／低価格で国内専用窓口の高品質な保守により、システム運用における安心を提供します。</v>
          </cell>
        </row>
        <row r="5713">
          <cell r="A5713" t="str">
            <v>U4NW6PE</v>
          </cell>
          <cell r="B5713" t="str">
            <v>PW ProCare HD返却不要24x7 1年 ML350eGen8</v>
          </cell>
          <cell r="C5713" t="str">
            <v>【HPEプロアクティブケア】メーカー推奨／低価格で国内専用窓口の高品質な保守により、システム運用における安心を提供します。</v>
          </cell>
        </row>
        <row r="5714">
          <cell r="A5714" t="str">
            <v>U4NX1PE</v>
          </cell>
          <cell r="B5714" t="str">
            <v>PW FC 9x5 1年 DL360 G7 IC用</v>
          </cell>
          <cell r="C5714" t="str">
            <v>【ファウンデーションケア】</v>
          </cell>
        </row>
        <row r="5715">
          <cell r="A5715" t="str">
            <v>U4NX2PE</v>
          </cell>
          <cell r="B5715" t="str">
            <v>PW FC 9x5 HD返却不要 1年 DL360 G7 IC</v>
          </cell>
          <cell r="C5715" t="str">
            <v>【ファウンデーションケア】</v>
          </cell>
        </row>
        <row r="5716">
          <cell r="A5716" t="str">
            <v>U4NX3PE</v>
          </cell>
          <cell r="B5716" t="str">
            <v>PW FC 9x5 1年 DL380 G7 IC用</v>
          </cell>
          <cell r="C5716" t="str">
            <v>【ファウンデーションケア】</v>
          </cell>
        </row>
        <row r="5717">
          <cell r="A5717" t="str">
            <v>U4NX4PE</v>
          </cell>
          <cell r="B5717" t="str">
            <v>PW FC 9x5 HD返却不要 1年 DL380 G7 IC</v>
          </cell>
          <cell r="C5717" t="str">
            <v>【ファウンデーションケア】</v>
          </cell>
        </row>
        <row r="5718">
          <cell r="A5718" t="str">
            <v>U4NX5PE</v>
          </cell>
          <cell r="B5718" t="str">
            <v>PW FC 9x5 1年 DL385 G7 IC用</v>
          </cell>
          <cell r="C5718" t="str">
            <v>【ファウンデーションケア】</v>
          </cell>
        </row>
        <row r="5719">
          <cell r="A5719" t="str">
            <v>U4NX6PE</v>
          </cell>
          <cell r="B5719" t="str">
            <v>PW FC 9x5 HD返却不要 1年 DL385 G7 IC</v>
          </cell>
          <cell r="C5719" t="str">
            <v>【ファウンデーションケア】</v>
          </cell>
        </row>
        <row r="5720">
          <cell r="A5720" t="str">
            <v>U4NX7PE</v>
          </cell>
          <cell r="B5720" t="str">
            <v>PW FC 9x5 1年 DL580 G7 IC用</v>
          </cell>
          <cell r="C5720" t="str">
            <v>【ファウンデーションケア】</v>
          </cell>
        </row>
        <row r="5721">
          <cell r="A5721" t="str">
            <v>U4NX8PE</v>
          </cell>
          <cell r="B5721" t="str">
            <v>PW FC 9x5 HD返却不要 1年 DL580 G7 IC</v>
          </cell>
          <cell r="C5721" t="str">
            <v>【ファウンデーションケア】</v>
          </cell>
        </row>
        <row r="5722">
          <cell r="A5722" t="str">
            <v>U4NX9PE</v>
          </cell>
          <cell r="B5722" t="str">
            <v>PW FC 9x5 1年 DL585 G7 IC用</v>
          </cell>
          <cell r="C5722" t="str">
            <v>【ファウンデーションケア】</v>
          </cell>
        </row>
        <row r="5723">
          <cell r="A5723" t="str">
            <v>U4NY0PE</v>
          </cell>
          <cell r="B5723" t="str">
            <v>PW FC 9x5 HD返却不要 1年 DL585 G7 IC</v>
          </cell>
          <cell r="C5723" t="str">
            <v>【ファウンデーションケア】</v>
          </cell>
        </row>
        <row r="5724">
          <cell r="A5724" t="str">
            <v>U4NY1PE</v>
          </cell>
          <cell r="B5724" t="str">
            <v>PW FC 9x5 1年 DL360 G6 IC用</v>
          </cell>
          <cell r="C5724" t="str">
            <v>【ファウンデーションケア】</v>
          </cell>
        </row>
        <row r="5725">
          <cell r="A5725" t="str">
            <v>U4NY2PE</v>
          </cell>
          <cell r="B5725" t="str">
            <v>PW FC 9x5 HD返却不要 1年 DL360 G6 IC</v>
          </cell>
          <cell r="C5725" t="str">
            <v>【ファウンデーションケア】</v>
          </cell>
        </row>
        <row r="5726">
          <cell r="A5726" t="str">
            <v>U4NY3PE</v>
          </cell>
          <cell r="B5726" t="str">
            <v>PW FC 9x5 1年 DL370 G6 IC用</v>
          </cell>
          <cell r="C5726" t="str">
            <v>【ファウンデーションケア】</v>
          </cell>
        </row>
        <row r="5727">
          <cell r="A5727" t="str">
            <v>U4NY4PE</v>
          </cell>
          <cell r="B5727" t="str">
            <v>PW FC 9x5 HD返却不要 1年 DL370 G6 IC</v>
          </cell>
          <cell r="C5727" t="str">
            <v>【ファウンデーションケア】</v>
          </cell>
        </row>
        <row r="5728">
          <cell r="A5728" t="str">
            <v>U4NY5PE</v>
          </cell>
          <cell r="B5728" t="str">
            <v>PW FC 9x5 1年 DL380 G6 IC用</v>
          </cell>
          <cell r="C5728" t="str">
            <v>【ファウンデーションケア】</v>
          </cell>
        </row>
        <row r="5729">
          <cell r="A5729" t="str">
            <v>U4NY6PE</v>
          </cell>
          <cell r="B5729" t="str">
            <v>PW FC 9x5 HD返却不要 1年 DL380 G6 IC</v>
          </cell>
          <cell r="C5729" t="str">
            <v>【ファウンデーションケア】</v>
          </cell>
        </row>
        <row r="5730">
          <cell r="A5730" t="str">
            <v>U4NY7PE</v>
          </cell>
          <cell r="B5730" t="str">
            <v>PW FC 9x5 1年 DL385 G6 IC用</v>
          </cell>
          <cell r="C5730" t="str">
            <v>【ファウンデーションケア】</v>
          </cell>
        </row>
        <row r="5731">
          <cell r="A5731" t="str">
            <v>U4NY8PE</v>
          </cell>
          <cell r="B5731" t="str">
            <v>PW FC 9x5 HD返却不要 1年 DL385 G6 IC</v>
          </cell>
          <cell r="C5731" t="str">
            <v>【ファウンデーションケア】</v>
          </cell>
        </row>
        <row r="5732">
          <cell r="A5732" t="str">
            <v>U4NY9PE</v>
          </cell>
          <cell r="B5732" t="str">
            <v>PW FC 9x5 1年 DL585 G6 IC用</v>
          </cell>
          <cell r="C5732" t="str">
            <v>【ファウンデーションケア】</v>
          </cell>
        </row>
        <row r="5733">
          <cell r="A5733" t="str">
            <v>U4NZ0PE</v>
          </cell>
          <cell r="B5733" t="str">
            <v>PW FC 9x5 HD返却不要 1年 DL585 G6 IC</v>
          </cell>
          <cell r="C5733" t="str">
            <v>【ファウンデーションケア】</v>
          </cell>
        </row>
        <row r="5734">
          <cell r="A5734" t="str">
            <v>U4NZ1PE</v>
          </cell>
          <cell r="B5734" t="str">
            <v>PW FC 9x5 1年 ML350 G6 IC用</v>
          </cell>
          <cell r="C5734" t="str">
            <v>【ファウンデーションケア】</v>
          </cell>
        </row>
        <row r="5735">
          <cell r="A5735" t="str">
            <v>U4NZ2PE</v>
          </cell>
          <cell r="B5735" t="str">
            <v>PW FC 9x5 HD返却不要 1年 ML350 G6 IC</v>
          </cell>
          <cell r="C5735" t="str">
            <v>【ファウンデーションケア】</v>
          </cell>
        </row>
        <row r="5736">
          <cell r="A5736" t="str">
            <v>U4NZ3PE</v>
          </cell>
          <cell r="B5736" t="str">
            <v>PW FC 9x5 1年 c3000 8IC付属用</v>
          </cell>
          <cell r="C5736" t="str">
            <v>【ファウンデーションケア】</v>
          </cell>
        </row>
        <row r="5737">
          <cell r="A5737" t="str">
            <v>U4NZ4PE</v>
          </cell>
          <cell r="B5737" t="str">
            <v>PW FC 9x5 1年 BladeSys c7000 16IC用</v>
          </cell>
          <cell r="C5737" t="str">
            <v>【ファウンデーションケア】</v>
          </cell>
        </row>
        <row r="5738">
          <cell r="A5738" t="str">
            <v>U4NZ5PE</v>
          </cell>
          <cell r="B5738" t="str">
            <v>PW FC 翌日 1年 DL360 G6 IC用</v>
          </cell>
          <cell r="C5738" t="str">
            <v>【ファウンデーションケア】</v>
          </cell>
        </row>
        <row r="5739">
          <cell r="A5739" t="str">
            <v>U4NZ8PE</v>
          </cell>
          <cell r="B5739" t="str">
            <v>PW FC 24x7 1年 DL360 G6 IC用</v>
          </cell>
          <cell r="C5739" t="str">
            <v>【ファウンデーションケア】</v>
          </cell>
        </row>
        <row r="5740">
          <cell r="A5740" t="str">
            <v>U4NZ9PE</v>
          </cell>
          <cell r="B5740" t="str">
            <v>PW FC 24x7 HD返却不要 1年 DL360 G6 IC</v>
          </cell>
          <cell r="C5740" t="str">
            <v>【ファウンデーションケア】</v>
          </cell>
        </row>
        <row r="5741">
          <cell r="A5741" t="str">
            <v>U4PH1E</v>
          </cell>
          <cell r="B5741" t="str">
            <v>FC 24x7 3年 VC FlxFbrc 20/40 F8 Mod用</v>
          </cell>
          <cell r="C5741" t="str">
            <v>【ファウンデーションケア】</v>
          </cell>
        </row>
        <row r="5742">
          <cell r="A5742" t="str">
            <v>U4PH7E</v>
          </cell>
          <cell r="B5742" t="str">
            <v>FC 翌日 4年 VC FlxFbrc 20/40 F8 Mod用</v>
          </cell>
          <cell r="C5742" t="str">
            <v>【ファウンデーションケア】</v>
          </cell>
        </row>
        <row r="5743">
          <cell r="A5743" t="str">
            <v>U4PJ1E</v>
          </cell>
          <cell r="B5743" t="str">
            <v>FC 24x7 4年 VC FlxFbrc 20/40 F8 Mod用</v>
          </cell>
          <cell r="C5743" t="str">
            <v>【ファウンデーションケア】</v>
          </cell>
        </row>
        <row r="5744">
          <cell r="A5744" t="str">
            <v>U4PJ7E</v>
          </cell>
          <cell r="B5744" t="str">
            <v>FC 翌日 5年 VC FlxFbrc 20/40 F8 Mod用</v>
          </cell>
          <cell r="C5744" t="str">
            <v>【ファウンデーションケア】</v>
          </cell>
        </row>
        <row r="5745">
          <cell r="A5745" t="str">
            <v>U4PK1E</v>
          </cell>
          <cell r="B5745" t="str">
            <v>FC 24x7 5年 VC FlxFbrc 20/40 F8 Mod用</v>
          </cell>
          <cell r="C5745" t="str">
            <v>【ファウンデーションケア】</v>
          </cell>
        </row>
        <row r="5746">
          <cell r="A5746" t="str">
            <v>U4PK7E</v>
          </cell>
          <cell r="B5746" t="str">
            <v>FC 9x5 3年 VC FlxFbrc 20/40 F8 Mod用</v>
          </cell>
          <cell r="C5746" t="str">
            <v>【ファウンデーションケア】</v>
          </cell>
        </row>
        <row r="5747">
          <cell r="A5747" t="str">
            <v>U4PK8E</v>
          </cell>
          <cell r="B5747" t="str">
            <v>FC 9x5 4年 VC FlxFbrc 20/40 F8 Mod用</v>
          </cell>
          <cell r="C5747" t="str">
            <v>【ファウンデーションケア】</v>
          </cell>
        </row>
        <row r="5748">
          <cell r="A5748" t="str">
            <v>U4PK9E</v>
          </cell>
          <cell r="B5748" t="str">
            <v>FC 9x5 5年 VC FlxFbrc 20/40 F8 Mod用</v>
          </cell>
          <cell r="C5748" t="str">
            <v>【ファウンデーションケア】</v>
          </cell>
        </row>
        <row r="5749">
          <cell r="A5749" t="str">
            <v>U6H69E</v>
          </cell>
          <cell r="B5749" t="str">
            <v>ProCare 24x7 3年 VC FlxFbrc 20/40 F8 Mod</v>
          </cell>
          <cell r="C5749" t="str">
            <v>【HPEプロアクティブケア】メーカー推奨／低価格で国内専用窓口の高品質な保守により、システム運用における安心を提供します。</v>
          </cell>
        </row>
        <row r="5750">
          <cell r="A5750" t="str">
            <v>U6H75E</v>
          </cell>
          <cell r="B5750" t="str">
            <v>ProCare 24x7 4年 VC FlxFbrc 20/40 F8 Mod</v>
          </cell>
          <cell r="C5750" t="str">
            <v>【HPEプロアクティブケア】メーカー推奨／低価格で国内専用窓口の高品質な保守により、システム運用における安心を提供します。</v>
          </cell>
        </row>
        <row r="5751">
          <cell r="A5751" t="str">
            <v>U6H81E</v>
          </cell>
          <cell r="B5751" t="str">
            <v>ProCare 24x7 5年 VC FlxFbrc 20/40 F8 Mod</v>
          </cell>
          <cell r="C5751" t="str">
            <v>【HPEプロアクティブケア】メーカー推奨／低価格で国内専用窓口の高品質な保守により、システム運用における安心を提供します。</v>
          </cell>
        </row>
        <row r="5752">
          <cell r="A5752" t="str">
            <v>U6L61E</v>
          </cell>
          <cell r="B5752" t="str">
            <v>ProCare 24x7 3年 wrkldAccel用</v>
          </cell>
          <cell r="C5752" t="str">
            <v>【HPEプロアクティブケア】メーカー推奨／低価格で国内専用窓口の高品質な保守により、システム運用における安心を提供します。</v>
          </cell>
        </row>
        <row r="5753">
          <cell r="A5753" t="str">
            <v>U6L81E</v>
          </cell>
          <cell r="B5753" t="str">
            <v>ProCare 24x7 4年 wrkldAccel用</v>
          </cell>
          <cell r="C5753" t="str">
            <v>【HPEプロアクティブケア】メーカー推奨／低価格で国内専用窓口の高品質な保守により、システム運用における安心を提供します。</v>
          </cell>
        </row>
        <row r="5754">
          <cell r="A5754" t="str">
            <v>U6M01E</v>
          </cell>
          <cell r="B5754" t="str">
            <v>ProCare 24x7 5年 wrkldAccel用</v>
          </cell>
          <cell r="C5754" t="str">
            <v>【HPEプロアクティブケア】メーカー推奨／低価格で国内専用窓口の高品質な保守により、システム運用における安心を提供します。</v>
          </cell>
        </row>
        <row r="5755">
          <cell r="A5755" t="str">
            <v>U6RA9PE</v>
          </cell>
          <cell r="B5755" t="str">
            <v>PW FC 翌日 1年 ML10 v2用</v>
          </cell>
          <cell r="C5755" t="str">
            <v>【ファウンデーションケア】</v>
          </cell>
        </row>
        <row r="5756">
          <cell r="A5756" t="str">
            <v>U6RB2PE</v>
          </cell>
          <cell r="B5756" t="str">
            <v>PW FC 24x7 1年 ML10 v2用</v>
          </cell>
          <cell r="C5756" t="str">
            <v>【ファウンデーションケア】</v>
          </cell>
        </row>
        <row r="5757">
          <cell r="A5757" t="str">
            <v>U6RB3PE</v>
          </cell>
          <cell r="B5757" t="str">
            <v>PW FC 24x7 HD返却不要 1年 ML10 v2用</v>
          </cell>
          <cell r="C5757" t="str">
            <v>【ファウンデーションケア】</v>
          </cell>
        </row>
        <row r="5758">
          <cell r="A5758" t="str">
            <v>U6RB8PE</v>
          </cell>
          <cell r="B5758" t="str">
            <v>PW FC 翌日 1年 DL360e Gen8用</v>
          </cell>
          <cell r="C5758" t="str">
            <v>【ファウンデーションケア】</v>
          </cell>
        </row>
        <row r="5759">
          <cell r="A5759" t="str">
            <v>U6RC1PE</v>
          </cell>
          <cell r="B5759" t="str">
            <v>PW FC 24x7 1年 DL360e Gen8用</v>
          </cell>
          <cell r="C5759" t="str">
            <v>【ファウンデーションケア】</v>
          </cell>
        </row>
        <row r="5760">
          <cell r="A5760" t="str">
            <v>U6RC2PE</v>
          </cell>
          <cell r="B5760" t="str">
            <v>PW FC 24x7 HD返却不要 1年 DL360e Gen8</v>
          </cell>
          <cell r="C5760" t="str">
            <v>【ファウンデーションケア】</v>
          </cell>
        </row>
        <row r="5761">
          <cell r="A5761" t="str">
            <v>U6RC7PE</v>
          </cell>
          <cell r="B5761" t="str">
            <v>PW FC 翌日 1年 DL380e Gen8用</v>
          </cell>
          <cell r="C5761" t="str">
            <v>【ファウンデーションケア】</v>
          </cell>
        </row>
        <row r="5762">
          <cell r="A5762" t="str">
            <v>U6RD0PE</v>
          </cell>
          <cell r="B5762" t="str">
            <v>PW FC 24x7 1年 DL380e Gen8用</v>
          </cell>
          <cell r="C5762" t="str">
            <v>【ファウンデーションケア】</v>
          </cell>
        </row>
        <row r="5763">
          <cell r="A5763" t="str">
            <v>U6RD1PE</v>
          </cell>
          <cell r="B5763" t="str">
            <v>PW FC 24x7 HD返却不要 1年 DL380e Gen8</v>
          </cell>
          <cell r="C5763" t="str">
            <v>【ファウンデーションケア】</v>
          </cell>
        </row>
        <row r="5764">
          <cell r="A5764" t="str">
            <v>U6RD6PE</v>
          </cell>
          <cell r="B5764" t="str">
            <v>PW FC 翌日 1年 DL560 Gen8用</v>
          </cell>
          <cell r="C5764" t="str">
            <v>【ファウンデーションケア】</v>
          </cell>
        </row>
        <row r="5765">
          <cell r="A5765" t="str">
            <v>U6RD9PE</v>
          </cell>
          <cell r="B5765" t="str">
            <v>PW FC 24x7 1年 DL560 Gen8用</v>
          </cell>
          <cell r="C5765" t="str">
            <v>【ファウンデーションケア】</v>
          </cell>
        </row>
        <row r="5766">
          <cell r="A5766" t="str">
            <v>U6RE0PE</v>
          </cell>
          <cell r="B5766" t="str">
            <v>PW FC 24x7 HD返却不要 1年 DL560 Gen8</v>
          </cell>
          <cell r="C5766" t="str">
            <v>【ファウンデーションケア】</v>
          </cell>
        </row>
        <row r="5767">
          <cell r="A5767" t="str">
            <v>U6RE5PE</v>
          </cell>
          <cell r="B5767" t="str">
            <v>PW FC 翌日 1年 WS460c Gen8用</v>
          </cell>
          <cell r="C5767" t="str">
            <v>【ファウンデーションケア】</v>
          </cell>
        </row>
        <row r="5768">
          <cell r="A5768" t="str">
            <v>U6RE8PE</v>
          </cell>
          <cell r="B5768" t="str">
            <v>PW FC 24x7 1年 WS460c Gen8用</v>
          </cell>
          <cell r="C5768" t="str">
            <v>【ファウンデーションケア】</v>
          </cell>
        </row>
        <row r="5769">
          <cell r="A5769" t="str">
            <v>U6RE9PE</v>
          </cell>
          <cell r="B5769" t="str">
            <v>PW FC 24x7 HD返却不要 1年 WS460c Gen8</v>
          </cell>
          <cell r="C5769" t="str">
            <v>【ファウンデーションケア】</v>
          </cell>
        </row>
        <row r="5770">
          <cell r="A5770" t="str">
            <v>U6RH2PE</v>
          </cell>
          <cell r="B5770" t="str">
            <v>PW FC 翌日 1年 DL560 Gen8 IC用</v>
          </cell>
          <cell r="C5770" t="str">
            <v>【ファウンデーションケア】</v>
          </cell>
        </row>
        <row r="5771">
          <cell r="A5771" t="str">
            <v>U6RH5PE</v>
          </cell>
          <cell r="B5771" t="str">
            <v>PW FC 24x7 1年 DL560 Gen8 IC用</v>
          </cell>
          <cell r="C5771" t="str">
            <v>【ファウンデーションケア】</v>
          </cell>
        </row>
        <row r="5772">
          <cell r="A5772" t="str">
            <v>U6RH6PE</v>
          </cell>
          <cell r="B5772" t="str">
            <v>PW FC 24x7 HD返却不要 1年 DL560 Gen8 IC</v>
          </cell>
          <cell r="C5772" t="str">
            <v>【ファウンデーションケア】</v>
          </cell>
        </row>
        <row r="5773">
          <cell r="A5773" t="str">
            <v>U6RK3PE</v>
          </cell>
          <cell r="B5773" t="str">
            <v>PW ProCare 24x7 1年 DL360e Gen8用</v>
          </cell>
          <cell r="C5773" t="str">
            <v>【HPEプロアクティブケア】メーカー推奨／低価格で国内専用窓口の高品質な保守により、システム運用における安心を提供します。</v>
          </cell>
        </row>
        <row r="5774">
          <cell r="A5774" t="str">
            <v>U6RK4PE</v>
          </cell>
          <cell r="B5774" t="str">
            <v>PW ProCare HD返却不要24x7 1年 DL360eGen8</v>
          </cell>
          <cell r="C5774" t="str">
            <v>【HPEプロアクティブケア】メーカー推奨／低価格で国内専用窓口の高品質な保守により、システム運用における安心を提供します。</v>
          </cell>
        </row>
        <row r="5775">
          <cell r="A5775" t="str">
            <v>U6RL2PE</v>
          </cell>
          <cell r="B5775" t="str">
            <v>PW ProCare 24x7 1年 DL380e Gen8用</v>
          </cell>
          <cell r="C5775" t="str">
            <v>【HPEプロアクティブケア】メーカー推奨／低価格で国内専用窓口の高品質な保守により、システム運用における安心を提供します。</v>
          </cell>
        </row>
        <row r="5776">
          <cell r="A5776" t="str">
            <v>U6RL3PE</v>
          </cell>
          <cell r="B5776" t="str">
            <v>PW ProCare HD返却不要24x7 1年 DL380eGen8</v>
          </cell>
          <cell r="C5776" t="str">
            <v>【HPEプロアクティブケア】メーカー推奨／低価格で国内専用窓口の高品質な保守により、システム運用における安心を提供します。</v>
          </cell>
        </row>
        <row r="5777">
          <cell r="A5777" t="str">
            <v>U6RM1PE</v>
          </cell>
          <cell r="B5777" t="str">
            <v>PW ProCare 24x7 1年 DL560 Gen8用</v>
          </cell>
          <cell r="C5777" t="str">
            <v>【HPEプロアクティブケア】メーカー推奨／低価格で国内専用窓口の高品質な保守により、システム運用における安心を提供します。</v>
          </cell>
        </row>
        <row r="5778">
          <cell r="A5778" t="str">
            <v>U6RM2PE</v>
          </cell>
          <cell r="B5778" t="str">
            <v>PW ProCare HD返却不要24x7 1年 DL560 Gen8</v>
          </cell>
          <cell r="C5778" t="str">
            <v>【HPEプロアクティブケア】メーカー推奨／低価格で国内専用窓口の高品質な保守により、システム運用における安心を提供します。</v>
          </cell>
        </row>
        <row r="5779">
          <cell r="A5779" t="str">
            <v>U6RQ7PE</v>
          </cell>
          <cell r="B5779" t="str">
            <v>PW ProCare 24x7 1年DL560 Gen8 IC</v>
          </cell>
          <cell r="C5779" t="str">
            <v>【HPEプロアクティブケア】メーカー推奨／低価格で国内専用窓口の高品質な保守により、システム運用における安心を提供します。</v>
          </cell>
        </row>
        <row r="5780">
          <cell r="A5780" t="str">
            <v>U6RQ8PE</v>
          </cell>
          <cell r="B5780" t="str">
            <v>PW ProCare HD返却不要24x7 1年DL560Gen8IC</v>
          </cell>
          <cell r="C5780" t="str">
            <v>【HPEプロアクティブケア】メーカー推奨／低価格で国内専用窓口の高品質な保守により、システム運用における安心を提供します。</v>
          </cell>
        </row>
        <row r="5781">
          <cell r="A5781" t="str">
            <v>U6RR3PE</v>
          </cell>
          <cell r="B5781" t="str">
            <v>PW FC 9x5 1年 ML10 v2用</v>
          </cell>
          <cell r="C5781" t="str">
            <v>【ファウンデーションケア】</v>
          </cell>
        </row>
        <row r="5782">
          <cell r="A5782" t="str">
            <v>U6RR4PE</v>
          </cell>
          <cell r="B5782" t="str">
            <v>PW FC 9x5 HD返却不要 1年 ML10 v2用</v>
          </cell>
          <cell r="C5782" t="str">
            <v>【ファウンデーションケア】</v>
          </cell>
        </row>
        <row r="5783">
          <cell r="A5783" t="str">
            <v>U6RR5PE</v>
          </cell>
          <cell r="B5783" t="str">
            <v>PW FC 9x5 1年 DL360e Gen8用</v>
          </cell>
          <cell r="C5783" t="str">
            <v>【ファウンデーションケア】</v>
          </cell>
        </row>
        <row r="5784">
          <cell r="A5784" t="str">
            <v>U6RR6PE</v>
          </cell>
          <cell r="B5784" t="str">
            <v>PW FC 9x5 HD返却不要 1年 DL360e Gen8</v>
          </cell>
          <cell r="C5784" t="str">
            <v>【ファウンデーションケア】</v>
          </cell>
        </row>
        <row r="5785">
          <cell r="A5785" t="str">
            <v>U6RR7PE</v>
          </cell>
          <cell r="B5785" t="str">
            <v>PW FC 9x5 1年 DL380e Gen8用</v>
          </cell>
          <cell r="C5785" t="str">
            <v>【ファウンデーションケア】</v>
          </cell>
        </row>
        <row r="5786">
          <cell r="A5786" t="str">
            <v>U6RR8PE</v>
          </cell>
          <cell r="B5786" t="str">
            <v>PW FC 9x5 HD返却不要 1年 DL380e Gen8</v>
          </cell>
          <cell r="C5786" t="str">
            <v>【ファウンデーションケア】</v>
          </cell>
        </row>
        <row r="5787">
          <cell r="A5787" t="str">
            <v>U6RR9PE</v>
          </cell>
          <cell r="B5787" t="str">
            <v>PW FC 9x5 1年 DL560 Gen8用</v>
          </cell>
          <cell r="C5787" t="str">
            <v>【ファウンデーションケア】</v>
          </cell>
        </row>
        <row r="5788">
          <cell r="A5788" t="str">
            <v>U6RS0PE</v>
          </cell>
          <cell r="B5788" t="str">
            <v>PW FC 9x5 HD返却不要 1年 DL560 Gen8</v>
          </cell>
          <cell r="C5788" t="str">
            <v>【ファウンデーションケア】</v>
          </cell>
        </row>
        <row r="5789">
          <cell r="A5789" t="str">
            <v>U6RS1PE</v>
          </cell>
          <cell r="B5789" t="str">
            <v>PW FC 9x5 1年 WS460c Gen8用</v>
          </cell>
          <cell r="C5789" t="str">
            <v>【ファウンデーションケア】</v>
          </cell>
        </row>
        <row r="5790">
          <cell r="A5790" t="str">
            <v>U6RS2PE</v>
          </cell>
          <cell r="B5790" t="str">
            <v>PW FC 9x5 HD返却不要 1年 WS460c Gen8</v>
          </cell>
          <cell r="C5790" t="str">
            <v>【ファウンデーションケア】</v>
          </cell>
        </row>
        <row r="5791">
          <cell r="A5791" t="str">
            <v>U6RS7PE</v>
          </cell>
          <cell r="B5791" t="str">
            <v>PW FC 9x5 1年 DL560 Gen8 IC用</v>
          </cell>
          <cell r="C5791" t="str">
            <v>【ファウンデーションケア】</v>
          </cell>
        </row>
        <row r="5792">
          <cell r="A5792" t="str">
            <v>U6RS8PE</v>
          </cell>
          <cell r="B5792" t="str">
            <v>PW FC 9x5 HD返却不要 1年 DL560 Gen8 IC</v>
          </cell>
          <cell r="C5792" t="str">
            <v>【ファウンデーションケア】</v>
          </cell>
        </row>
        <row r="5793">
          <cell r="A5793" t="str">
            <v>U6TZ5PE</v>
          </cell>
          <cell r="B5793" t="str">
            <v>PW FC 翌日 1年 DL370 G6 IC用</v>
          </cell>
          <cell r="C5793" t="str">
            <v>【ファウンデーションケア】</v>
          </cell>
        </row>
        <row r="5794">
          <cell r="A5794" t="str">
            <v>U6TZ8PE</v>
          </cell>
          <cell r="B5794" t="str">
            <v>PW FC 24x7 1年 DL370 G6 IC用</v>
          </cell>
          <cell r="C5794" t="str">
            <v>【ファウンデーションケア】</v>
          </cell>
        </row>
        <row r="5795">
          <cell r="A5795" t="str">
            <v>U6TZ9PE</v>
          </cell>
          <cell r="B5795" t="str">
            <v>PW FC 24x7 HD返却不要 1年 DL370 G6 IC</v>
          </cell>
          <cell r="C5795" t="str">
            <v>【ファウンデーションケア】</v>
          </cell>
        </row>
        <row r="5796">
          <cell r="A5796" t="str">
            <v>U6UA4PE</v>
          </cell>
          <cell r="B5796" t="str">
            <v>PW FC 翌日 1年 DL380 G6 IC用</v>
          </cell>
          <cell r="C5796" t="str">
            <v>【ファウンデーションケア】</v>
          </cell>
        </row>
        <row r="5797">
          <cell r="A5797" t="str">
            <v>U6UA7PE</v>
          </cell>
          <cell r="B5797" t="str">
            <v>PW FC 24x7 1年 DL380 G6 IC用</v>
          </cell>
          <cell r="C5797" t="str">
            <v>【ファウンデーションケア】</v>
          </cell>
        </row>
        <row r="5798">
          <cell r="A5798" t="str">
            <v>U6UA8PE</v>
          </cell>
          <cell r="B5798" t="str">
            <v>PW FC 24x7 HD返却不要 1年 DL380 G6 IC</v>
          </cell>
          <cell r="C5798" t="str">
            <v>【ファウンデーションケア】</v>
          </cell>
        </row>
        <row r="5799">
          <cell r="A5799" t="str">
            <v>U6UB3PE</v>
          </cell>
          <cell r="B5799" t="str">
            <v>PW FC 翌日 1年 DL385 G6 IC用</v>
          </cell>
          <cell r="C5799" t="str">
            <v>【ファウンデーションケア】</v>
          </cell>
        </row>
        <row r="5800">
          <cell r="A5800" t="str">
            <v>U6UB6PE</v>
          </cell>
          <cell r="B5800" t="str">
            <v>PW FC 24x7 1年 DL385 G6 IC用</v>
          </cell>
          <cell r="C5800" t="str">
            <v>【ファウンデーションケア】</v>
          </cell>
        </row>
        <row r="5801">
          <cell r="A5801" t="str">
            <v>U6UB7PE</v>
          </cell>
          <cell r="B5801" t="str">
            <v>PW FC 24x7 HD返却不要 1年 DL385 G6 IC</v>
          </cell>
          <cell r="C5801" t="str">
            <v>【ファウンデーションケア】</v>
          </cell>
        </row>
        <row r="5802">
          <cell r="A5802" t="str">
            <v>U6UC2PE</v>
          </cell>
          <cell r="B5802" t="str">
            <v>PW FC 翌日 1年 DL585 G6 IC用</v>
          </cell>
          <cell r="C5802" t="str">
            <v>【ファウンデーションケア】</v>
          </cell>
        </row>
        <row r="5803">
          <cell r="A5803" t="str">
            <v>U6UC5PE</v>
          </cell>
          <cell r="B5803" t="str">
            <v>PW FC 24x7 1年 DL585 G6 IC用</v>
          </cell>
          <cell r="C5803" t="str">
            <v>【ファウンデーションケア】</v>
          </cell>
        </row>
        <row r="5804">
          <cell r="A5804" t="str">
            <v>U6UC6PE</v>
          </cell>
          <cell r="B5804" t="str">
            <v>PW FC 24x7 HD返却不要 1年 DL585 G6 IC</v>
          </cell>
          <cell r="C5804" t="str">
            <v>【ファウンデーションケア】</v>
          </cell>
        </row>
        <row r="5805">
          <cell r="A5805" t="str">
            <v>U6UD1PE</v>
          </cell>
          <cell r="B5805" t="str">
            <v>PW FC 翌日 1年 ML350 G6 IC用</v>
          </cell>
          <cell r="C5805" t="str">
            <v>【ファウンデーションケア】</v>
          </cell>
        </row>
        <row r="5806">
          <cell r="A5806" t="str">
            <v>U6UD4PE</v>
          </cell>
          <cell r="B5806" t="str">
            <v>PW FC 24x7 1年 ML350 G6 IC用</v>
          </cell>
          <cell r="C5806" t="str">
            <v>【ファウンデーションケア】</v>
          </cell>
        </row>
        <row r="5807">
          <cell r="A5807" t="str">
            <v>U6UD5PE</v>
          </cell>
          <cell r="B5807" t="str">
            <v>PW FC 24x7 HD返却不要 1年 ML350 G6 IC</v>
          </cell>
          <cell r="C5807" t="str">
            <v>【ファウンデーションケア】</v>
          </cell>
        </row>
        <row r="5808">
          <cell r="A5808" t="str">
            <v>U6UE0PE</v>
          </cell>
          <cell r="B5808" t="str">
            <v>PW FC 翌日 1年 DL360 G7 IC用</v>
          </cell>
          <cell r="C5808" t="str">
            <v>【ファウンデーションケア】</v>
          </cell>
        </row>
        <row r="5809">
          <cell r="A5809" t="str">
            <v>U6UE3PE</v>
          </cell>
          <cell r="B5809" t="str">
            <v>PW FC 24x7 1年 DL360 G7 IC用</v>
          </cell>
          <cell r="C5809" t="str">
            <v>【ファウンデーションケア】</v>
          </cell>
        </row>
        <row r="5810">
          <cell r="A5810" t="str">
            <v>U6UE4PE</v>
          </cell>
          <cell r="B5810" t="str">
            <v>PW FC 24x7 HD返却不要 1年 DL360 G7 IC</v>
          </cell>
          <cell r="C5810" t="str">
            <v>【ファウンデーションケア】</v>
          </cell>
        </row>
        <row r="5811">
          <cell r="A5811" t="str">
            <v>U6UE9PE</v>
          </cell>
          <cell r="B5811" t="str">
            <v>PW FC 翌日 1年 DL380 G7 IC用</v>
          </cell>
          <cell r="C5811" t="str">
            <v>【ファウンデーションケア】</v>
          </cell>
        </row>
        <row r="5812">
          <cell r="A5812" t="str">
            <v>U6UF2PE</v>
          </cell>
          <cell r="B5812" t="str">
            <v>PW FC 24x7 1年 DL380 G7 IC用</v>
          </cell>
          <cell r="C5812" t="str">
            <v>【ファウンデーションケア】</v>
          </cell>
        </row>
        <row r="5813">
          <cell r="A5813" t="str">
            <v>U6UF3PE</v>
          </cell>
          <cell r="B5813" t="str">
            <v>PW FC 24x7 HD返却不要 1年 DL380 G7 IC</v>
          </cell>
          <cell r="C5813" t="str">
            <v>【ファウンデーションケア】</v>
          </cell>
        </row>
        <row r="5814">
          <cell r="A5814" t="str">
            <v>U6UF8PE</v>
          </cell>
          <cell r="B5814" t="str">
            <v>PW FC 翌日 1年 DL385 G7 IC用</v>
          </cell>
          <cell r="C5814" t="str">
            <v>【ファウンデーションケア】</v>
          </cell>
        </row>
        <row r="5815">
          <cell r="A5815" t="str">
            <v>U6UG1PE</v>
          </cell>
          <cell r="B5815" t="str">
            <v>PW FC 24x7 1年 DL385 G7 IC用</v>
          </cell>
          <cell r="C5815" t="str">
            <v>【ファウンデーションケア】</v>
          </cell>
        </row>
        <row r="5816">
          <cell r="A5816" t="str">
            <v>U6UG2PE</v>
          </cell>
          <cell r="B5816" t="str">
            <v>PW FC 24x7 HD返却不要 1年 DL385 G7 IC</v>
          </cell>
          <cell r="C5816" t="str">
            <v>【ファウンデーションケア】</v>
          </cell>
        </row>
        <row r="5817">
          <cell r="A5817" t="str">
            <v>U6UG7PE</v>
          </cell>
          <cell r="B5817" t="str">
            <v>PW FC 翌日 1年 DL580 G7 IC用</v>
          </cell>
          <cell r="C5817" t="str">
            <v>【ファウンデーションケア】</v>
          </cell>
        </row>
        <row r="5818">
          <cell r="A5818" t="str">
            <v>U6UH0PE</v>
          </cell>
          <cell r="B5818" t="str">
            <v>PW FC 24x7 1年 DL580 G7 IC用</v>
          </cell>
          <cell r="C5818" t="str">
            <v>【ファウンデーションケア】</v>
          </cell>
        </row>
        <row r="5819">
          <cell r="A5819" t="str">
            <v>U6UH1PE</v>
          </cell>
          <cell r="B5819" t="str">
            <v>PW FC 24x7 HD返却不要 1年 DL580 G7 IC</v>
          </cell>
          <cell r="C5819" t="str">
            <v>【ファウンデーションケア】</v>
          </cell>
        </row>
        <row r="5820">
          <cell r="A5820" t="str">
            <v>U6UH6PE</v>
          </cell>
          <cell r="B5820" t="str">
            <v>PW FC 翌日 1年 DL585 G7 IC用</v>
          </cell>
          <cell r="C5820" t="str">
            <v>【ファウンデーションケア】</v>
          </cell>
        </row>
        <row r="5821">
          <cell r="A5821" t="str">
            <v>U6UH9PE</v>
          </cell>
          <cell r="B5821" t="str">
            <v>PW FC 24x7 1年 DL585 G7 IC用</v>
          </cell>
          <cell r="C5821" t="str">
            <v>【ファウンデーションケア】</v>
          </cell>
        </row>
        <row r="5822">
          <cell r="A5822" t="str">
            <v>U6UJ0PE</v>
          </cell>
          <cell r="B5822" t="str">
            <v>PW FC 24x7 HD返却不要 1年 DL585 G7 IC</v>
          </cell>
          <cell r="C5822" t="str">
            <v>【ファウンデーションケア】</v>
          </cell>
        </row>
        <row r="5823">
          <cell r="A5823" t="str">
            <v>U6UJ5PE</v>
          </cell>
          <cell r="B5823" t="str">
            <v>PW FC 翌日 1年 c3000 8IC付属用</v>
          </cell>
          <cell r="C5823" t="str">
            <v>【ファウンデーションケア】</v>
          </cell>
        </row>
        <row r="5824">
          <cell r="A5824" t="str">
            <v>U6UJ7PE</v>
          </cell>
          <cell r="B5824" t="str">
            <v>PW FC 24x7 1年 c3000 8IC付属用</v>
          </cell>
          <cell r="C5824" t="str">
            <v>【ファウンデーションケア】</v>
          </cell>
        </row>
        <row r="5825">
          <cell r="A5825" t="str">
            <v>U6UK1PE</v>
          </cell>
          <cell r="B5825" t="str">
            <v>PW FC 翌日 1年 BladeSys c7000 16IC用</v>
          </cell>
          <cell r="C5825" t="str">
            <v>【ファウンデーションケア】</v>
          </cell>
        </row>
        <row r="5826">
          <cell r="A5826" t="str">
            <v>U6UK3PE</v>
          </cell>
          <cell r="B5826" t="str">
            <v>PW FC 24x7 1年 BladeSys c7000 16IC用</v>
          </cell>
          <cell r="C5826" t="str">
            <v>【ファウンデーションケア】</v>
          </cell>
        </row>
        <row r="5827">
          <cell r="A5827" t="str">
            <v>U6UK6PE</v>
          </cell>
          <cell r="B5827" t="str">
            <v>PW FC 翌日 1年 BLc InfiniBand用</v>
          </cell>
          <cell r="C5827" t="str">
            <v>【ファウンデーションケア】</v>
          </cell>
        </row>
        <row r="5828">
          <cell r="A5828" t="str">
            <v>U6UK7PE</v>
          </cell>
          <cell r="B5828" t="str">
            <v>PW FC 24x7 1年 BLc InfiniBand用</v>
          </cell>
          <cell r="C5828" t="str">
            <v>【ファウンデーションケア】</v>
          </cell>
        </row>
        <row r="5829">
          <cell r="A5829" t="str">
            <v>U6UK9PE</v>
          </cell>
          <cell r="B5829" t="str">
            <v>PW FC 9x5 1年 BLc InfiniBand用</v>
          </cell>
          <cell r="C5829" t="str">
            <v>【ファウンデーションケア】</v>
          </cell>
        </row>
        <row r="5830">
          <cell r="A5830" t="str">
            <v>U6UL0E</v>
          </cell>
          <cell r="B5830" t="str">
            <v>FC 9x5 3年 BL c-Class InfiniBand用</v>
          </cell>
          <cell r="C5830" t="str">
            <v>【ファウンデーションケア】</v>
          </cell>
        </row>
        <row r="5831">
          <cell r="A5831" t="str">
            <v>U6UL1E</v>
          </cell>
          <cell r="B5831" t="str">
            <v>FC 9x5 4年 BL c-Class InfiniBand用</v>
          </cell>
          <cell r="C5831" t="str">
            <v>【ファウンデーションケア】</v>
          </cell>
        </row>
        <row r="5832">
          <cell r="A5832" t="str">
            <v>U6UL2E</v>
          </cell>
          <cell r="B5832" t="str">
            <v>FC 9x5 5年 BL c-Class InfiniBand用</v>
          </cell>
          <cell r="C5832" t="str">
            <v>【ファウンデーションケア】</v>
          </cell>
        </row>
        <row r="5833">
          <cell r="A5833" t="str">
            <v>U6VD2PE</v>
          </cell>
          <cell r="B5833" t="str">
            <v>PW FC 翌日 1年 DL380p Gen8用</v>
          </cell>
          <cell r="C5833" t="str">
            <v>【ファウンデーションケア】</v>
          </cell>
        </row>
        <row r="5834">
          <cell r="A5834" t="str">
            <v>U6VD5PE</v>
          </cell>
          <cell r="B5834" t="str">
            <v>PW FC 24x7 1年 DL380p Gen8用</v>
          </cell>
          <cell r="C5834" t="str">
            <v>【ファウンデーションケア】</v>
          </cell>
        </row>
        <row r="5835">
          <cell r="A5835" t="str">
            <v>U6VD6PE</v>
          </cell>
          <cell r="B5835" t="str">
            <v>PW FC 24x7 HD返却不要 1年 DL380p Gen8</v>
          </cell>
          <cell r="C5835" t="str">
            <v>【ファウンデーションケア】</v>
          </cell>
        </row>
        <row r="5836">
          <cell r="A5836" t="str">
            <v>U6VE1PE</v>
          </cell>
          <cell r="B5836" t="str">
            <v>PW FC 翌日 1年 DL360p Gen8用</v>
          </cell>
          <cell r="C5836" t="str">
            <v>【ファウンデーションケア】</v>
          </cell>
        </row>
        <row r="5837">
          <cell r="A5837" t="str">
            <v>U6VE4PE</v>
          </cell>
          <cell r="B5837" t="str">
            <v>PW FC 24x7 1年 DL360p Gen8用</v>
          </cell>
          <cell r="C5837" t="str">
            <v>【ファウンデーションケア】</v>
          </cell>
        </row>
        <row r="5838">
          <cell r="A5838" t="str">
            <v>U6VE5PE</v>
          </cell>
          <cell r="B5838" t="str">
            <v>PW FC 24x7 HD返却不要 1年 DL360p Gen8</v>
          </cell>
          <cell r="C5838" t="str">
            <v>【ファウンデーションケア】</v>
          </cell>
        </row>
        <row r="5839">
          <cell r="A5839" t="str">
            <v>U6VF0PE</v>
          </cell>
          <cell r="B5839" t="str">
            <v>PW FC 翌日 1年 ML350p Gen8用</v>
          </cell>
          <cell r="C5839" t="str">
            <v>【ファウンデーションケア】</v>
          </cell>
        </row>
        <row r="5840">
          <cell r="A5840" t="str">
            <v>U6VF3PE</v>
          </cell>
          <cell r="B5840" t="str">
            <v>PW FC 24x7 1年 ML350p Gen8用</v>
          </cell>
          <cell r="C5840" t="str">
            <v>【ファウンデーションケア】</v>
          </cell>
        </row>
        <row r="5841">
          <cell r="A5841" t="str">
            <v>U6VF4PE</v>
          </cell>
          <cell r="B5841" t="str">
            <v>PW FC 24x7 HD返却不要 1年 ML350p Gen8</v>
          </cell>
          <cell r="C5841" t="str">
            <v>【ファウンデーションケア】</v>
          </cell>
        </row>
        <row r="5842">
          <cell r="A5842" t="str">
            <v>U6VF9PE</v>
          </cell>
          <cell r="B5842" t="str">
            <v>PW FC 翌日 1年 BL460c Gen8用</v>
          </cell>
          <cell r="C5842" t="str">
            <v>【ファウンデーションケア】</v>
          </cell>
        </row>
        <row r="5843">
          <cell r="A5843" t="str">
            <v>U6VG2PE</v>
          </cell>
          <cell r="B5843" t="str">
            <v>PW FC 24x7 1年 BL460c Gen8用</v>
          </cell>
          <cell r="C5843" t="str">
            <v>【ファウンデーションケア】</v>
          </cell>
        </row>
        <row r="5844">
          <cell r="A5844" t="str">
            <v>U6VG3PE</v>
          </cell>
          <cell r="B5844" t="str">
            <v>PW FC 24x7 HD返却不要 1年 BL460c Gen8</v>
          </cell>
          <cell r="C5844" t="str">
            <v>【ファウンデーションケア】</v>
          </cell>
        </row>
        <row r="5845">
          <cell r="A5845" t="str">
            <v>U6VG8PE</v>
          </cell>
          <cell r="B5845" t="str">
            <v>PW FC 翌日 1年 DL160 Gen8用</v>
          </cell>
          <cell r="C5845" t="str">
            <v>【ファウンデーションケア】</v>
          </cell>
        </row>
        <row r="5846">
          <cell r="A5846" t="str">
            <v>U6VH1PE</v>
          </cell>
          <cell r="B5846" t="str">
            <v>PW FC 24x7 1年 DL160 Gen8用</v>
          </cell>
          <cell r="C5846" t="str">
            <v>【ファウンデーションケア】</v>
          </cell>
        </row>
        <row r="5847">
          <cell r="A5847" t="str">
            <v>U6VH2PE</v>
          </cell>
          <cell r="B5847" t="str">
            <v>PW FC 24x7 HD返却不要 1年 DL160 Gen8</v>
          </cell>
          <cell r="C5847" t="str">
            <v>【ファウンデーションケア】</v>
          </cell>
        </row>
        <row r="5848">
          <cell r="A5848" t="str">
            <v>U6VH7PE</v>
          </cell>
          <cell r="B5848" t="str">
            <v>PW FC 翌日 1年 DL380p Gen8 IC用</v>
          </cell>
          <cell r="C5848" t="str">
            <v>【ファウンデーションケア】</v>
          </cell>
        </row>
        <row r="5849">
          <cell r="A5849" t="str">
            <v>U6VJ0PE</v>
          </cell>
          <cell r="B5849" t="str">
            <v>PW FC 24x7 1年 DL380p Gen8 IC用</v>
          </cell>
          <cell r="C5849" t="str">
            <v>【ファウンデーションケア】</v>
          </cell>
        </row>
        <row r="5850">
          <cell r="A5850" t="str">
            <v>U6VJ1PE</v>
          </cell>
          <cell r="B5850" t="str">
            <v>PW FC 24x7 HD返却不要1年DL380pGen8 IC</v>
          </cell>
          <cell r="C5850" t="str">
            <v>【ファウンデーションケア】</v>
          </cell>
        </row>
        <row r="5851">
          <cell r="A5851" t="str">
            <v>U6VJ6PE</v>
          </cell>
          <cell r="B5851" t="str">
            <v>PW FC 翌日 1年 DL360p Gen8 IC用</v>
          </cell>
          <cell r="C5851" t="str">
            <v>【ファウンデーションケア】</v>
          </cell>
        </row>
        <row r="5852">
          <cell r="A5852" t="str">
            <v>U6VJ9PE</v>
          </cell>
          <cell r="B5852" t="str">
            <v>PW FC 24x7 1年 DL360p Gen8 IC用</v>
          </cell>
          <cell r="C5852" t="str">
            <v>【ファウンデーションケア】</v>
          </cell>
        </row>
        <row r="5853">
          <cell r="A5853" t="str">
            <v>U6VK0PE</v>
          </cell>
          <cell r="B5853" t="str">
            <v>PW FC 24x7HD返却不要1年 DL360pGen8 IC</v>
          </cell>
          <cell r="C5853" t="str">
            <v>【ファウンデーションケア】</v>
          </cell>
        </row>
        <row r="5854">
          <cell r="A5854" t="str">
            <v>U6VL7PE</v>
          </cell>
          <cell r="B5854" t="str">
            <v>PW ProCare 24x7 1年 DL380p Gen8用</v>
          </cell>
          <cell r="C5854" t="str">
            <v>【HPEプロアクティブケア】メーカー推奨／低価格で国内専用窓口の高品質な保守により、システム運用における安心を提供します。</v>
          </cell>
        </row>
        <row r="5855">
          <cell r="A5855" t="str">
            <v>U6VL8PE</v>
          </cell>
          <cell r="B5855" t="str">
            <v>PW ProCare HD返却不要24x7 1年 DL380pGen8</v>
          </cell>
          <cell r="C5855" t="str">
            <v>【HPEプロアクティブケア】メーカー推奨／低価格で国内専用窓口の高品質な保守により、システム運用における安心を提供します。</v>
          </cell>
        </row>
        <row r="5856">
          <cell r="A5856" t="str">
            <v>U6VM6PE</v>
          </cell>
          <cell r="B5856" t="str">
            <v>PW ProCare 24x7 1年 DL360p Gen8用</v>
          </cell>
          <cell r="C5856" t="str">
            <v>【HPEプロアクティブケア】メーカー推奨／低価格で国内専用窓口の高品質な保守により、システム運用における安心を提供します。</v>
          </cell>
        </row>
        <row r="5857">
          <cell r="A5857" t="str">
            <v>U6VM7PE</v>
          </cell>
          <cell r="B5857" t="str">
            <v>PW ProCare HD返却不要24x7 1年 DL360pGen8</v>
          </cell>
          <cell r="C5857" t="str">
            <v>【HPEプロアクティブケア】メーカー推奨／低価格で国内専用窓口の高品質な保守により、システム運用における安心を提供します。</v>
          </cell>
        </row>
        <row r="5858">
          <cell r="A5858" t="str">
            <v>U6VN5PE</v>
          </cell>
          <cell r="B5858" t="str">
            <v>PW ProCare 24x7 1年 ML350p Gen8用</v>
          </cell>
          <cell r="C5858" t="str">
            <v>【HPEプロアクティブケア】メーカー推奨／低価格で国内専用窓口の高品質な保守により、システム運用における安心を提供します。</v>
          </cell>
        </row>
        <row r="5859">
          <cell r="A5859" t="str">
            <v>U6VN6PE</v>
          </cell>
          <cell r="B5859" t="str">
            <v>PW ProCare HD返却不要24x7 1年 ML350pGen8</v>
          </cell>
          <cell r="C5859" t="str">
            <v>【HPEプロアクティブケア】メーカー推奨／低価格で国内専用窓口の高品質な保守により、システム運用における安心を提供します。</v>
          </cell>
        </row>
        <row r="5860">
          <cell r="A5860" t="str">
            <v>U6VP4PE</v>
          </cell>
          <cell r="B5860" t="str">
            <v>PW ProCare 24x7 1年 BL460c Gen8用</v>
          </cell>
          <cell r="C5860" t="str">
            <v>【HPEプロアクティブケア】メーカー推奨／低価格で国内専用窓口の高品質な保守により、システム運用における安心を提供します。</v>
          </cell>
        </row>
        <row r="5861">
          <cell r="A5861" t="str">
            <v>U6VP5PE</v>
          </cell>
          <cell r="B5861" t="str">
            <v>PW ProCare HD返却不要24x7 1年 BL460cGen8</v>
          </cell>
          <cell r="C5861" t="str">
            <v>【HPEプロアクティブケア】メーカー推奨／低価格で国内専用窓口の高品質な保守により、システム運用における安心を提供します。</v>
          </cell>
        </row>
        <row r="5862">
          <cell r="A5862" t="str">
            <v>U6VQ3PE</v>
          </cell>
          <cell r="B5862" t="str">
            <v>PW ProCare 24x7 1年 DL160 Gen8用</v>
          </cell>
          <cell r="C5862" t="str">
            <v>【HPEプロアクティブケア】メーカー推奨／低価格で国内専用窓口の高品質な保守により、システム運用における安心を提供します。</v>
          </cell>
        </row>
        <row r="5863">
          <cell r="A5863" t="str">
            <v>U6VQ4PE</v>
          </cell>
          <cell r="B5863" t="str">
            <v>PW ProCare HD返却不要24x7 1年 DL160 Gen8</v>
          </cell>
          <cell r="C5863" t="str">
            <v>【HPEプロアクティブケア】メーカー推奨／低価格で国内専用窓口の高品質な保守により、システム運用における安心を提供します。</v>
          </cell>
        </row>
        <row r="5864">
          <cell r="A5864" t="str">
            <v>U6VR2PE</v>
          </cell>
          <cell r="B5864" t="str">
            <v>PW ProCare 24x7 1年 DL380p Gen8 IC用</v>
          </cell>
          <cell r="C5864" t="str">
            <v>【HPEプロアクティブケア】メーカー推奨／低価格で国内専用窓口の高品質な保守により、システム運用における安心を提供します。</v>
          </cell>
        </row>
        <row r="5865">
          <cell r="A5865" t="str">
            <v>U6VR3PE</v>
          </cell>
          <cell r="B5865" t="str">
            <v>PW ProCareHD返却不要24x7 1年DL380pGen8IC</v>
          </cell>
          <cell r="C5865" t="str">
            <v>【HPEプロアクティブケア】メーカー推奨／低価格で国内専用窓口の高品質な保守により、システム運用における安心を提供します。</v>
          </cell>
        </row>
        <row r="5866">
          <cell r="A5866" t="str">
            <v>U6VS1PE</v>
          </cell>
          <cell r="B5866" t="str">
            <v>PW ProCare 24x7 1年 DL360p Gen8 IC用</v>
          </cell>
          <cell r="C5866" t="str">
            <v>【HPEプロアクティブケア】メーカー推奨／低価格で国内専用窓口の高品質な保守により、システム運用における安心を提供します。</v>
          </cell>
        </row>
        <row r="5867">
          <cell r="A5867" t="str">
            <v>U6VS2PE</v>
          </cell>
          <cell r="B5867" t="str">
            <v>PW ProCareHD返却不要24x7 1年DL360pGen8IC</v>
          </cell>
          <cell r="C5867" t="str">
            <v>【HPEプロアクティブケア】メーカー推奨／低価格で国内専用窓口の高品質な保守により、システム運用における安心を提供します。</v>
          </cell>
        </row>
        <row r="5868">
          <cell r="A5868" t="str">
            <v>U6VT6PE</v>
          </cell>
          <cell r="B5868" t="str">
            <v>PW FC 9x5 1年 DL380p Gen8用</v>
          </cell>
          <cell r="C5868" t="str">
            <v>【ファウンデーションケア】</v>
          </cell>
        </row>
        <row r="5869">
          <cell r="A5869" t="str">
            <v>U6VT7PE</v>
          </cell>
          <cell r="B5869" t="str">
            <v>PW FC 9x5 HD返却不要 1年 DL380p Gen8</v>
          </cell>
          <cell r="C5869" t="str">
            <v>【ファウンデーションケア】</v>
          </cell>
        </row>
        <row r="5870">
          <cell r="A5870" t="str">
            <v>U6YV4PE</v>
          </cell>
          <cell r="B5870" t="str">
            <v>PW FC 9x5 1年 DL360p Gen8用</v>
          </cell>
          <cell r="C5870" t="str">
            <v>【ファウンデーションケア】</v>
          </cell>
        </row>
        <row r="5871">
          <cell r="A5871" t="str">
            <v>U6YV5PE</v>
          </cell>
          <cell r="B5871" t="str">
            <v>PW FC 9x5 HD返却不要 1年 DL360p Gen8</v>
          </cell>
          <cell r="C5871" t="str">
            <v>【ファウンデーションケア】</v>
          </cell>
        </row>
        <row r="5872">
          <cell r="A5872" t="str">
            <v>U6YV6PE</v>
          </cell>
          <cell r="B5872" t="str">
            <v>PW FC 9x5 1年 ML350p Gen8用</v>
          </cell>
          <cell r="C5872" t="str">
            <v>【ファウンデーションケア】</v>
          </cell>
        </row>
        <row r="5873">
          <cell r="A5873" t="str">
            <v>U6YV7PE</v>
          </cell>
          <cell r="B5873" t="str">
            <v>PW FC 9x5 HD返却不要 1年 ML350p Gen8</v>
          </cell>
          <cell r="C5873" t="str">
            <v>【ファウンデーションケア】</v>
          </cell>
        </row>
        <row r="5874">
          <cell r="A5874" t="str">
            <v>U6YV8PE</v>
          </cell>
          <cell r="B5874" t="str">
            <v>PW FC 9x5 1年 BL460c Gen8用</v>
          </cell>
          <cell r="C5874" t="str">
            <v>【ファウンデーションケア】</v>
          </cell>
        </row>
        <row r="5875">
          <cell r="A5875" t="str">
            <v>U6YV9PE</v>
          </cell>
          <cell r="B5875" t="str">
            <v>PW FC 9x5 HD返却不要 1年 BL460c Gen8</v>
          </cell>
          <cell r="C5875" t="str">
            <v>【ファウンデーションケア】</v>
          </cell>
        </row>
        <row r="5876">
          <cell r="A5876" t="str">
            <v>U6YW0PE</v>
          </cell>
          <cell r="B5876" t="str">
            <v>PW FC 9x5 1年 DL160 Gen8用</v>
          </cell>
          <cell r="C5876" t="str">
            <v>【ファウンデーションケア】</v>
          </cell>
        </row>
        <row r="5877">
          <cell r="A5877" t="str">
            <v>U6YW1PE</v>
          </cell>
          <cell r="B5877" t="str">
            <v>PW FC 9x5 HD返却不要 1年 DL160 Gen8用</v>
          </cell>
          <cell r="C5877" t="str">
            <v>【ファウンデーションケア】</v>
          </cell>
        </row>
        <row r="5878">
          <cell r="A5878" t="str">
            <v>U6YW2PE</v>
          </cell>
          <cell r="B5878" t="str">
            <v>PW FC 9x5 1年 DL380p Gen8 IC用</v>
          </cell>
          <cell r="C5878" t="str">
            <v>【ファウンデーションケア】</v>
          </cell>
        </row>
        <row r="5879">
          <cell r="A5879" t="str">
            <v>U6YW3PE</v>
          </cell>
          <cell r="B5879" t="str">
            <v>PW FC 9x5 HD返却不要1年 DL380pGen8 IC</v>
          </cell>
          <cell r="C5879" t="str">
            <v>【ファウンデーションケア】</v>
          </cell>
        </row>
        <row r="5880">
          <cell r="A5880" t="str">
            <v>U6YW4PE</v>
          </cell>
          <cell r="B5880" t="str">
            <v>PW FC 9x5 1年 DL360p Gen8 IC用</v>
          </cell>
          <cell r="C5880" t="str">
            <v>【ファウンデーションケア】</v>
          </cell>
        </row>
        <row r="5881">
          <cell r="A5881" t="str">
            <v>U6YW5PE</v>
          </cell>
          <cell r="B5881" t="str">
            <v>PW FC 9x5 HD返却不要1年 DL360pGen8 IC</v>
          </cell>
          <cell r="C5881" t="str">
            <v>【ファウンデーションケア】</v>
          </cell>
        </row>
        <row r="5882">
          <cell r="A5882" t="str">
            <v>U6YW8PE</v>
          </cell>
          <cell r="B5882" t="str">
            <v>PW FC 翌日 1年 c7000 16ICDCE付属用</v>
          </cell>
          <cell r="C5882" t="str">
            <v>【ファウンデーションケア】</v>
          </cell>
        </row>
        <row r="5883">
          <cell r="A5883" t="str">
            <v>U6YW9PE</v>
          </cell>
          <cell r="B5883" t="str">
            <v>PW FC 24x7 1年 c7000 16ICDCE付属用</v>
          </cell>
          <cell r="C5883" t="str">
            <v>【ファウンデーションケア】</v>
          </cell>
        </row>
        <row r="5884">
          <cell r="A5884" t="str">
            <v>U6YX0PE</v>
          </cell>
          <cell r="B5884" t="str">
            <v>PW FC 9x5 1年 c7000 16ICDCE付属用</v>
          </cell>
          <cell r="C5884" t="str">
            <v>【ファウンデーションケア】</v>
          </cell>
        </row>
        <row r="5885">
          <cell r="A5885" t="str">
            <v>U7AE5E</v>
          </cell>
          <cell r="B5885" t="str">
            <v>FC 24x7 3年 DL380 Gen9用</v>
          </cell>
          <cell r="C5885" t="str">
            <v>【ファウンデーションケア】</v>
          </cell>
        </row>
        <row r="5886">
          <cell r="A5886" t="str">
            <v>U7AE6E</v>
          </cell>
          <cell r="B5886" t="str">
            <v>FC 24x7 HD返却不要 3年 DL380 Gen9用</v>
          </cell>
          <cell r="C5886" t="str">
            <v>【ファウンデーションケア】</v>
          </cell>
        </row>
        <row r="5887">
          <cell r="A5887" t="str">
            <v>U7AE8E</v>
          </cell>
          <cell r="B5887" t="str">
            <v>ProCare 24x7 3年 ProLiant DL380 Gen9用</v>
          </cell>
          <cell r="C5887" t="str">
            <v>【HPEプロアクティブケア】メーカー推奨／低価格で国内専用窓口の高品質な保守により、システム運用における安心を提供します。</v>
          </cell>
        </row>
        <row r="5888">
          <cell r="A5888" t="str">
            <v>U7AE9E</v>
          </cell>
          <cell r="B5888" t="str">
            <v>ProCare HD返却不要 24x7 3年 DL380 Gen9用</v>
          </cell>
          <cell r="C5888" t="str">
            <v>【HPEプロアクティブケア】メーカー推奨／低価格で国内専用窓口の高品質な保守により、システム運用における安心を提供します。</v>
          </cell>
        </row>
        <row r="5889">
          <cell r="A5889" t="str">
            <v>U7AG3E</v>
          </cell>
          <cell r="B5889" t="str">
            <v>FC 24x7 4年 DL380 Gen9用</v>
          </cell>
          <cell r="C5889" t="str">
            <v>【ファウンデーションケア】</v>
          </cell>
        </row>
        <row r="5890">
          <cell r="A5890" t="str">
            <v>U7AG4E</v>
          </cell>
          <cell r="B5890" t="str">
            <v>FC 24x7 HD返却不要 4年 DL380 Gen9用</v>
          </cell>
          <cell r="C5890" t="str">
            <v>【ファウンデーションケア】</v>
          </cell>
        </row>
        <row r="5891">
          <cell r="A5891" t="str">
            <v>U7AG6E</v>
          </cell>
          <cell r="B5891" t="str">
            <v>ProCare 24x7 4年 ProLiant DL380 Gen9用</v>
          </cell>
          <cell r="C5891" t="str">
            <v>【HPEプロアクティブケア】メーカー推奨／低価格で国内専用窓口の高品質な保守により、システム運用における安心を提供します。</v>
          </cell>
        </row>
        <row r="5892">
          <cell r="A5892" t="str">
            <v>U7AG7E</v>
          </cell>
          <cell r="B5892" t="str">
            <v>ProCare HD返却不要 24x7 4年 DL380 Gen9用</v>
          </cell>
          <cell r="C5892" t="str">
            <v>【HPEプロアクティブケア】メーカー推奨／低価格で国内専用窓口の高品質な保守により、システム運用における安心を提供します。</v>
          </cell>
        </row>
        <row r="5893">
          <cell r="A5893" t="str">
            <v>U7AJ1E</v>
          </cell>
          <cell r="B5893" t="str">
            <v>FC 24x7 5年 DL380 Gen9用</v>
          </cell>
          <cell r="C5893" t="str">
            <v>【ファウンデーションケア】</v>
          </cell>
        </row>
        <row r="5894">
          <cell r="A5894" t="str">
            <v>U7AJ2E</v>
          </cell>
          <cell r="B5894" t="str">
            <v>FC 24x7 HD返却不要 5年 DL380 Gen9用</v>
          </cell>
          <cell r="C5894" t="str">
            <v>【ファウンデーションケア】</v>
          </cell>
        </row>
        <row r="5895">
          <cell r="A5895" t="str">
            <v>U7AJ4E</v>
          </cell>
          <cell r="B5895" t="str">
            <v>ProCare 24x7 5年 ProLiant DL380 Gen9用</v>
          </cell>
          <cell r="C5895" t="str">
            <v>【HPEプロアクティブケア】メーカー推奨／低価格で国内専用窓口の高品質な保守により、システム運用における安心を提供します。</v>
          </cell>
        </row>
        <row r="5896">
          <cell r="A5896" t="str">
            <v>U7AJ5E</v>
          </cell>
          <cell r="B5896" t="str">
            <v>ProCare HD返却不要 24x7 5年 DL380 Gen9用</v>
          </cell>
          <cell r="C5896" t="str">
            <v>【HPEプロアクティブケア】メーカー推奨／低価格で国内専用窓口の高品質な保守により、システム運用における安心を提供します。</v>
          </cell>
        </row>
        <row r="5897">
          <cell r="A5897" t="str">
            <v>U7AK7E</v>
          </cell>
          <cell r="B5897" t="str">
            <v>FC 9x5 3年 DL380 Gen9用</v>
          </cell>
          <cell r="C5897" t="str">
            <v>【ファウンデーションケア】</v>
          </cell>
        </row>
        <row r="5898">
          <cell r="A5898" t="str">
            <v>U7AK8E</v>
          </cell>
          <cell r="B5898" t="str">
            <v>FC 9x5 HD返却不要 3年 DL380 Gen9用</v>
          </cell>
          <cell r="C5898" t="str">
            <v>【ファウンデーションケア】</v>
          </cell>
        </row>
        <row r="5899">
          <cell r="A5899" t="str">
            <v>U7AK9E</v>
          </cell>
          <cell r="B5899" t="str">
            <v>FC 9x5 4年 DL380 Gen9用</v>
          </cell>
          <cell r="C5899" t="str">
            <v>【ファウンデーションケア】</v>
          </cell>
        </row>
        <row r="5900">
          <cell r="A5900" t="str">
            <v>U7AL0E</v>
          </cell>
          <cell r="B5900" t="str">
            <v>FC 9x5 HD返却不要 4年 DL380 Gen9用</v>
          </cell>
          <cell r="C5900" t="str">
            <v>【ファウンデーションケア】</v>
          </cell>
        </row>
        <row r="5901">
          <cell r="A5901" t="str">
            <v>U7AL1E</v>
          </cell>
          <cell r="B5901" t="str">
            <v>FC 9x5 5年 DL380 Gen9用</v>
          </cell>
          <cell r="C5901" t="str">
            <v>【ファウンデーションケア】</v>
          </cell>
        </row>
        <row r="5902">
          <cell r="A5902" t="str">
            <v>U7AL2E</v>
          </cell>
          <cell r="B5902" t="str">
            <v>FC 9x5 HD返却不要 5年 DL380 Gen9用</v>
          </cell>
          <cell r="C5902" t="str">
            <v>【ファウンデーションケア】</v>
          </cell>
        </row>
        <row r="5903">
          <cell r="A5903" t="str">
            <v>U7AL9E</v>
          </cell>
          <cell r="B5903" t="str">
            <v>FC 24x7 3年 DL360 Gen9用</v>
          </cell>
          <cell r="C5903" t="str">
            <v>【ファウンデーションケア】</v>
          </cell>
        </row>
        <row r="5904">
          <cell r="A5904" t="str">
            <v>U7AM0E</v>
          </cell>
          <cell r="B5904" t="str">
            <v>FC 24x7 HD返却不要 3年 DL360 Gen9用</v>
          </cell>
          <cell r="C5904" t="str">
            <v>【ファウンデーションケア】</v>
          </cell>
        </row>
        <row r="5905">
          <cell r="A5905" t="str">
            <v>U7AM2E</v>
          </cell>
          <cell r="B5905" t="str">
            <v>ProCare 24x7 3年 ProLiant DL360 Gen9用</v>
          </cell>
          <cell r="C5905" t="str">
            <v>【HPEプロアクティブケア】メーカー推奨／低価格で国内専用窓口の高品質な保守により、システム運用における安心を提供します。</v>
          </cell>
        </row>
        <row r="5906">
          <cell r="A5906" t="str">
            <v>U7AM3E</v>
          </cell>
          <cell r="B5906" t="str">
            <v>ProCare HD返却不要 24x7 3年 DL360 Gen9用</v>
          </cell>
          <cell r="C5906" t="str">
            <v>【HPEプロアクティブケア】メーカー推奨／低価格で国内専用窓口の高品質な保守により、システム運用における安心を提供します。</v>
          </cell>
        </row>
        <row r="5907">
          <cell r="A5907" t="str">
            <v>U7AN7E</v>
          </cell>
          <cell r="B5907" t="str">
            <v>FC 24x7 4年 DL360 Gen9用</v>
          </cell>
          <cell r="C5907" t="str">
            <v>【ファウンデーションケア】</v>
          </cell>
        </row>
        <row r="5908">
          <cell r="A5908" t="str">
            <v>U7AN8E</v>
          </cell>
          <cell r="B5908" t="str">
            <v>FC 24x7 HD返却不要 4年 DL360 Gen9用</v>
          </cell>
          <cell r="C5908" t="str">
            <v>【ファウンデーションケア】</v>
          </cell>
        </row>
        <row r="5909">
          <cell r="A5909" t="str">
            <v>U7AP0E</v>
          </cell>
          <cell r="B5909" t="str">
            <v>ProCare 24x7 4年 ProLiant DL360 Gen9用</v>
          </cell>
          <cell r="C5909" t="str">
            <v>【HPEプロアクティブケア】メーカー推奨／低価格で国内専用窓口の高品質な保守により、システム運用における安心を提供します。</v>
          </cell>
        </row>
        <row r="5910">
          <cell r="A5910" t="str">
            <v>U7AP1E</v>
          </cell>
          <cell r="B5910" t="str">
            <v>ProCare HD返却不要 24x7 4年 DL360 Gen9用</v>
          </cell>
          <cell r="C5910" t="str">
            <v>【HPEプロアクティブケア】メーカー推奨／低価格で国内専用窓口の高品質な保守により、システム運用における安心を提供します。</v>
          </cell>
        </row>
        <row r="5911">
          <cell r="A5911" t="str">
            <v>U7AQ5E</v>
          </cell>
          <cell r="B5911" t="str">
            <v>FC 24x7 5年 DL360 Gen9用</v>
          </cell>
          <cell r="C5911" t="str">
            <v>【ファウンデーションケア】</v>
          </cell>
        </row>
        <row r="5912">
          <cell r="A5912" t="str">
            <v>U7AQ6E</v>
          </cell>
          <cell r="B5912" t="str">
            <v>FC 24x7 HD返却不要 5年 DL360 Gen9用</v>
          </cell>
          <cell r="C5912" t="str">
            <v>【ファウンデーションケア】</v>
          </cell>
        </row>
        <row r="5913">
          <cell r="A5913" t="str">
            <v>U7AQ8E</v>
          </cell>
          <cell r="B5913" t="str">
            <v>ProCare 24x7 5年 ProLiant DL360 Gen9用</v>
          </cell>
          <cell r="C5913" t="str">
            <v>【HPEプロアクティブケア】メーカー推奨／低価格で国内専用窓口の高品質な保守により、システム運用における安心を提供します。</v>
          </cell>
        </row>
        <row r="5914">
          <cell r="A5914" t="str">
            <v>U7AQ9E</v>
          </cell>
          <cell r="B5914" t="str">
            <v>ProCare HD返却不要 24x7 5年 DL360 Gen9用</v>
          </cell>
          <cell r="C5914" t="str">
            <v>【HPEプロアクティブケア】メーカー推奨／低価格で国内専用窓口の高品質な保守により、システム運用における安心を提供します。</v>
          </cell>
        </row>
        <row r="5915">
          <cell r="A5915" t="str">
            <v>U7AS1E</v>
          </cell>
          <cell r="B5915" t="str">
            <v>FC 9x5 3年 DL360 Gen9用</v>
          </cell>
          <cell r="C5915" t="str">
            <v>【ファウンデーションケア】</v>
          </cell>
        </row>
        <row r="5916">
          <cell r="A5916" t="str">
            <v>U7AS2E</v>
          </cell>
          <cell r="B5916" t="str">
            <v>FC 9x5 HD返却不要 3年 DL360 Gen9用</v>
          </cell>
          <cell r="C5916" t="str">
            <v>【ファウンデーションケア】</v>
          </cell>
        </row>
        <row r="5917">
          <cell r="A5917" t="str">
            <v>U7AS3E</v>
          </cell>
          <cell r="B5917" t="str">
            <v>FC 9x5 4年 DL360 Gen9用</v>
          </cell>
          <cell r="C5917" t="str">
            <v>【ファウンデーションケア】</v>
          </cell>
        </row>
        <row r="5918">
          <cell r="A5918" t="str">
            <v>U7AS4E</v>
          </cell>
          <cell r="B5918" t="str">
            <v>FC 9x5 HD返却不要 4年 DL360 Gen9用</v>
          </cell>
          <cell r="C5918" t="str">
            <v>【ファウンデーションケア】</v>
          </cell>
        </row>
        <row r="5919">
          <cell r="A5919" t="str">
            <v>U7AS5E</v>
          </cell>
          <cell r="B5919" t="str">
            <v>FC 9x5 5年 DL360 Gen9用</v>
          </cell>
          <cell r="C5919" t="str">
            <v>【ファウンデーションケア】</v>
          </cell>
        </row>
        <row r="5920">
          <cell r="A5920" t="str">
            <v>U7AS6E</v>
          </cell>
          <cell r="B5920" t="str">
            <v>FC 9x5 HD返却不要 5年 DL360 Gen9用</v>
          </cell>
          <cell r="C5920" t="str">
            <v>【ファウンデーションケア】</v>
          </cell>
        </row>
        <row r="5921">
          <cell r="A5921" t="str">
            <v>U7AT3E</v>
          </cell>
          <cell r="B5921" t="str">
            <v>FC 24x7 3年 DL180 Gen9用</v>
          </cell>
          <cell r="C5921" t="str">
            <v>【ファウンデーションケア】</v>
          </cell>
        </row>
        <row r="5922">
          <cell r="A5922" t="str">
            <v>U7AT4E</v>
          </cell>
          <cell r="B5922" t="str">
            <v>FC 24x7 HD返却不要 3年 DL180 Gen9用</v>
          </cell>
          <cell r="C5922" t="str">
            <v>【ファウンデーションケア】</v>
          </cell>
        </row>
        <row r="5923">
          <cell r="A5923" t="str">
            <v>U7AT6E</v>
          </cell>
          <cell r="B5923" t="str">
            <v>ProCare 24x7 3年 ProLiant DL180 Gen9用</v>
          </cell>
          <cell r="C5923" t="str">
            <v>【HPEプロアクティブケア】メーカー推奨／低価格で国内専用窓口の高品質な保守により、システム運用における安心を提供します。</v>
          </cell>
        </row>
        <row r="5924">
          <cell r="A5924" t="str">
            <v>U7AT7E</v>
          </cell>
          <cell r="B5924" t="str">
            <v>ProCare HD返却不要 24x7 3年 DL180 Gen9用</v>
          </cell>
          <cell r="C5924" t="str">
            <v>【HPEプロアクティブケア】メーカー推奨／低価格で国内専用窓口の高品質な保守により、システム運用における安心を提供します。</v>
          </cell>
        </row>
        <row r="5925">
          <cell r="A5925" t="str">
            <v>U7AV1E</v>
          </cell>
          <cell r="B5925" t="str">
            <v>FC 24x7 4年 DL180 Gen9用</v>
          </cell>
          <cell r="C5925" t="str">
            <v>【ファウンデーションケア】</v>
          </cell>
        </row>
        <row r="5926">
          <cell r="A5926" t="str">
            <v>U7AV2E</v>
          </cell>
          <cell r="B5926" t="str">
            <v>FC 24x7 HD返却不要 4年 DL180 Gen9用</v>
          </cell>
          <cell r="C5926" t="str">
            <v>【ファウンデーションケア】</v>
          </cell>
        </row>
        <row r="5927">
          <cell r="A5927" t="str">
            <v>U7AV4E</v>
          </cell>
          <cell r="B5927" t="str">
            <v>ProCare 24x7 4年 ProLiant DL180 Gen9用</v>
          </cell>
          <cell r="C5927" t="str">
            <v>【HPEプロアクティブケア】メーカー推奨／低価格で国内専用窓口の高品質な保守により、システム運用における安心を提供します。</v>
          </cell>
        </row>
        <row r="5928">
          <cell r="A5928" t="str">
            <v>U7AV5E</v>
          </cell>
          <cell r="B5928" t="str">
            <v>ProCare HD返却不要 24x7 4年 DL180 Gen9用</v>
          </cell>
          <cell r="C5928" t="str">
            <v>【HPEプロアクティブケア】メーカー推奨／低価格で国内専用窓口の高品質な保守により、システム運用における安心を提供します。</v>
          </cell>
        </row>
        <row r="5929">
          <cell r="A5929" t="str">
            <v>U7AW9E</v>
          </cell>
          <cell r="B5929" t="str">
            <v>FC 24x7 5年 DL180 Gen9用</v>
          </cell>
          <cell r="C5929" t="str">
            <v>【ファウンデーションケア】</v>
          </cell>
        </row>
        <row r="5930">
          <cell r="A5930" t="str">
            <v>U7AX0E</v>
          </cell>
          <cell r="B5930" t="str">
            <v>FC 24x7 HD返却不要 5年 DL180 Gen9用</v>
          </cell>
          <cell r="C5930" t="str">
            <v>【ファウンデーションケア】</v>
          </cell>
        </row>
        <row r="5931">
          <cell r="A5931" t="str">
            <v>U7AX2E</v>
          </cell>
          <cell r="B5931" t="str">
            <v>ProCare 24x7 5年 ProLiant DL180 Gen9用</v>
          </cell>
          <cell r="C5931" t="str">
            <v>【HPEプロアクティブケア】メーカー推奨／低価格で国内専用窓口の高品質な保守により、システム運用における安心を提供します。</v>
          </cell>
        </row>
        <row r="5932">
          <cell r="A5932" t="str">
            <v>U7AX3E</v>
          </cell>
          <cell r="B5932" t="str">
            <v>ProCare HD返却不要 24x7 5年 DL180 Gen9用</v>
          </cell>
          <cell r="C5932" t="str">
            <v>【HPEプロアクティブケア】メーカー推奨／低価格で国内専用窓口の高品質な保守により、システム運用における安心を提供します。</v>
          </cell>
        </row>
        <row r="5933">
          <cell r="A5933" t="str">
            <v>U7AY5E</v>
          </cell>
          <cell r="B5933" t="str">
            <v>FC 9x5 3年 DL180 Gen9用</v>
          </cell>
          <cell r="C5933" t="str">
            <v>【ファウンデーションケア】</v>
          </cell>
        </row>
        <row r="5934">
          <cell r="A5934" t="str">
            <v>U7AY6E</v>
          </cell>
          <cell r="B5934" t="str">
            <v>FC 9x5 HD返却不要 3年 DL180 Gen9用</v>
          </cell>
          <cell r="C5934" t="str">
            <v>【ファウンデーションケア】</v>
          </cell>
        </row>
        <row r="5935">
          <cell r="A5935" t="str">
            <v>U7AY7E</v>
          </cell>
          <cell r="B5935" t="str">
            <v>FC 9x5 4年 DL180 Gen9用</v>
          </cell>
          <cell r="C5935" t="str">
            <v>【ファウンデーションケア】</v>
          </cell>
        </row>
        <row r="5936">
          <cell r="A5936" t="str">
            <v>U7AY8E</v>
          </cell>
          <cell r="B5936" t="str">
            <v>FC 9x5 HD返却不要 4年 DL180 Gen9用</v>
          </cell>
          <cell r="C5936" t="str">
            <v>【ファウンデーションケア】</v>
          </cell>
        </row>
        <row r="5937">
          <cell r="A5937" t="str">
            <v>U7AY9E</v>
          </cell>
          <cell r="B5937" t="str">
            <v>FC 9x5 5年 DL180 Gen9用</v>
          </cell>
          <cell r="C5937" t="str">
            <v>【ファウンデーションケア】</v>
          </cell>
        </row>
        <row r="5938">
          <cell r="A5938" t="str">
            <v>U7AZ0E</v>
          </cell>
          <cell r="B5938" t="str">
            <v>FC 9x5 HD返却不要 5年 DL180 Gen9用</v>
          </cell>
          <cell r="C5938" t="str">
            <v>【ファウンデーションケア】</v>
          </cell>
        </row>
        <row r="5939">
          <cell r="A5939" t="str">
            <v>U7AZ7E</v>
          </cell>
          <cell r="B5939" t="str">
            <v>FC 24x7 3年 DL160 Gen9用</v>
          </cell>
          <cell r="C5939" t="str">
            <v>【ファウンデーションケア】</v>
          </cell>
        </row>
        <row r="5940">
          <cell r="A5940" t="str">
            <v>U7AZ8E</v>
          </cell>
          <cell r="B5940" t="str">
            <v>FC 24x7 HD返却不要 3年 DL160 Gen9用</v>
          </cell>
          <cell r="C5940" t="str">
            <v>【ファウンデーションケア】</v>
          </cell>
        </row>
        <row r="5941">
          <cell r="A5941" t="str">
            <v>U7BA0E</v>
          </cell>
          <cell r="B5941" t="str">
            <v>ProCare 24x7 3年 ProLiant DL160 Gen9用</v>
          </cell>
          <cell r="C5941" t="str">
            <v>【HPEプロアクティブケア】メーカー推奨／低価格で国内専用窓口の高品質な保守により、システム運用における安心を提供します。</v>
          </cell>
        </row>
        <row r="5942">
          <cell r="A5942" t="str">
            <v>U7BA1E</v>
          </cell>
          <cell r="B5942" t="str">
            <v>ProCare HD返却不要 24x7 3年 DL160 Gen9用</v>
          </cell>
          <cell r="C5942" t="str">
            <v>【HPEプロアクティブケア】メーカー推奨／低価格で国内専用窓口の高品質な保守により、システム運用における安心を提供します。</v>
          </cell>
        </row>
        <row r="5943">
          <cell r="A5943" t="str">
            <v>U7BB5E</v>
          </cell>
          <cell r="B5943" t="str">
            <v>FC 24x7 4年 DL160 Gen9用</v>
          </cell>
          <cell r="C5943" t="str">
            <v>【ファウンデーションケア】</v>
          </cell>
        </row>
        <row r="5944">
          <cell r="A5944" t="str">
            <v>U7BB6E</v>
          </cell>
          <cell r="B5944" t="str">
            <v>FC 24x7 HD返却不要 4年 DL160 Gen9用</v>
          </cell>
          <cell r="C5944" t="str">
            <v>【ファウンデーションケア】</v>
          </cell>
        </row>
        <row r="5945">
          <cell r="A5945" t="str">
            <v>U7BB8E</v>
          </cell>
          <cell r="B5945" t="str">
            <v>ProCare 24x7 4年 ProLiant DL160 Gen9用</v>
          </cell>
          <cell r="C5945" t="str">
            <v>【HPEプロアクティブケア】メーカー推奨／低価格で国内専用窓口の高品質な保守により、システム運用における安心を提供します。</v>
          </cell>
        </row>
        <row r="5946">
          <cell r="A5946" t="str">
            <v>U7BB9E</v>
          </cell>
          <cell r="B5946" t="str">
            <v>ProCare HD返却不要 24x7 4年 DL160 Gen9用</v>
          </cell>
          <cell r="C5946" t="str">
            <v>【HPEプロアクティブケア】メーカー推奨／低価格で国内専用窓口の高品質な保守により、システム運用における安心を提供します。</v>
          </cell>
        </row>
        <row r="5947">
          <cell r="A5947" t="str">
            <v>U7BD3E</v>
          </cell>
          <cell r="B5947" t="str">
            <v>FC 24x7 5年 DL160 Gen9用</v>
          </cell>
          <cell r="C5947" t="str">
            <v>【ファウンデーションケア】</v>
          </cell>
        </row>
        <row r="5948">
          <cell r="A5948" t="str">
            <v>U7BD4E</v>
          </cell>
          <cell r="B5948" t="str">
            <v>FC 24x7 HD返却不要 5年 DL160 Gen9用</v>
          </cell>
          <cell r="C5948" t="str">
            <v>【ファウンデーションケア】</v>
          </cell>
        </row>
        <row r="5949">
          <cell r="A5949" t="str">
            <v>U7BD6E</v>
          </cell>
          <cell r="B5949" t="str">
            <v>ProCare 24x7 5年 ProLiant DL160 Gen9用</v>
          </cell>
          <cell r="C5949" t="str">
            <v>【HPEプロアクティブケア】メーカー推奨／低価格で国内専用窓口の高品質な保守により、システム運用における安心を提供します。</v>
          </cell>
        </row>
        <row r="5950">
          <cell r="A5950" t="str">
            <v>U7BD7E</v>
          </cell>
          <cell r="B5950" t="str">
            <v>ProCare HD返却不要 24x7 5年 DL160 Gen9用</v>
          </cell>
          <cell r="C5950" t="str">
            <v>【HPEプロアクティブケア】メーカー推奨／低価格で国内専用窓口の高品質な保守により、システム運用における安心を提供します。</v>
          </cell>
        </row>
        <row r="5951">
          <cell r="A5951" t="str">
            <v>U7BE9E</v>
          </cell>
          <cell r="B5951" t="str">
            <v>FC 9x5 3年 DL160 Gen9用</v>
          </cell>
          <cell r="C5951" t="str">
            <v>【ファウンデーションケア】</v>
          </cell>
        </row>
        <row r="5952">
          <cell r="A5952" t="str">
            <v>U7BF0E</v>
          </cell>
          <cell r="B5952" t="str">
            <v>FC 9x5 HD返却不要 3年 DL160 Gen9用</v>
          </cell>
          <cell r="C5952" t="str">
            <v>【ファウンデーションケア】</v>
          </cell>
        </row>
        <row r="5953">
          <cell r="A5953" t="str">
            <v>U7BF1E</v>
          </cell>
          <cell r="B5953" t="str">
            <v>FC 9x5 4年 DL160 Gen9用</v>
          </cell>
          <cell r="C5953" t="str">
            <v>【ファウンデーションケア】</v>
          </cell>
        </row>
        <row r="5954">
          <cell r="A5954" t="str">
            <v>U7BF2E</v>
          </cell>
          <cell r="B5954" t="str">
            <v>FC 9x5 HD返却不要 4年 DL160 Gen9用</v>
          </cell>
          <cell r="C5954" t="str">
            <v>【ファウンデーションケア】</v>
          </cell>
        </row>
        <row r="5955">
          <cell r="A5955" t="str">
            <v>U7BF3E</v>
          </cell>
          <cell r="B5955" t="str">
            <v>FC 9x5 5年 DL160 Gen9用</v>
          </cell>
          <cell r="C5955" t="str">
            <v>【ファウンデーションケア】</v>
          </cell>
        </row>
        <row r="5956">
          <cell r="A5956" t="str">
            <v>U7BF4E</v>
          </cell>
          <cell r="B5956" t="str">
            <v>FC 9x5 HD返却不要 5年 DL160 Gen9用</v>
          </cell>
          <cell r="C5956" t="str">
            <v>【ファウンデーションケア】</v>
          </cell>
        </row>
        <row r="5957">
          <cell r="A5957" t="str">
            <v>U7BG1E</v>
          </cell>
          <cell r="B5957" t="str">
            <v>FC 24x7 3年 ML350 Gen9用</v>
          </cell>
          <cell r="C5957" t="str">
            <v>【ファウンデーションケア】</v>
          </cell>
        </row>
        <row r="5958">
          <cell r="A5958" t="str">
            <v>U7BG2E</v>
          </cell>
          <cell r="B5958" t="str">
            <v>FC 24x7 HD返却不要 3年 ML350 Gen9用</v>
          </cell>
          <cell r="C5958" t="str">
            <v>【ファウンデーションケア】</v>
          </cell>
        </row>
        <row r="5959">
          <cell r="A5959" t="str">
            <v>U7BG4E</v>
          </cell>
          <cell r="B5959" t="str">
            <v>ProCare 24x7 3年 ProLiant ML350 Gen9用</v>
          </cell>
          <cell r="C5959" t="str">
            <v>【HPEプロアクティブケア】メーカー推奨／低価格で国内専用窓口の高品質な保守により、システム運用における安心を提供します。</v>
          </cell>
        </row>
        <row r="5960">
          <cell r="A5960" t="str">
            <v>U7BG5E</v>
          </cell>
          <cell r="B5960" t="str">
            <v>ProCare HD返却不要 24x7 3年 ML350 Gen9用</v>
          </cell>
          <cell r="C5960" t="str">
            <v>【HPEプロアクティブケア】メーカー推奨／低価格で国内専用窓口の高品質な保守により、システム運用における安心を提供します。</v>
          </cell>
        </row>
        <row r="5961">
          <cell r="A5961" t="str">
            <v>U7BH9E</v>
          </cell>
          <cell r="B5961" t="str">
            <v>FC 24x7 4年 ML350 Gen9用</v>
          </cell>
          <cell r="C5961" t="str">
            <v>【ファウンデーションケア】</v>
          </cell>
        </row>
        <row r="5962">
          <cell r="A5962" t="str">
            <v>U7BJ0E</v>
          </cell>
          <cell r="B5962" t="str">
            <v>FC 24x7 HD返却不要 4年 ML350 Gen9用</v>
          </cell>
          <cell r="C5962" t="str">
            <v>【ファウンデーションケア】</v>
          </cell>
        </row>
        <row r="5963">
          <cell r="A5963" t="str">
            <v>U7BJ2E</v>
          </cell>
          <cell r="B5963" t="str">
            <v>ProCare 24x7 4年 ProLiant ML350 Gen9用</v>
          </cell>
          <cell r="C5963" t="str">
            <v>【HPEプロアクティブケア】メーカー推奨／低価格で国内専用窓口の高品質な保守により、システム運用における安心を提供します。</v>
          </cell>
        </row>
        <row r="5964">
          <cell r="A5964" t="str">
            <v>U7BJ3E</v>
          </cell>
          <cell r="B5964" t="str">
            <v>ProCare HD返却不要 24x7 4年 ML350 Gen9用</v>
          </cell>
          <cell r="C5964" t="str">
            <v>【HPEプロアクティブケア】メーカー推奨／低価格で国内専用窓口の高品質な保守により、システム運用における安心を提供します。</v>
          </cell>
        </row>
        <row r="5965">
          <cell r="A5965" t="str">
            <v>U7BK7E</v>
          </cell>
          <cell r="B5965" t="str">
            <v>FC 24x7 5年 ML350 Gen9用</v>
          </cell>
          <cell r="C5965" t="str">
            <v>【ファウンデーションケア】</v>
          </cell>
        </row>
        <row r="5966">
          <cell r="A5966" t="str">
            <v>U7BK8E</v>
          </cell>
          <cell r="B5966" t="str">
            <v>FC 24x7 HD返却不要 5年 ML350 Gen9用</v>
          </cell>
          <cell r="C5966" t="str">
            <v>【ファウンデーションケア】</v>
          </cell>
        </row>
        <row r="5967">
          <cell r="A5967" t="str">
            <v>U7BL0E</v>
          </cell>
          <cell r="B5967" t="str">
            <v>ProCare 24x7 5年 ProLiant ML350 Gen9用</v>
          </cell>
          <cell r="C5967" t="str">
            <v>【HPEプロアクティブケア】メーカー推奨／低価格で国内専用窓口の高品質な保守により、システム運用における安心を提供します。</v>
          </cell>
        </row>
        <row r="5968">
          <cell r="A5968" t="str">
            <v>U7BL1E</v>
          </cell>
          <cell r="B5968" t="str">
            <v>ProCare HD返却不要 24x7 5年 ML350 Gen9用</v>
          </cell>
          <cell r="C5968" t="str">
            <v>【HPEプロアクティブケア】メーカー推奨／低価格で国内専用窓口の高品質な保守により、システム運用における安心を提供します。</v>
          </cell>
        </row>
        <row r="5969">
          <cell r="A5969" t="str">
            <v>U7BM3E</v>
          </cell>
          <cell r="B5969" t="str">
            <v>FC 9x5 3年 ML350 Gen9用</v>
          </cell>
          <cell r="C5969" t="str">
            <v>【ファウンデーションケア】</v>
          </cell>
        </row>
        <row r="5970">
          <cell r="A5970" t="str">
            <v>U7BM4E</v>
          </cell>
          <cell r="B5970" t="str">
            <v>FC 9x5 HD返却不要 3年 ML350 Gen9用</v>
          </cell>
          <cell r="C5970" t="str">
            <v>【ファウンデーションケア】</v>
          </cell>
        </row>
        <row r="5971">
          <cell r="A5971" t="str">
            <v>U7BM5E</v>
          </cell>
          <cell r="B5971" t="str">
            <v>FC 9x5 4年 ML350 Gen9用</v>
          </cell>
          <cell r="C5971" t="str">
            <v>【ファウンデーションケア】</v>
          </cell>
        </row>
        <row r="5972">
          <cell r="A5972" t="str">
            <v>U7BM6E</v>
          </cell>
          <cell r="B5972" t="str">
            <v>FC 9x5 HD返却不要 4年 ML350 Gen9用</v>
          </cell>
          <cell r="C5972" t="str">
            <v>【ファウンデーションケア】</v>
          </cell>
        </row>
        <row r="5973">
          <cell r="A5973" t="str">
            <v>U7BM7E</v>
          </cell>
          <cell r="B5973" t="str">
            <v>FC 9x5 5年 ML350 Gen9用</v>
          </cell>
          <cell r="C5973" t="str">
            <v>【ファウンデーションケア】</v>
          </cell>
        </row>
        <row r="5974">
          <cell r="A5974" t="str">
            <v>U7BM8E</v>
          </cell>
          <cell r="B5974" t="str">
            <v>FC 9x5 HD返却不要 5年 ML350 Gen9用</v>
          </cell>
          <cell r="C5974" t="str">
            <v>【ファウンデーションケア】</v>
          </cell>
        </row>
        <row r="5975">
          <cell r="A5975" t="str">
            <v>U7BN5E</v>
          </cell>
          <cell r="B5975" t="str">
            <v>FC 24x7 3年 BL4xxc Gen9用</v>
          </cell>
          <cell r="C5975" t="str">
            <v>【ファウンデーションケア】</v>
          </cell>
        </row>
        <row r="5976">
          <cell r="A5976" t="str">
            <v>U7BN6E</v>
          </cell>
          <cell r="B5976" t="str">
            <v>FC 24x7 HD返却不要 3年 BL4xxc Gen9用</v>
          </cell>
          <cell r="C5976" t="str">
            <v>【ファウンデーションケア】</v>
          </cell>
        </row>
        <row r="5977">
          <cell r="A5977" t="str">
            <v>U7BN8E</v>
          </cell>
          <cell r="B5977" t="str">
            <v>ProCare 24x7 3年 ProLiant BL4xxc Gen9用</v>
          </cell>
          <cell r="C5977" t="str">
            <v>【HPEプロアクティブケア】メーカー推奨／低価格で国内専用窓口の高品質な保守により、システム運用における安心を提供します。</v>
          </cell>
        </row>
        <row r="5978">
          <cell r="A5978" t="str">
            <v>U7BN9E</v>
          </cell>
          <cell r="B5978" t="str">
            <v>ProCare HD返却不要 24x7 3年 BL4xxc Gen9</v>
          </cell>
          <cell r="C5978" t="str">
            <v>【HPEプロアクティブケア】メーカー推奨／低価格で国内専用窓口の高品質な保守により、システム運用における安心を提供します。</v>
          </cell>
        </row>
        <row r="5979">
          <cell r="A5979" t="str">
            <v>U7BP7E</v>
          </cell>
          <cell r="B5979" t="str">
            <v>FC 翌日 4年 BL4xxc Gen9用</v>
          </cell>
          <cell r="C5979" t="str">
            <v>【ファウンデーションケア】</v>
          </cell>
        </row>
        <row r="5980">
          <cell r="A5980" t="str">
            <v>U7BQ3E</v>
          </cell>
          <cell r="B5980" t="str">
            <v>FC 24x7 4年 BL4xxc Gen9用</v>
          </cell>
          <cell r="C5980" t="str">
            <v>【ファウンデーションケア】</v>
          </cell>
        </row>
        <row r="5981">
          <cell r="A5981" t="str">
            <v>U7BQ4E</v>
          </cell>
          <cell r="B5981" t="str">
            <v>FC 24x7 HD返却不要 4年 BL4xxc Gen9用</v>
          </cell>
          <cell r="C5981" t="str">
            <v>【ファウンデーションケア】</v>
          </cell>
        </row>
        <row r="5982">
          <cell r="A5982" t="str">
            <v>U7BQ6E</v>
          </cell>
          <cell r="B5982" t="str">
            <v>ProCare 24x7 4年 ProLiant BL4xxc Gen9用</v>
          </cell>
          <cell r="C5982" t="str">
            <v>【HPEプロアクティブケア】メーカー推奨／低価格で国内専用窓口の高品質な保守により、システム運用における安心を提供します。</v>
          </cell>
        </row>
        <row r="5983">
          <cell r="A5983" t="str">
            <v>U7BQ7E</v>
          </cell>
          <cell r="B5983" t="str">
            <v>ProCare HD返却不要 24x7 4年 BL4xxc Gen9</v>
          </cell>
          <cell r="C5983" t="str">
            <v>【HPEプロアクティブケア】メーカー推奨／低価格で国内専用窓口の高品質な保守により、システム運用における安心を提供します。</v>
          </cell>
        </row>
        <row r="5984">
          <cell r="A5984" t="str">
            <v>U7BR5E</v>
          </cell>
          <cell r="B5984" t="str">
            <v>FC 翌日 5年 BL4xxc Gen9用</v>
          </cell>
          <cell r="C5984" t="str">
            <v>【ファウンデーションケア】</v>
          </cell>
        </row>
        <row r="5985">
          <cell r="A5985" t="str">
            <v>U7BS1E</v>
          </cell>
          <cell r="B5985" t="str">
            <v>FC 24x7 5年 BL4xxc Gen9用</v>
          </cell>
          <cell r="C5985" t="str">
            <v>【ファウンデーションケア】</v>
          </cell>
        </row>
        <row r="5986">
          <cell r="A5986" t="str">
            <v>U7BS2E</v>
          </cell>
          <cell r="B5986" t="str">
            <v>FC 24x7 HD返却不要 5年 BL4xxc Gen9用</v>
          </cell>
          <cell r="C5986" t="str">
            <v>【ファウンデーションケア】</v>
          </cell>
        </row>
        <row r="5987">
          <cell r="A5987" t="str">
            <v>U7BS4E</v>
          </cell>
          <cell r="B5987" t="str">
            <v>ProCare 24x7 5年 ProLiant BL4xxc Gen9用</v>
          </cell>
          <cell r="C5987" t="str">
            <v>【HPEプロアクティブケア】メーカー推奨／低価格で国内専用窓口の高品質な保守により、システム運用における安心を提供します。</v>
          </cell>
        </row>
        <row r="5988">
          <cell r="A5988" t="str">
            <v>U7BS5E</v>
          </cell>
          <cell r="B5988" t="str">
            <v>ProCare HD返却不要 24x7 5年 BL4xxc Gen9</v>
          </cell>
          <cell r="C5988" t="str">
            <v>【HPEプロアクティブケア】メーカー推奨／低価格で国内専用窓口の高品質な保守により、システム運用における安心を提供します。</v>
          </cell>
        </row>
        <row r="5989">
          <cell r="A5989" t="str">
            <v>U7BT7E</v>
          </cell>
          <cell r="B5989" t="str">
            <v>FC 9x5 3年 BL4xxc Gen9用</v>
          </cell>
          <cell r="C5989" t="str">
            <v>【ファウンデーションケア】</v>
          </cell>
        </row>
        <row r="5990">
          <cell r="A5990" t="str">
            <v>U7BT8E</v>
          </cell>
          <cell r="B5990" t="str">
            <v>FC 9x5 HD返却不要 3年 BL4xxc Gen9用</v>
          </cell>
          <cell r="C5990" t="str">
            <v>【ファウンデーションケア】</v>
          </cell>
        </row>
        <row r="5991">
          <cell r="A5991" t="str">
            <v>U7BT9E</v>
          </cell>
          <cell r="B5991" t="str">
            <v>FC 9x5 4年 BL4xxc Gen9用</v>
          </cell>
          <cell r="C5991" t="str">
            <v>【ファウンデーションケア】</v>
          </cell>
        </row>
        <row r="5992">
          <cell r="A5992" t="str">
            <v>U7BU0E</v>
          </cell>
          <cell r="B5992" t="str">
            <v>FC 9x5 HD返却不要 4年 BL4xxc Gen9用</v>
          </cell>
          <cell r="C5992" t="str">
            <v>【ファウンデーションケア】</v>
          </cell>
        </row>
        <row r="5993">
          <cell r="A5993" t="str">
            <v>U7BU1E</v>
          </cell>
          <cell r="B5993" t="str">
            <v>FC 9x5 5年 BL4xxc Gen9用</v>
          </cell>
          <cell r="C5993" t="str">
            <v>【ファウンデーションケア】</v>
          </cell>
        </row>
        <row r="5994">
          <cell r="A5994" t="str">
            <v>U7BU2E</v>
          </cell>
          <cell r="B5994" t="str">
            <v>FC 9x5 HD返却不要 5年 BL4xxc Gen9用</v>
          </cell>
          <cell r="C5994" t="str">
            <v>【ファウンデーションケア】</v>
          </cell>
        </row>
        <row r="5995">
          <cell r="A5995" t="str">
            <v>U7VP0E</v>
          </cell>
          <cell r="B5995" t="str">
            <v>FC 24x7 3年 DL120 Gen9用</v>
          </cell>
          <cell r="C5995" t="str">
            <v>【ファウンデーションケア】</v>
          </cell>
        </row>
        <row r="5996">
          <cell r="A5996" t="str">
            <v>U7VP1E</v>
          </cell>
          <cell r="B5996" t="str">
            <v>FC 24x7 HD返却不要 3年 DL120 Gen9用</v>
          </cell>
          <cell r="C5996" t="str">
            <v>【ファウンデーションケア】</v>
          </cell>
        </row>
        <row r="5997">
          <cell r="A5997" t="str">
            <v>U7VP9E</v>
          </cell>
          <cell r="B5997" t="str">
            <v>FC 24x7 4年 DL120 Gen9用</v>
          </cell>
          <cell r="C5997" t="str">
            <v>【ファウンデーションケア】</v>
          </cell>
        </row>
        <row r="5998">
          <cell r="A5998" t="str">
            <v>U7VQ0E</v>
          </cell>
          <cell r="B5998" t="str">
            <v>FC 24x7 HD返却不要 4年 DL120 Gen9用</v>
          </cell>
          <cell r="C5998" t="str">
            <v>【ファウンデーションケア】</v>
          </cell>
        </row>
        <row r="5999">
          <cell r="A5999" t="str">
            <v>U7VQ8E</v>
          </cell>
          <cell r="B5999" t="str">
            <v>FC 24x7 5年 DL120 Gen9用</v>
          </cell>
          <cell r="C5999" t="str">
            <v>【ファウンデーションケア】</v>
          </cell>
        </row>
        <row r="6000">
          <cell r="A6000" t="str">
            <v>U7VQ9E</v>
          </cell>
          <cell r="B6000" t="str">
            <v>FC 24x7 HD返却不要 5年 DL120 Gen9用</v>
          </cell>
          <cell r="C6000" t="str">
            <v>【ファウンデーションケア】</v>
          </cell>
        </row>
        <row r="6001">
          <cell r="A6001" t="str">
            <v>U7VR7E</v>
          </cell>
          <cell r="B6001" t="str">
            <v>ProCare 24x7 3年 ProLiant DL120 Gen9用</v>
          </cell>
          <cell r="C6001" t="str">
            <v>【HPEプロアクティブケア】メーカー推奨／低価格で国内専用窓口の高品質な保守により、システム運用における安心を提供します。</v>
          </cell>
        </row>
        <row r="6002">
          <cell r="A6002" t="str">
            <v>U7VR8E</v>
          </cell>
          <cell r="B6002" t="str">
            <v>ProCare HD返却不要 24x7 3年 DL120 Gen9用</v>
          </cell>
          <cell r="C6002" t="str">
            <v>【HPEプロアクティブケア】メーカー推奨／低価格で国内専用窓口の高品質な保守により、システム運用における安心を提供します。</v>
          </cell>
        </row>
        <row r="6003">
          <cell r="A6003" t="str">
            <v>U7VS6E</v>
          </cell>
          <cell r="B6003" t="str">
            <v>ProCare 24x7 4年 ProLiant DL120 Gen9用</v>
          </cell>
          <cell r="C6003" t="str">
            <v>【HPEプロアクティブケア】メーカー推奨／低価格で国内専用窓口の高品質な保守により、システム運用における安心を提供します。</v>
          </cell>
        </row>
        <row r="6004">
          <cell r="A6004" t="str">
            <v>U7VS7E</v>
          </cell>
          <cell r="B6004" t="str">
            <v>ProCare HD返却不要 24x7 4年 DL120 Gen9用</v>
          </cell>
          <cell r="C6004" t="str">
            <v>【HPEプロアクティブケア】メーカー推奨／低価格で国内専用窓口の高品質な保守により、システム運用における安心を提供します。</v>
          </cell>
        </row>
        <row r="6005">
          <cell r="A6005" t="str">
            <v>U7VT5E</v>
          </cell>
          <cell r="B6005" t="str">
            <v>ProCare 24x7 5年 ProLiant DL120 Gen9用</v>
          </cell>
          <cell r="C6005" t="str">
            <v>【HPEプロアクティブケア】メーカー推奨／低価格で国内専用窓口の高品質な保守により、システム運用における安心を提供します。</v>
          </cell>
        </row>
        <row r="6006">
          <cell r="A6006" t="str">
            <v>U7VT6E</v>
          </cell>
          <cell r="B6006" t="str">
            <v>ProCare HD返却不要 24x7 5年 DL120 Gen9用</v>
          </cell>
          <cell r="C6006" t="str">
            <v>【HPEプロアクティブケア】メーカー推奨／低価格で国内専用窓口の高品質な保守により、システム運用における安心を提供します。</v>
          </cell>
        </row>
        <row r="6007">
          <cell r="A6007" t="str">
            <v>U7VW8E</v>
          </cell>
          <cell r="B6007" t="str">
            <v>FC 9x5 3年 DL120 Gen9用</v>
          </cell>
          <cell r="C6007" t="str">
            <v>【ファウンデーションケア】</v>
          </cell>
        </row>
        <row r="6008">
          <cell r="A6008" t="str">
            <v>U7VW9E</v>
          </cell>
          <cell r="B6008" t="str">
            <v>FC 9x5 HD返却不要 3年 DL120 Gen9用</v>
          </cell>
          <cell r="C6008" t="str">
            <v>【ファウンデーションケア】</v>
          </cell>
        </row>
        <row r="6009">
          <cell r="A6009" t="str">
            <v>U7VX0E</v>
          </cell>
          <cell r="B6009" t="str">
            <v>FC 9x5 4年 DL120 Gen9用</v>
          </cell>
          <cell r="C6009" t="str">
            <v>【ファウンデーションケア】</v>
          </cell>
        </row>
        <row r="6010">
          <cell r="A6010" t="str">
            <v>U7VX1E</v>
          </cell>
          <cell r="B6010" t="str">
            <v>FC 9x5 HD返却不要 4年 DL120 Gen9用</v>
          </cell>
          <cell r="C6010" t="str">
            <v>【ファウンデーションケア】</v>
          </cell>
        </row>
        <row r="6011">
          <cell r="A6011" t="str">
            <v>U7VX2E</v>
          </cell>
          <cell r="B6011" t="str">
            <v>FC 9x5 5年 DL120 Gen9用</v>
          </cell>
          <cell r="C6011" t="str">
            <v>【ファウンデーションケア】</v>
          </cell>
        </row>
        <row r="6012">
          <cell r="A6012" t="str">
            <v>U7VX3E</v>
          </cell>
          <cell r="B6012" t="str">
            <v>FC 9x5 HD返却不要 5年 DL120 Gen9用</v>
          </cell>
          <cell r="C6012" t="str">
            <v>【ファウンデーションケア】</v>
          </cell>
        </row>
        <row r="6013">
          <cell r="A6013" t="str">
            <v>U7VX4E</v>
          </cell>
          <cell r="B6013" t="str">
            <v>FC 翌日 3年 DL60 Gen9用</v>
          </cell>
          <cell r="C6013" t="str">
            <v>【ファウンデーションケア】</v>
          </cell>
        </row>
        <row r="6014">
          <cell r="A6014" t="str">
            <v>U7VX7E</v>
          </cell>
          <cell r="B6014" t="str">
            <v>FC 24x7 3年 DL60 Gen9用</v>
          </cell>
          <cell r="C6014" t="str">
            <v>【ファウンデーションケア】</v>
          </cell>
        </row>
        <row r="6015">
          <cell r="A6015" t="str">
            <v>U7VX8E</v>
          </cell>
          <cell r="B6015" t="str">
            <v>FC 24x7 HD返却不要 3年 DL60 Gen9用</v>
          </cell>
          <cell r="C6015" t="str">
            <v>【ファウンデーションケア】</v>
          </cell>
        </row>
        <row r="6016">
          <cell r="A6016" t="str">
            <v>U7VY3E</v>
          </cell>
          <cell r="B6016" t="str">
            <v>FC 翌日 4年 DL60 Gen9用</v>
          </cell>
          <cell r="C6016" t="str">
            <v>【ファウンデーションケア】</v>
          </cell>
        </row>
        <row r="6017">
          <cell r="A6017" t="str">
            <v>U7VY6E</v>
          </cell>
          <cell r="B6017" t="str">
            <v>FC 24x7 4年 DL60 Gen9用</v>
          </cell>
          <cell r="C6017" t="str">
            <v>【ファウンデーションケア】</v>
          </cell>
        </row>
        <row r="6018">
          <cell r="A6018" t="str">
            <v>U7VY7E</v>
          </cell>
          <cell r="B6018" t="str">
            <v>FC 24x7 HD返却不要 4年 DL60 Gen9用</v>
          </cell>
          <cell r="C6018" t="str">
            <v>【ファウンデーションケア】</v>
          </cell>
        </row>
        <row r="6019">
          <cell r="A6019" t="str">
            <v>U7VZ2E</v>
          </cell>
          <cell r="B6019" t="str">
            <v>FC 翌日 5年 DL60 Gen9用</v>
          </cell>
          <cell r="C6019" t="str">
            <v>【ファウンデーションケア】</v>
          </cell>
        </row>
        <row r="6020">
          <cell r="A6020" t="str">
            <v>U7VZ5E</v>
          </cell>
          <cell r="B6020" t="str">
            <v>FC 24x7 5年 DL60 Gen9用</v>
          </cell>
          <cell r="C6020" t="str">
            <v>【ファウンデーションケア】</v>
          </cell>
        </row>
        <row r="6021">
          <cell r="A6021" t="str">
            <v>U7VZ6E</v>
          </cell>
          <cell r="B6021" t="str">
            <v>FC 24x7 HD返却不要 5年 DL60 Gen9用</v>
          </cell>
          <cell r="C6021" t="str">
            <v>【ファウンデーションケア】</v>
          </cell>
        </row>
        <row r="6022">
          <cell r="A6022" t="str">
            <v>U7WA4E</v>
          </cell>
          <cell r="B6022" t="str">
            <v>ProCare 24x7 3年 ProLiant DL60 Gen9用</v>
          </cell>
          <cell r="C6022" t="str">
            <v>【HPEプロアクティブケア】メーカー推奨／低価格で国内専用窓口の高品質な保守により、システム運用における安心を提供します。</v>
          </cell>
        </row>
        <row r="6023">
          <cell r="A6023" t="str">
            <v>U7WA5E</v>
          </cell>
          <cell r="B6023" t="str">
            <v>ProCare HD返却不要 24x7 3年 DL60 Gen9用</v>
          </cell>
          <cell r="C6023" t="str">
            <v>【HPEプロアクティブケア】メーカー推奨／低価格で国内専用窓口の高品質な保守により、システム運用における安心を提供します。</v>
          </cell>
        </row>
        <row r="6024">
          <cell r="A6024" t="str">
            <v>U7WB3E</v>
          </cell>
          <cell r="B6024" t="str">
            <v>ProCare 24x7 4年 ProLiant DL60 Gen9用</v>
          </cell>
          <cell r="C6024" t="str">
            <v>【HPEプロアクティブケア】メーカー推奨／低価格で国内専用窓口の高品質な保守により、システム運用における安心を提供します。</v>
          </cell>
        </row>
        <row r="6025">
          <cell r="A6025" t="str">
            <v>U7WB4E</v>
          </cell>
          <cell r="B6025" t="str">
            <v>ProCare HD返却不要 24x7 4年 DL60 Gen9用</v>
          </cell>
          <cell r="C6025" t="str">
            <v>【HPEプロアクティブケア】メーカー推奨／低価格で国内専用窓口の高品質な保守により、システム運用における安心を提供します。</v>
          </cell>
        </row>
        <row r="6026">
          <cell r="A6026" t="str">
            <v>U7WC2E</v>
          </cell>
          <cell r="B6026" t="str">
            <v>ProCare 24x7 5年 ProLiant DL60 Gen9用</v>
          </cell>
          <cell r="C6026" t="str">
            <v>【HPEプロアクティブケア】メーカー推奨／低価格で国内専用窓口の高品質な保守により、システム運用における安心を提供します。</v>
          </cell>
        </row>
        <row r="6027">
          <cell r="A6027" t="str">
            <v>U7WC3E</v>
          </cell>
          <cell r="B6027" t="str">
            <v>ProCare HD返却不要 24x7 5年 DL60 Gen9用</v>
          </cell>
          <cell r="C6027" t="str">
            <v>【HPEプロアクティブケア】メーカー推奨／低価格で国内専用窓口の高品質な保守により、システム運用における安心を提供します。</v>
          </cell>
        </row>
        <row r="6028">
          <cell r="A6028" t="str">
            <v>U7WF5E</v>
          </cell>
          <cell r="B6028" t="str">
            <v>FC 9x5 3年 DL60 Gen9用</v>
          </cell>
          <cell r="C6028" t="str">
            <v>【ファウンデーションケア】</v>
          </cell>
        </row>
        <row r="6029">
          <cell r="A6029" t="str">
            <v>U7WF6E</v>
          </cell>
          <cell r="B6029" t="str">
            <v>FC 9x5 HD返却不要 3年 DL60 Gen9用</v>
          </cell>
          <cell r="C6029" t="str">
            <v>【ファウンデーションケア】</v>
          </cell>
        </row>
        <row r="6030">
          <cell r="A6030" t="str">
            <v>U7WF7E</v>
          </cell>
          <cell r="B6030" t="str">
            <v>FC 9x5 4年 DL60 Gen9用</v>
          </cell>
          <cell r="C6030" t="str">
            <v>【ファウンデーションケア】</v>
          </cell>
        </row>
        <row r="6031">
          <cell r="A6031" t="str">
            <v>U7WF8E</v>
          </cell>
          <cell r="B6031" t="str">
            <v>FC 9x5 HD返却不要 4年 DL60 Gen9用</v>
          </cell>
          <cell r="C6031" t="str">
            <v>【ファウンデーションケア】</v>
          </cell>
        </row>
        <row r="6032">
          <cell r="A6032" t="str">
            <v>U7WF9E</v>
          </cell>
          <cell r="B6032" t="str">
            <v>FC 9x5 5年 DL60 Gen9用</v>
          </cell>
          <cell r="C6032" t="str">
            <v>【ファウンデーションケア】</v>
          </cell>
        </row>
        <row r="6033">
          <cell r="A6033" t="str">
            <v>U7WG0E</v>
          </cell>
          <cell r="B6033" t="str">
            <v>FC 9x5 HD返却不要 5年 DL60 Gen9用</v>
          </cell>
          <cell r="C6033" t="str">
            <v>【ファウンデーションケア】</v>
          </cell>
        </row>
        <row r="6034">
          <cell r="A6034" t="str">
            <v>U7WG1E</v>
          </cell>
          <cell r="B6034" t="str">
            <v>FC 翌日 3年 DL80 Gen9用</v>
          </cell>
          <cell r="C6034" t="str">
            <v>【ファウンデーションケア】</v>
          </cell>
        </row>
        <row r="6035">
          <cell r="A6035" t="str">
            <v>U7WG4E</v>
          </cell>
          <cell r="B6035" t="str">
            <v>FC 24x7 3年 DL80 Gen9用</v>
          </cell>
          <cell r="C6035" t="str">
            <v>【ファウンデーションケア】</v>
          </cell>
        </row>
        <row r="6036">
          <cell r="A6036" t="str">
            <v>U7WG5E</v>
          </cell>
          <cell r="B6036" t="str">
            <v>FC 24x7 HD返却不要 3年 DL80 Gen9用</v>
          </cell>
          <cell r="C6036" t="str">
            <v>【ファウンデーションケア】</v>
          </cell>
        </row>
        <row r="6037">
          <cell r="A6037" t="str">
            <v>U7WH0E</v>
          </cell>
          <cell r="B6037" t="str">
            <v>FC 翌日 4年 DL80 Gen9用</v>
          </cell>
          <cell r="C6037" t="str">
            <v>【ファウンデーションケア】</v>
          </cell>
        </row>
        <row r="6038">
          <cell r="A6038" t="str">
            <v>U7WH3E</v>
          </cell>
          <cell r="B6038" t="str">
            <v>FC 24x7 4年 DL80 Gen9用</v>
          </cell>
          <cell r="C6038" t="str">
            <v>【ファウンデーションケア】</v>
          </cell>
        </row>
        <row r="6039">
          <cell r="A6039" t="str">
            <v>U7WH4E</v>
          </cell>
          <cell r="B6039" t="str">
            <v>FC 24x7 HD返却不要 4年 DL80 Gen9用</v>
          </cell>
          <cell r="C6039" t="str">
            <v>【ファウンデーションケア】</v>
          </cell>
        </row>
        <row r="6040">
          <cell r="A6040" t="str">
            <v>U7WH9E</v>
          </cell>
          <cell r="B6040" t="str">
            <v>FC 翌日 5年 DL80 Gen9用</v>
          </cell>
          <cell r="C6040" t="str">
            <v>【ファウンデーションケア】</v>
          </cell>
        </row>
        <row r="6041">
          <cell r="A6041" t="str">
            <v>U7WJ2E</v>
          </cell>
          <cell r="B6041" t="str">
            <v>FC 24x7 5年 DL80 Gen9用</v>
          </cell>
          <cell r="C6041" t="str">
            <v>【ファウンデーションケア】</v>
          </cell>
        </row>
        <row r="6042">
          <cell r="A6042" t="str">
            <v>U7WJ3E</v>
          </cell>
          <cell r="B6042" t="str">
            <v>FC 24x7 HD返却不要 5年 DL80 Gen9用</v>
          </cell>
          <cell r="C6042" t="str">
            <v>【ファウンデーションケア】</v>
          </cell>
        </row>
        <row r="6043">
          <cell r="A6043" t="str">
            <v>U7WK1E</v>
          </cell>
          <cell r="B6043" t="str">
            <v>ProCare 24x7 3年 ProLiant DL80 Gen9用</v>
          </cell>
          <cell r="C6043" t="str">
            <v>【HPEプロアクティブケア】メーカー推奨／低価格で国内専用窓口の高品質な保守により、システム運用における安心を提供します。</v>
          </cell>
        </row>
        <row r="6044">
          <cell r="A6044" t="str">
            <v>U7WK2E</v>
          </cell>
          <cell r="B6044" t="str">
            <v>ProCare HD返却不要 24x7 3年 DL80 Gen9用</v>
          </cell>
          <cell r="C6044" t="str">
            <v>【HPEプロアクティブケア】メーカー推奨／低価格で国内専用窓口の高品質な保守により、システム運用における安心を提供します。</v>
          </cell>
        </row>
        <row r="6045">
          <cell r="A6045" t="str">
            <v>U7WL0E</v>
          </cell>
          <cell r="B6045" t="str">
            <v>ProCare 24x7 4年 ProLiant DL80 Gen9用</v>
          </cell>
          <cell r="C6045" t="str">
            <v>【HPEプロアクティブケア】メーカー推奨／低価格で国内専用窓口の高品質な保守により、システム運用における安心を提供します。</v>
          </cell>
        </row>
        <row r="6046">
          <cell r="A6046" t="str">
            <v>U7WL1E</v>
          </cell>
          <cell r="B6046" t="str">
            <v>ProCare HD返却不要 24x7 4年 DL80 Gen9用</v>
          </cell>
          <cell r="C6046" t="str">
            <v>【HPEプロアクティブケア】メーカー推奨／低価格で国内専用窓口の高品質な保守により、システム運用における安心を提供します。</v>
          </cell>
        </row>
        <row r="6047">
          <cell r="A6047" t="str">
            <v>U7WL9E</v>
          </cell>
          <cell r="B6047" t="str">
            <v>ProCare 24x7 5年 ProLiant DL80 Gen9用</v>
          </cell>
          <cell r="C6047" t="str">
            <v>【HPEプロアクティブケア】メーカー推奨／低価格で国内専用窓口の高品質な保守により、システム運用における安心を提供します。</v>
          </cell>
        </row>
        <row r="6048">
          <cell r="A6048" t="str">
            <v>U7WM0E</v>
          </cell>
          <cell r="B6048" t="str">
            <v>ProCare HD返却不要 24x7 5年 DL80 Gen9用</v>
          </cell>
          <cell r="C6048" t="str">
            <v>【HPEプロアクティブケア】メーカー推奨／低価格で国内専用窓口の高品質な保守により、システム運用における安心を提供します。</v>
          </cell>
        </row>
        <row r="6049">
          <cell r="A6049" t="str">
            <v>U7WQ2E</v>
          </cell>
          <cell r="B6049" t="str">
            <v>FC 9x5 3年 DL80 Gen9用</v>
          </cell>
          <cell r="C6049" t="str">
            <v>【ファウンデーションケア】</v>
          </cell>
        </row>
        <row r="6050">
          <cell r="A6050" t="str">
            <v>U7WQ3E</v>
          </cell>
          <cell r="B6050" t="str">
            <v>FC 9x5 HD返却不要 3年 DL80 Gen9用</v>
          </cell>
          <cell r="C6050" t="str">
            <v>【ファウンデーションケア】</v>
          </cell>
        </row>
        <row r="6051">
          <cell r="A6051" t="str">
            <v>U7WQ4E</v>
          </cell>
          <cell r="B6051" t="str">
            <v>FC 9x5 4年 DL80 Gen9用</v>
          </cell>
          <cell r="C6051" t="str">
            <v>【ファウンデーションケア】</v>
          </cell>
        </row>
        <row r="6052">
          <cell r="A6052" t="str">
            <v>U7WQ5E</v>
          </cell>
          <cell r="B6052" t="str">
            <v>FC 9x5 HD返却不要 4年 DL80 Gen9用</v>
          </cell>
          <cell r="C6052" t="str">
            <v>【ファウンデーションケア】</v>
          </cell>
        </row>
        <row r="6053">
          <cell r="A6053" t="str">
            <v>U7WQ6E</v>
          </cell>
          <cell r="B6053" t="str">
            <v>FC 9x5 5年 DL80 Gen9用</v>
          </cell>
          <cell r="C6053" t="str">
            <v>【ファウンデーションケア】</v>
          </cell>
        </row>
        <row r="6054">
          <cell r="A6054" t="str">
            <v>U7WQ7E</v>
          </cell>
          <cell r="B6054" t="str">
            <v>FC 9x5 HD返却不要 5年 DL80 Gen9用</v>
          </cell>
          <cell r="C6054" t="str">
            <v>【ファウンデーションケア】</v>
          </cell>
        </row>
        <row r="6055">
          <cell r="A6055" t="str">
            <v>U7WR1E</v>
          </cell>
          <cell r="B6055" t="str">
            <v>FC 24x7 3年 ML150 Gen9用</v>
          </cell>
          <cell r="C6055" t="str">
            <v>【ファウンデーションケア】</v>
          </cell>
        </row>
        <row r="6056">
          <cell r="A6056" t="str">
            <v>U7WR2E</v>
          </cell>
          <cell r="B6056" t="str">
            <v>FC 24x7 HD返却不要 3年 ML150 Gen9用</v>
          </cell>
          <cell r="C6056" t="str">
            <v>【ファウンデーションケア】</v>
          </cell>
        </row>
        <row r="6057">
          <cell r="A6057" t="str">
            <v>U7WS0E</v>
          </cell>
          <cell r="B6057" t="str">
            <v>FC 24x7 4年 ML150 Gen9用</v>
          </cell>
          <cell r="C6057" t="str">
            <v>【ファウンデーションケア】</v>
          </cell>
        </row>
        <row r="6058">
          <cell r="A6058" t="str">
            <v>U7WS1E</v>
          </cell>
          <cell r="B6058" t="str">
            <v>FC 24x7 HD返却不要 4年 ML150 Gen9用</v>
          </cell>
          <cell r="C6058" t="str">
            <v>【ファウンデーションケア】</v>
          </cell>
        </row>
        <row r="6059">
          <cell r="A6059" t="str">
            <v>U7WS9E</v>
          </cell>
          <cell r="B6059" t="str">
            <v>FC 24x7 5年 ML150 Gen9用</v>
          </cell>
          <cell r="C6059" t="str">
            <v>【ファウンデーションケア】</v>
          </cell>
        </row>
        <row r="6060">
          <cell r="A6060" t="str">
            <v>U7WT0E</v>
          </cell>
          <cell r="B6060" t="str">
            <v>FC 24x7 HD返却不要 5年 ML150 Gen9用</v>
          </cell>
          <cell r="C6060" t="str">
            <v>【ファウンデーションケア】</v>
          </cell>
        </row>
        <row r="6061">
          <cell r="A6061" t="str">
            <v>U7WT8E</v>
          </cell>
          <cell r="B6061" t="str">
            <v>ProCare 24x7 3年 ProLiant ML150 Gen9用</v>
          </cell>
          <cell r="C6061" t="str">
            <v>【HPEプロアクティブケア】メーカー推奨／低価格で国内専用窓口の高品質な保守により、システム運用における安心を提供します。</v>
          </cell>
        </row>
        <row r="6062">
          <cell r="A6062" t="str">
            <v>U7WT9E</v>
          </cell>
          <cell r="B6062" t="str">
            <v>ProCare HD返却不要 24x7 3年 ML150 Gen9用</v>
          </cell>
          <cell r="C6062" t="str">
            <v>【HPEプロアクティブケア】メーカー推奨／低価格で国内専用窓口の高品質な保守により、システム運用における安心を提供します。</v>
          </cell>
        </row>
        <row r="6063">
          <cell r="A6063" t="str">
            <v>U7WU7E</v>
          </cell>
          <cell r="B6063" t="str">
            <v>ProCare 24x7 4年 ProLiant ML150 Gen9用</v>
          </cell>
          <cell r="C6063" t="str">
            <v>【HPEプロアクティブケア】メーカー推奨／低価格で国内専用窓口の高品質な保守により、システム運用における安心を提供します。</v>
          </cell>
        </row>
        <row r="6064">
          <cell r="A6064" t="str">
            <v>U7WU8E</v>
          </cell>
          <cell r="B6064" t="str">
            <v>ProCare HD返却不要 24x7 4年 ML150 Gen9用</v>
          </cell>
          <cell r="C6064" t="str">
            <v>【HPEプロアクティブケア】メーカー推奨／低価格で国内専用窓口の高品質な保守により、システム運用における安心を提供します。</v>
          </cell>
        </row>
        <row r="6065">
          <cell r="A6065" t="str">
            <v>U7WV6E</v>
          </cell>
          <cell r="B6065" t="str">
            <v>ProCare 24x7 5年 ProLiant ML150 Gen9用</v>
          </cell>
          <cell r="C6065" t="str">
            <v>【HPEプロアクティブケア】メーカー推奨／低価格で国内専用窓口の高品質な保守により、システム運用における安心を提供します。</v>
          </cell>
        </row>
        <row r="6066">
          <cell r="A6066" t="str">
            <v>U7WV7E</v>
          </cell>
          <cell r="B6066" t="str">
            <v>ProCare HD返却不要 24x7 5年 ML150 Gen9用</v>
          </cell>
          <cell r="C6066" t="str">
            <v>【HPEプロアクティブケア】メーカー推奨／低価格で国内専用窓口の高品質な保守により、システム運用における安心を提供します。</v>
          </cell>
        </row>
        <row r="6067">
          <cell r="A6067" t="str">
            <v>U7WY9E</v>
          </cell>
          <cell r="B6067" t="str">
            <v>FC 9x5 3年 ML150 Gen9用</v>
          </cell>
          <cell r="C6067" t="str">
            <v>【ファウンデーションケア】</v>
          </cell>
        </row>
        <row r="6068">
          <cell r="A6068" t="str">
            <v>U7WZ0E</v>
          </cell>
          <cell r="B6068" t="str">
            <v>FC 9x5 HD返却不要 3年 ML150 Gen9用</v>
          </cell>
          <cell r="C6068" t="str">
            <v>【ファウンデーションケア】</v>
          </cell>
        </row>
        <row r="6069">
          <cell r="A6069" t="str">
            <v>U7WZ1E</v>
          </cell>
          <cell r="B6069" t="str">
            <v>FC 9x5 4年 ML150 Gen9用</v>
          </cell>
          <cell r="C6069" t="str">
            <v>【ファウンデーションケア】</v>
          </cell>
        </row>
        <row r="6070">
          <cell r="A6070" t="str">
            <v>U7WZ2E</v>
          </cell>
          <cell r="B6070" t="str">
            <v>FC 9x5 HD返却不要 4年 ML150 Gen9用</v>
          </cell>
          <cell r="C6070" t="str">
            <v>【ファウンデーションケア】</v>
          </cell>
        </row>
        <row r="6071">
          <cell r="A6071" t="str">
            <v>U7WZ3E</v>
          </cell>
          <cell r="B6071" t="str">
            <v>FC 9x5 5年 ML150 Gen9用</v>
          </cell>
          <cell r="C6071" t="str">
            <v>【ファウンデーションケア】</v>
          </cell>
        </row>
        <row r="6072">
          <cell r="A6072" t="str">
            <v>U7WZ4E</v>
          </cell>
          <cell r="B6072" t="str">
            <v>FC 9x5 HD返却不要 5年 ML150 Gen9用</v>
          </cell>
          <cell r="C6072" t="str">
            <v>【ファウンデーションケア】</v>
          </cell>
        </row>
        <row r="6073">
          <cell r="A6073" t="str">
            <v>U8AL6E</v>
          </cell>
          <cell r="B6073" t="str">
            <v>FC 24x7 3年 VC 16Gb 24port FC Mod用</v>
          </cell>
          <cell r="C6073" t="str">
            <v>【ファウンデーションケア】</v>
          </cell>
        </row>
        <row r="6074">
          <cell r="A6074" t="str">
            <v>U8AL7E</v>
          </cell>
          <cell r="B6074" t="str">
            <v>ProCare 24x7 3年 VC 16Gb 24port FC Mod用</v>
          </cell>
          <cell r="C6074" t="str">
            <v>【HPEプロアクティブケア】メーカー推奨／低価格で国内専用窓口の高品質な保守により、システム運用における安心を提供します。</v>
          </cell>
        </row>
        <row r="6075">
          <cell r="A6075" t="str">
            <v>U8AM2E</v>
          </cell>
          <cell r="B6075" t="str">
            <v>FC 翌日 4年 VC 16Gb 24port FC Mod用</v>
          </cell>
          <cell r="C6075" t="str">
            <v>【ファウンデーションケア】</v>
          </cell>
        </row>
        <row r="6076">
          <cell r="A6076" t="str">
            <v>U8AM5E</v>
          </cell>
          <cell r="B6076" t="str">
            <v>FC 24x7 4年 VC 16Gb 24port FC Mod用</v>
          </cell>
          <cell r="C6076" t="str">
            <v>【ファウンデーションケア】</v>
          </cell>
        </row>
        <row r="6077">
          <cell r="A6077" t="str">
            <v>U8AM6E</v>
          </cell>
          <cell r="B6077" t="str">
            <v>ProCare 24x7 4年 VC 16Gb 24port FC Mod用</v>
          </cell>
          <cell r="C6077" t="str">
            <v>【HPEプロアクティブケア】メーカー推奨／低価格で国内専用窓口の高品質な保守により、システム運用における安心を提供します。</v>
          </cell>
        </row>
        <row r="6078">
          <cell r="A6078" t="str">
            <v>U8AN1E</v>
          </cell>
          <cell r="B6078" t="str">
            <v>FC 翌日 5年 VC 16Gb 24port FC Mod用</v>
          </cell>
          <cell r="C6078" t="str">
            <v>【ファウンデーションケア】</v>
          </cell>
        </row>
        <row r="6079">
          <cell r="A6079" t="str">
            <v>U8AN4E</v>
          </cell>
          <cell r="B6079" t="str">
            <v>FC 24x7 5年 VC 16Gb 24port FC Mod用</v>
          </cell>
          <cell r="C6079" t="str">
            <v>【ファウンデーションケア】</v>
          </cell>
        </row>
        <row r="6080">
          <cell r="A6080" t="str">
            <v>U8AN5E</v>
          </cell>
          <cell r="B6080" t="str">
            <v>ProCare 24x7 5年 VC 16Gb 24port FC Mod用</v>
          </cell>
          <cell r="C6080" t="str">
            <v>【HPEプロアクティブケア】メーカー推奨／低価格で国内専用窓口の高品質な保守により、システム運用における安心を提供します。</v>
          </cell>
        </row>
        <row r="6081">
          <cell r="A6081" t="str">
            <v>U8AR7E</v>
          </cell>
          <cell r="B6081" t="str">
            <v>FC 9x5 3年 VC 16Gb 24port FC Mod用</v>
          </cell>
          <cell r="C6081" t="str">
            <v>【ファウンデーションケア】</v>
          </cell>
        </row>
        <row r="6082">
          <cell r="A6082" t="str">
            <v>U8AR8E</v>
          </cell>
          <cell r="B6082" t="str">
            <v>FC 9x5 4年 VC 16Gb 24port FC Mod用</v>
          </cell>
          <cell r="C6082" t="str">
            <v>【ファウンデーションケア】</v>
          </cell>
        </row>
        <row r="6083">
          <cell r="A6083" t="str">
            <v>U8AR9E</v>
          </cell>
          <cell r="B6083" t="str">
            <v>FC 9x5 5年 VC 16Gb 24port FC Mod用</v>
          </cell>
          <cell r="C6083" t="str">
            <v>【ファウンデーションケア】</v>
          </cell>
        </row>
        <row r="6084">
          <cell r="A6084" t="str">
            <v>U8AS0PE</v>
          </cell>
          <cell r="B6084" t="str">
            <v>PW FC 翌日 1年 612x Blade Switch用</v>
          </cell>
          <cell r="C6084" t="str">
            <v>【ファウンデーションケア】</v>
          </cell>
        </row>
        <row r="6085">
          <cell r="A6085" t="str">
            <v>U8AS2PE</v>
          </cell>
          <cell r="B6085" t="str">
            <v>PW FC 9x5 1年 612x Blade Switch用</v>
          </cell>
          <cell r="C6085" t="str">
            <v>【ファウンデーションケア】</v>
          </cell>
        </row>
        <row r="6086">
          <cell r="A6086" t="str">
            <v>U8AS5PE</v>
          </cell>
          <cell r="B6086" t="str">
            <v>PW FC 24x7 1年 612x Blade Switch用</v>
          </cell>
          <cell r="C6086" t="str">
            <v>【ファウンデーションケア】</v>
          </cell>
        </row>
        <row r="6087">
          <cell r="A6087" t="str">
            <v>U8AS7PE</v>
          </cell>
          <cell r="B6087" t="str">
            <v>PW PC 24x7 1年 612x Blade Switch用</v>
          </cell>
          <cell r="C6087" t="str">
            <v>【HPEプロアクティブケア】メーカー推奨／低価格で国内専用窓口の高品質な保守により、システム運用における安心を提供します。</v>
          </cell>
        </row>
        <row r="6088">
          <cell r="A6088" t="str">
            <v>U8BE7E</v>
          </cell>
          <cell r="B6088" t="str">
            <v>FC 24x7 3年 WS460c Gen9用</v>
          </cell>
          <cell r="C6088" t="str">
            <v>【ファウンデーションケア】</v>
          </cell>
        </row>
        <row r="6089">
          <cell r="A6089" t="str">
            <v>U8BE8E</v>
          </cell>
          <cell r="B6089" t="str">
            <v>FC 24x7 HD返却不要 3年 WS460c Gen9用</v>
          </cell>
          <cell r="C6089" t="str">
            <v>【ファウンデーションケア】</v>
          </cell>
        </row>
        <row r="6090">
          <cell r="A6090" t="str">
            <v>U8BG5E</v>
          </cell>
          <cell r="B6090" t="str">
            <v>FC 翌日 4年 WS460c Gen9用</v>
          </cell>
          <cell r="C6090" t="str">
            <v>【ファウンデーションケア】</v>
          </cell>
        </row>
        <row r="6091">
          <cell r="A6091" t="str">
            <v>U8BH4E</v>
          </cell>
          <cell r="B6091" t="str">
            <v>FC 24x7 4年 WS460c Gen9用</v>
          </cell>
          <cell r="C6091" t="str">
            <v>【ファウンデーションケア】</v>
          </cell>
        </row>
        <row r="6092">
          <cell r="A6092" t="str">
            <v>U8BH5E</v>
          </cell>
          <cell r="B6092" t="str">
            <v>FC 24x7 HD返却不要 4年 WS460c Gen9用</v>
          </cell>
          <cell r="C6092" t="str">
            <v>【ファウンデーションケア】</v>
          </cell>
        </row>
        <row r="6093">
          <cell r="A6093" t="str">
            <v>U8BK2E</v>
          </cell>
          <cell r="B6093" t="str">
            <v>FC 翌日 5年 WS460c Gen9用</v>
          </cell>
          <cell r="C6093" t="str">
            <v>【ファウンデーションケア】</v>
          </cell>
        </row>
        <row r="6094">
          <cell r="A6094" t="str">
            <v>U8BL1E</v>
          </cell>
          <cell r="B6094" t="str">
            <v>FC 24x7 5年 WS460c Gen9用</v>
          </cell>
          <cell r="C6094" t="str">
            <v>【ファウンデーションケア】</v>
          </cell>
        </row>
        <row r="6095">
          <cell r="A6095" t="str">
            <v>U8BL2E</v>
          </cell>
          <cell r="B6095" t="str">
            <v>FC 24x7 HD返却不要 5年 WS460c Gen9用</v>
          </cell>
          <cell r="C6095" t="str">
            <v>【ファウンデーションケア】</v>
          </cell>
        </row>
        <row r="6096">
          <cell r="A6096" t="str">
            <v>U8BM9E</v>
          </cell>
          <cell r="B6096" t="str">
            <v>FC 9x5 3年 WS460c Gen9用</v>
          </cell>
          <cell r="C6096" t="str">
            <v>【ファウンデーションケア】</v>
          </cell>
        </row>
        <row r="6097">
          <cell r="A6097" t="str">
            <v>U8BN0E</v>
          </cell>
          <cell r="B6097" t="str">
            <v>FC 9x5 HD返却不要 3年 WS460c Gen9用</v>
          </cell>
          <cell r="C6097" t="str">
            <v>【ファウンデーションケア】</v>
          </cell>
        </row>
        <row r="6098">
          <cell r="A6098" t="str">
            <v>U8BN1E</v>
          </cell>
          <cell r="B6098" t="str">
            <v>FC 9x5 4年 WS460c Gen9用</v>
          </cell>
          <cell r="C6098" t="str">
            <v>【ファウンデーションケア】</v>
          </cell>
        </row>
        <row r="6099">
          <cell r="A6099" t="str">
            <v>U8BN2E</v>
          </cell>
          <cell r="B6099" t="str">
            <v>FC 9x5 HD返却不要 4年 WS460c Gen9用</v>
          </cell>
          <cell r="C6099" t="str">
            <v>【ファウンデーションケア】</v>
          </cell>
        </row>
        <row r="6100">
          <cell r="A6100" t="str">
            <v>U8BN3E</v>
          </cell>
          <cell r="B6100" t="str">
            <v>FC 9x5 5年 WS460c Gen9用</v>
          </cell>
          <cell r="C6100" t="str">
            <v>【ファウンデーションケア】</v>
          </cell>
        </row>
        <row r="6101">
          <cell r="A6101" t="str">
            <v>U8BN4E</v>
          </cell>
          <cell r="B6101" t="str">
            <v>FC 9x5 HD返却不要 5年 WS460c Gen9用</v>
          </cell>
          <cell r="C6101" t="str">
            <v>【ファウンデーションケア】</v>
          </cell>
        </row>
        <row r="6102">
          <cell r="A6102" t="str">
            <v>U8BN5PE</v>
          </cell>
          <cell r="B6102" t="str">
            <v>PW FC 翌日 1年 BL465c Gen8用</v>
          </cell>
          <cell r="C6102" t="str">
            <v>【ファウンデーションケア】</v>
          </cell>
        </row>
        <row r="6103">
          <cell r="A6103" t="str">
            <v>U8BN8PE</v>
          </cell>
          <cell r="B6103" t="str">
            <v>PW FC 24x7 1年 BL465c Gen8用</v>
          </cell>
          <cell r="C6103" t="str">
            <v>【ファウンデーションケア】</v>
          </cell>
        </row>
        <row r="6104">
          <cell r="A6104" t="str">
            <v>U8BN9PE</v>
          </cell>
          <cell r="B6104" t="str">
            <v>PW FC 24x7 HD返却不要 1年 BL465c Gen8</v>
          </cell>
          <cell r="C6104" t="str">
            <v>【ファウンデーションケア】</v>
          </cell>
        </row>
        <row r="6105">
          <cell r="A6105" t="str">
            <v>U8BP7PE</v>
          </cell>
          <cell r="B6105" t="str">
            <v>PW ProCare 24x7 1年 BL465c Gen8用</v>
          </cell>
          <cell r="C6105" t="str">
            <v>【HPEプロアクティブケア】メーカー推奨／低価格で国内専用窓口の高品質な保守により、システム運用における安心を提供します。</v>
          </cell>
        </row>
        <row r="6106">
          <cell r="A6106" t="str">
            <v>U8BP8PE</v>
          </cell>
          <cell r="B6106" t="str">
            <v>PW ProCare HD返却不要24x7 1年 BL465cGen8</v>
          </cell>
          <cell r="C6106" t="str">
            <v>【HPEプロアクティブケア】メーカー推奨／低価格で国内専用窓口の高品質な保守により、システム運用における安心を提供します。</v>
          </cell>
        </row>
        <row r="6107">
          <cell r="A6107" t="str">
            <v>U8BQ3PE</v>
          </cell>
          <cell r="B6107" t="str">
            <v>PW FC 9x5 1年 BL465c Gen8用</v>
          </cell>
          <cell r="C6107" t="str">
            <v>【ファウンデーションケア】</v>
          </cell>
        </row>
        <row r="6108">
          <cell r="A6108" t="str">
            <v>U8BQ4PE</v>
          </cell>
          <cell r="B6108" t="str">
            <v>PW FC 9x5 HD返却不要 1年 BL465c Gen8</v>
          </cell>
          <cell r="C6108" t="str">
            <v>【ファウンデーションケア】</v>
          </cell>
        </row>
        <row r="6109">
          <cell r="A6109" t="str">
            <v>U8BQ5PE</v>
          </cell>
          <cell r="B6109" t="str">
            <v>PW FC 翌日 1年 BL420c Gen8用</v>
          </cell>
          <cell r="C6109" t="str">
            <v>【ファウンデーションケア】</v>
          </cell>
        </row>
        <row r="6110">
          <cell r="A6110" t="str">
            <v>U8BQ8PE</v>
          </cell>
          <cell r="B6110" t="str">
            <v>PW FC 24x7 1年 BL420c Gen8用</v>
          </cell>
          <cell r="C6110" t="str">
            <v>【ファウンデーションケア】</v>
          </cell>
        </row>
        <row r="6111">
          <cell r="A6111" t="str">
            <v>U8BQ9PE</v>
          </cell>
          <cell r="B6111" t="str">
            <v>PW FC 24x7 HD返却不要 1年 BL420c Gen8</v>
          </cell>
          <cell r="C6111" t="str">
            <v>【ファウンデーションケア】</v>
          </cell>
        </row>
        <row r="6112">
          <cell r="A6112" t="str">
            <v>U8BR7PE</v>
          </cell>
          <cell r="B6112" t="str">
            <v>PW ProCare 24x7 1年 BL420c Gen8用</v>
          </cell>
          <cell r="C6112" t="str">
            <v>【HPEプロアクティブケア】メーカー推奨／低価格で国内専用窓口の高品質な保守により、システム運用における安心を提供します。</v>
          </cell>
        </row>
        <row r="6113">
          <cell r="A6113" t="str">
            <v>U8BR8PE</v>
          </cell>
          <cell r="B6113" t="str">
            <v>PW ProCare HD返却不要24x7 1年 BL420cGen8</v>
          </cell>
          <cell r="C6113" t="str">
            <v>【HPEプロアクティブケア】メーカー推奨／低価格で国内専用窓口の高品質な保守により、システム運用における安心を提供します。</v>
          </cell>
        </row>
        <row r="6114">
          <cell r="A6114" t="str">
            <v>U8BS3PE</v>
          </cell>
          <cell r="B6114" t="str">
            <v>PW FC 9x5 1年 BL420c Gen8用</v>
          </cell>
          <cell r="C6114" t="str">
            <v>【ファウンデーションケア】</v>
          </cell>
        </row>
        <row r="6115">
          <cell r="A6115" t="str">
            <v>U8BS4PE</v>
          </cell>
          <cell r="B6115" t="str">
            <v>PW FC 9x5 HD返却不要 1年 BL420c Gen8</v>
          </cell>
          <cell r="C6115" t="str">
            <v>【ファウンデーションケア】</v>
          </cell>
        </row>
        <row r="6116">
          <cell r="A6116" t="str">
            <v>U8BS5PE</v>
          </cell>
          <cell r="B6116" t="str">
            <v>PW FC 翌日 1年 BL660c Gen8用</v>
          </cell>
          <cell r="C6116" t="str">
            <v>【ファウンデーションケア】</v>
          </cell>
        </row>
        <row r="6117">
          <cell r="A6117" t="str">
            <v>U8BS8PE</v>
          </cell>
          <cell r="B6117" t="str">
            <v>PW FC 24x7 1年 BL660c Gen8用</v>
          </cell>
          <cell r="C6117" t="str">
            <v>【ファウンデーションケア】</v>
          </cell>
        </row>
        <row r="6118">
          <cell r="A6118" t="str">
            <v>U8BS9PE</v>
          </cell>
          <cell r="B6118" t="str">
            <v>PW FC 24x7 HD返却不要 1年 BL660c Gen8</v>
          </cell>
          <cell r="C6118" t="str">
            <v>【ファウンデーションケア】</v>
          </cell>
        </row>
        <row r="6119">
          <cell r="A6119" t="str">
            <v>U8BT7PE</v>
          </cell>
          <cell r="B6119" t="str">
            <v>PW ProCare 24x7 1年 BL660c Gen8用</v>
          </cell>
          <cell r="C6119" t="str">
            <v>【HPEプロアクティブケア】メーカー推奨／低価格で国内専用窓口の高品質な保守により、システム運用における安心を提供します。</v>
          </cell>
        </row>
        <row r="6120">
          <cell r="A6120" t="str">
            <v>U8BT8PE</v>
          </cell>
          <cell r="B6120" t="str">
            <v>PW ProCare HD返却不要24x7 1年 BL660cGen8</v>
          </cell>
          <cell r="C6120" t="str">
            <v>【HPEプロアクティブケア】メーカー推奨／低価格で国内専用窓口の高品質な保守により、システム運用における安心を提供します。</v>
          </cell>
        </row>
        <row r="6121">
          <cell r="A6121" t="str">
            <v>U8BU3PE</v>
          </cell>
          <cell r="B6121" t="str">
            <v>PW FC 9x5 1年 BL660c Gen8用</v>
          </cell>
          <cell r="C6121" t="str">
            <v>【ファウンデーションケア】</v>
          </cell>
        </row>
        <row r="6122">
          <cell r="A6122" t="str">
            <v>U8BU4PE</v>
          </cell>
          <cell r="B6122" t="str">
            <v>PW FC 9x5 HD返却不要 1年 BL660c Gen8</v>
          </cell>
          <cell r="C6122" t="str">
            <v>【ファウンデーションケア】</v>
          </cell>
        </row>
        <row r="6123">
          <cell r="A6123" t="str">
            <v>U8BU5PE</v>
          </cell>
          <cell r="B6123" t="str">
            <v>PW FC 翌日 1年 DL385p Gen8用</v>
          </cell>
          <cell r="C6123" t="str">
            <v>【ファウンデーションケア】</v>
          </cell>
        </row>
        <row r="6124">
          <cell r="A6124" t="str">
            <v>U8BU8PE</v>
          </cell>
          <cell r="B6124" t="str">
            <v>PW FC 24x7 1年 DL385p Gen8用</v>
          </cell>
          <cell r="C6124" t="str">
            <v>【ファウンデーションケア】</v>
          </cell>
        </row>
        <row r="6125">
          <cell r="A6125" t="str">
            <v>U8BU9PE</v>
          </cell>
          <cell r="B6125" t="str">
            <v>PW FC 24x7 HD返却不要 1年 DL385p Gen8</v>
          </cell>
          <cell r="C6125" t="str">
            <v>【ファウンデーションケア】</v>
          </cell>
        </row>
        <row r="6126">
          <cell r="A6126" t="str">
            <v>U8BV7PE</v>
          </cell>
          <cell r="B6126" t="str">
            <v>PW ProCare 24x7 1年 DL385p Gen8用</v>
          </cell>
          <cell r="C6126" t="str">
            <v>【HPEプロアクティブケア】メーカー推奨／低価格で国内専用窓口の高品質な保守により、システム運用における安心を提供します。</v>
          </cell>
        </row>
        <row r="6127">
          <cell r="A6127" t="str">
            <v>U8BV8PE</v>
          </cell>
          <cell r="B6127" t="str">
            <v>PW ProCare HD返却不要24x7 1年 DL385pGen8</v>
          </cell>
          <cell r="C6127" t="str">
            <v>【HPEプロアクティブケア】メーカー推奨／低価格で国内専用窓口の高品質な保守により、システム運用における安心を提供します。</v>
          </cell>
        </row>
        <row r="6128">
          <cell r="A6128" t="str">
            <v>U8BW3PE</v>
          </cell>
          <cell r="B6128" t="str">
            <v>PW FC 9x5 1年 DL385p Gen8用</v>
          </cell>
          <cell r="C6128" t="str">
            <v>【ファウンデーションケア】</v>
          </cell>
        </row>
        <row r="6129">
          <cell r="A6129" t="str">
            <v>U8BW4PE</v>
          </cell>
          <cell r="B6129" t="str">
            <v>PW FC 9x5 HD返却不要 1年 DL385p Gen8</v>
          </cell>
          <cell r="C6129" t="str">
            <v>【ファウンデーションケア】</v>
          </cell>
        </row>
        <row r="6130">
          <cell r="A6130" t="str">
            <v>U8CA5PE</v>
          </cell>
          <cell r="B6130" t="str">
            <v>PW FC 翌日 1年 WrkldAccel用</v>
          </cell>
          <cell r="C6130" t="str">
            <v>【ファウンデーションケア】</v>
          </cell>
        </row>
        <row r="6131">
          <cell r="A6131" t="str">
            <v>U8CA7PE</v>
          </cell>
          <cell r="B6131" t="str">
            <v>PW FC 24x7 1年 WrkldAccel用</v>
          </cell>
          <cell r="C6131" t="str">
            <v>【ファウンデーションケア】</v>
          </cell>
        </row>
        <row r="6132">
          <cell r="A6132" t="str">
            <v>U8CA8PE</v>
          </cell>
          <cell r="B6132" t="str">
            <v>PW FC 24x7 HD返却不要 1年 WrkldAccel用</v>
          </cell>
          <cell r="C6132" t="str">
            <v>【ファウンデーションケア】</v>
          </cell>
        </row>
        <row r="6133">
          <cell r="A6133" t="str">
            <v>U8CB3PE</v>
          </cell>
          <cell r="B6133" t="str">
            <v>PW PC 24x7 1年 WrkldAccel用</v>
          </cell>
          <cell r="C6133" t="str">
            <v>【HPEプロアクティブケア】メーカー推奨／低価格で国内専用窓口の高品質な保守により、システム運用における安心を提供します。</v>
          </cell>
        </row>
        <row r="6134">
          <cell r="A6134" t="str">
            <v>U8CB4PE</v>
          </cell>
          <cell r="B6134" t="str">
            <v>PW PC 24x7 HD返却不要 1年 WrkldAccel用</v>
          </cell>
          <cell r="C6134" t="str">
            <v>【HPEプロアクティブケア】メーカー推奨／低価格で国内専用窓口の高品質な保守により、システム運用における安心を提供します。</v>
          </cell>
        </row>
        <row r="6135">
          <cell r="A6135" t="str">
            <v>U8CB7PE</v>
          </cell>
          <cell r="B6135" t="str">
            <v>PW FC 9x5 1年 WrkldAccel用</v>
          </cell>
          <cell r="C6135" t="str">
            <v>【ファウンデーションケア】</v>
          </cell>
        </row>
        <row r="6136">
          <cell r="A6136" t="str">
            <v>U8H98E</v>
          </cell>
          <cell r="B6136" t="str">
            <v>ProCare HD返却不要 24x7 3年 wrkldAccel用</v>
          </cell>
          <cell r="C6136" t="str">
            <v>【HPEプロアクティブケア】メーカー推奨／低価格で国内専用窓口の高品質な保守により、システム運用における安心を提供します。</v>
          </cell>
        </row>
        <row r="6137">
          <cell r="A6137" t="str">
            <v>U8J08E</v>
          </cell>
          <cell r="B6137" t="str">
            <v>ProCare HD返却不要 24x7 4年 wrkldAccel用</v>
          </cell>
          <cell r="C6137" t="str">
            <v>【HPEプロアクティブケア】メーカー推奨／低価格で国内専用窓口の高品質な保守により、システム運用における安心を提供します。</v>
          </cell>
        </row>
        <row r="6138">
          <cell r="A6138" t="str">
            <v>U8J18E</v>
          </cell>
          <cell r="B6138" t="str">
            <v>ProCare HD返却不要 24x7 5年 wrkldAccel用</v>
          </cell>
          <cell r="C6138" t="str">
            <v>【HPEプロアクティブケア】メーカー推奨／低価格で国内専用窓口の高品質な保守により、システム運用における安心を提供します。</v>
          </cell>
        </row>
        <row r="6139">
          <cell r="A6139" t="str">
            <v>U8JB1E</v>
          </cell>
          <cell r="B6139" t="str">
            <v>FC 24x7 3年 ML110 Gen9用</v>
          </cell>
          <cell r="C6139" t="str">
            <v>【ファウンデーションケア】</v>
          </cell>
        </row>
        <row r="6140">
          <cell r="A6140" t="str">
            <v>U8JB2E</v>
          </cell>
          <cell r="B6140" t="str">
            <v>FC 24x7 HD返却不要 3年 ML110 Gen9用</v>
          </cell>
          <cell r="C6140" t="str">
            <v>【ファウンデーションケア】</v>
          </cell>
        </row>
        <row r="6141">
          <cell r="A6141" t="str">
            <v>U8JB3E</v>
          </cell>
          <cell r="B6141" t="str">
            <v>ProCare 24x7 3年 ProLiant ML110 Gen9用</v>
          </cell>
          <cell r="C6141" t="str">
            <v>【HPEプロアクティブケア】メーカー推奨／低価格で国内専用窓口の高品質な保守により、システム運用における安心を提供します。</v>
          </cell>
        </row>
        <row r="6142">
          <cell r="A6142" t="str">
            <v>U8JB4E</v>
          </cell>
          <cell r="B6142" t="str">
            <v>ProCare HD返却不要 24x7 3年 ML110 Gen9用</v>
          </cell>
          <cell r="C6142" t="str">
            <v>【HPEプロアクティブケア】メーカー推奨／低価格で国内専用窓口の高品質な保守により、システム運用における安心を提供します。</v>
          </cell>
        </row>
        <row r="6143">
          <cell r="A6143" t="str">
            <v>U8JC9E</v>
          </cell>
          <cell r="B6143" t="str">
            <v>FC 24x7 4年 ML110 Gen9用</v>
          </cell>
          <cell r="C6143" t="str">
            <v>【ファウンデーションケア】</v>
          </cell>
        </row>
        <row r="6144">
          <cell r="A6144" t="str">
            <v>U8JD0E</v>
          </cell>
          <cell r="B6144" t="str">
            <v>FC 24x7 HD返却不要 4年 ML110 Gen9用</v>
          </cell>
          <cell r="C6144" t="str">
            <v>【ファウンデーションケア】</v>
          </cell>
        </row>
        <row r="6145">
          <cell r="A6145" t="str">
            <v>U8JD1E</v>
          </cell>
          <cell r="B6145" t="str">
            <v>ProCare 24x7 4年 ProLiant ML110 Gen9用</v>
          </cell>
          <cell r="C6145" t="str">
            <v>【HPEプロアクティブケア】メーカー推奨／低価格で国内専用窓口の高品質な保守により、システム運用における安心を提供します。</v>
          </cell>
        </row>
        <row r="6146">
          <cell r="A6146" t="str">
            <v>U8JD2E</v>
          </cell>
          <cell r="B6146" t="str">
            <v>ProCare HD返却不要 24x7 4年 ML110 Gen9用</v>
          </cell>
          <cell r="C6146" t="str">
            <v>【HPEプロアクティブケア】メーカー推奨／低価格で国内専用窓口の高品質な保守により、システム運用における安心を提供します。</v>
          </cell>
        </row>
        <row r="6147">
          <cell r="A6147" t="str">
            <v>U8JE7E</v>
          </cell>
          <cell r="B6147" t="str">
            <v>FC 24x7 5年 ML110 Gen9用</v>
          </cell>
          <cell r="C6147" t="str">
            <v>【ファウンデーションケア】</v>
          </cell>
        </row>
        <row r="6148">
          <cell r="A6148" t="str">
            <v>U8JE8E</v>
          </cell>
          <cell r="B6148" t="str">
            <v>FC 24x7 HD返却不要 5年 ML110 Gen9用</v>
          </cell>
          <cell r="C6148" t="str">
            <v>【ファウンデーションケア】</v>
          </cell>
        </row>
        <row r="6149">
          <cell r="A6149" t="str">
            <v>U8JE9E</v>
          </cell>
          <cell r="B6149" t="str">
            <v>ProCare 24x7 5年 ProLiant ML110 Gen9用</v>
          </cell>
          <cell r="C6149" t="str">
            <v>【HPEプロアクティブケア】メーカー推奨／低価格で国内専用窓口の高品質な保守により、システム運用における安心を提供します。</v>
          </cell>
        </row>
        <row r="6150">
          <cell r="A6150" t="str">
            <v>U8JF0E</v>
          </cell>
          <cell r="B6150" t="str">
            <v>ProCare HD返却不要 24x7 5年 ML110 Gen9用</v>
          </cell>
          <cell r="C6150" t="str">
            <v>【HPEプロアクティブケア】メーカー推奨／低価格で国内専用窓口の高品質な保守により、システム運用における安心を提供します。</v>
          </cell>
        </row>
        <row r="6151">
          <cell r="A6151" t="str">
            <v>U8JJ6E</v>
          </cell>
          <cell r="B6151" t="str">
            <v>FC 9x5 3年 ML110 Gen9用</v>
          </cell>
          <cell r="C6151" t="str">
            <v>【ファウンデーションケア】</v>
          </cell>
        </row>
        <row r="6152">
          <cell r="A6152" t="str">
            <v>U8JJ7E</v>
          </cell>
          <cell r="B6152" t="str">
            <v>FC 9x5 HD返却不要 3年 ML110 Gen9用</v>
          </cell>
          <cell r="C6152" t="str">
            <v>【ファウンデーションケア】</v>
          </cell>
        </row>
        <row r="6153">
          <cell r="A6153" t="str">
            <v>U8JJ8E</v>
          </cell>
          <cell r="B6153" t="str">
            <v>FC 9x5 4年 ML110 Gen9用</v>
          </cell>
          <cell r="C6153" t="str">
            <v>【ファウンデーションケア】</v>
          </cell>
        </row>
        <row r="6154">
          <cell r="A6154" t="str">
            <v>U8JJ9E</v>
          </cell>
          <cell r="B6154" t="str">
            <v>FC 9x5 HD返却不要 4年 ML110 Gen9用</v>
          </cell>
          <cell r="C6154" t="str">
            <v>【ファウンデーションケア】</v>
          </cell>
        </row>
        <row r="6155">
          <cell r="A6155" t="str">
            <v>U8JK0E</v>
          </cell>
          <cell r="B6155" t="str">
            <v>FC 9x5 5年 ML110 Gen9用</v>
          </cell>
          <cell r="C6155" t="str">
            <v>【ファウンデーションケア】</v>
          </cell>
        </row>
        <row r="6156">
          <cell r="A6156" t="str">
            <v>U8JK1E</v>
          </cell>
          <cell r="B6156" t="str">
            <v>FC 9x5 HD返却不要 5年 ML110 Gen9用</v>
          </cell>
          <cell r="C6156" t="str">
            <v>【ファウンデーションケア】</v>
          </cell>
        </row>
        <row r="6157">
          <cell r="A6157" t="str">
            <v>U8K29E</v>
          </cell>
          <cell r="B6157" t="str">
            <v>ProCare 24x7 3年 6125XLGスイッチ用</v>
          </cell>
          <cell r="C6157" t="str">
            <v>【HPEプロアクティブケア】メーカー推奨／低価格で国内専用窓口の高品質な保守により、システム運用における安心を提供します。</v>
          </cell>
        </row>
        <row r="6158">
          <cell r="A6158" t="str">
            <v>U8K49E</v>
          </cell>
          <cell r="B6158" t="str">
            <v>ProCare 24x7 4年 6125XLGスイッチ用</v>
          </cell>
          <cell r="C6158" t="str">
            <v>【HPEプロアクティブケア】メーカー推奨／低価格で国内専用窓口の高品質な保守により、システム運用における安心を提供します。</v>
          </cell>
        </row>
        <row r="6159">
          <cell r="A6159" t="str">
            <v>U8K69E</v>
          </cell>
          <cell r="B6159" t="str">
            <v>ProCare 24x7 5年 6125XLGスイッチ用</v>
          </cell>
          <cell r="C6159" t="str">
            <v>【HPEプロアクティブケア】メーカー推奨／低価格で国内専用窓口の高品質な保守により、システム運用における安心を提供します。</v>
          </cell>
        </row>
        <row r="6160">
          <cell r="A6160" t="str">
            <v>U8L00E</v>
          </cell>
          <cell r="B6160" t="str">
            <v>FC 24x7 3年 c7000 16OneView用</v>
          </cell>
          <cell r="C6160" t="str">
            <v>【ファウンデーションケア】</v>
          </cell>
        </row>
        <row r="6161">
          <cell r="A6161" t="str">
            <v>U8L06E</v>
          </cell>
          <cell r="B6161" t="str">
            <v>FC 24x7 4年 c7000 16OneView用</v>
          </cell>
          <cell r="C6161" t="str">
            <v>【ファウンデーションケア】</v>
          </cell>
        </row>
        <row r="6162">
          <cell r="A6162" t="str">
            <v>U8L12E</v>
          </cell>
          <cell r="B6162" t="str">
            <v>FC 24x7 5年 c7000 16OneView用</v>
          </cell>
          <cell r="C6162" t="str">
            <v>【ファウンデーションケア】</v>
          </cell>
        </row>
        <row r="6163">
          <cell r="A6163" t="str">
            <v>U8L18E</v>
          </cell>
          <cell r="B6163" t="str">
            <v>PC 24x7 3年 c7000 16OneView用</v>
          </cell>
          <cell r="C6163" t="str">
            <v>【HPEプロアクティブケア】メーカー推奨／低価格で国内専用窓口の高品質な保守により、システム運用における安心を提供します。</v>
          </cell>
        </row>
        <row r="6164">
          <cell r="A6164" t="str">
            <v>U8L24E</v>
          </cell>
          <cell r="B6164" t="str">
            <v>PC 24x7 4年 c7000 16OneView用</v>
          </cell>
          <cell r="C6164" t="str">
            <v>【HPEプロアクティブケア】メーカー推奨／低価格で国内専用窓口の高品質な保守により、システム運用における安心を提供します。</v>
          </cell>
        </row>
        <row r="6165">
          <cell r="A6165" t="str">
            <v>U8L30E</v>
          </cell>
          <cell r="B6165" t="str">
            <v>PC 24x7 5年 c7000 16OneView用</v>
          </cell>
          <cell r="C6165" t="str">
            <v>【HPEプロアクティブケア】メーカー推奨／低価格で国内専用窓口の高品質な保守により、システム運用における安心を提供します。</v>
          </cell>
        </row>
        <row r="6166">
          <cell r="A6166" t="str">
            <v>U8L34E</v>
          </cell>
          <cell r="B6166" t="str">
            <v>FC 9x5 3年 c7000 16OneView用</v>
          </cell>
          <cell r="C6166" t="str">
            <v>【ファウンデーションケア】</v>
          </cell>
        </row>
        <row r="6167">
          <cell r="A6167" t="str">
            <v>U8L35E</v>
          </cell>
          <cell r="B6167" t="str">
            <v>FC 9x5 4年 c7000 16OneView用</v>
          </cell>
          <cell r="C6167" t="str">
            <v>【ファウンデーションケア】</v>
          </cell>
        </row>
        <row r="6168">
          <cell r="A6168" t="str">
            <v>U8L36E</v>
          </cell>
          <cell r="B6168" t="str">
            <v>FC 9x5 5年 c7000 16OneView用</v>
          </cell>
          <cell r="C6168" t="str">
            <v>【ファウンデーションケア】</v>
          </cell>
        </row>
        <row r="6169">
          <cell r="A6169" t="str">
            <v>U8LP9E</v>
          </cell>
          <cell r="B6169" t="str">
            <v>FC 24x7 3年 BL660c Gen9用</v>
          </cell>
          <cell r="C6169" t="str">
            <v>【ファウンデーションケア】</v>
          </cell>
        </row>
        <row r="6170">
          <cell r="A6170" t="str">
            <v>U8LQ0E</v>
          </cell>
          <cell r="B6170" t="str">
            <v>FC 24x7 HD返却不要 3年 BL660c Gen9用</v>
          </cell>
          <cell r="C6170" t="str">
            <v>【ファウンデーションケア】</v>
          </cell>
        </row>
        <row r="6171">
          <cell r="A6171" t="str">
            <v>U8LQ2E</v>
          </cell>
          <cell r="B6171" t="str">
            <v>ProCare 24x7 3年 ProLiant BL660c Gen9用</v>
          </cell>
          <cell r="C6171" t="str">
            <v>【HPEプロアクティブケア】メーカー推奨／低価格で国内専用窓口の高品質な保守により、システム運用における安心を提供します。</v>
          </cell>
        </row>
        <row r="6172">
          <cell r="A6172" t="str">
            <v>U8LQ3E</v>
          </cell>
          <cell r="B6172" t="str">
            <v>ProCare HD返却不要 24x7 3年 BL660c Gen9</v>
          </cell>
          <cell r="C6172" t="str">
            <v>【HPEプロアクティブケア】メーカー推奨／低価格で国内専用窓口の高品質な保守により、システム運用における安心を提供します。</v>
          </cell>
        </row>
        <row r="6173">
          <cell r="A6173" t="str">
            <v>U8LR7E</v>
          </cell>
          <cell r="B6173" t="str">
            <v>FC 翌日 4年 BL660c Gen9用</v>
          </cell>
          <cell r="C6173" t="str">
            <v>【ファウンデーションケア】</v>
          </cell>
        </row>
        <row r="6174">
          <cell r="A6174" t="str">
            <v>U8LS6E</v>
          </cell>
          <cell r="B6174" t="str">
            <v>FC 24x7 4年 BL660c Gen9用</v>
          </cell>
          <cell r="C6174" t="str">
            <v>【ファウンデーションケア】</v>
          </cell>
        </row>
        <row r="6175">
          <cell r="A6175" t="str">
            <v>U8LS7E</v>
          </cell>
          <cell r="B6175" t="str">
            <v>FC 24x7 HD返却不要 4年 BL660c Gen9用</v>
          </cell>
          <cell r="C6175" t="str">
            <v>【ファウンデーションケア】</v>
          </cell>
        </row>
        <row r="6176">
          <cell r="A6176" t="str">
            <v>U8LS9E</v>
          </cell>
          <cell r="B6176" t="str">
            <v>ProCare 24x7 4年 ProLiant BL660c Gen9用</v>
          </cell>
          <cell r="C6176" t="str">
            <v>【HPEプロアクティブケア】メーカー推奨／低価格で国内専用窓口の高品質な保守により、システム運用における安心を提供します。</v>
          </cell>
        </row>
        <row r="6177">
          <cell r="A6177" t="str">
            <v>U8LT0E</v>
          </cell>
          <cell r="B6177" t="str">
            <v>ProCare HD返却不要 24x7 4年 BL660c Gen9</v>
          </cell>
          <cell r="C6177" t="str">
            <v>【HPEプロアクティブケア】メーカー推奨／低価格で国内専用窓口の高品質な保守により、システム運用における安心を提供します。</v>
          </cell>
        </row>
        <row r="6178">
          <cell r="A6178" t="str">
            <v>U8LU4E</v>
          </cell>
          <cell r="B6178" t="str">
            <v>FC 翌日 5年 BL660c Gen9用</v>
          </cell>
          <cell r="C6178" t="str">
            <v>【ファウンデーションケア】</v>
          </cell>
        </row>
        <row r="6179">
          <cell r="A6179" t="str">
            <v>U8LV3E</v>
          </cell>
          <cell r="B6179" t="str">
            <v>FC 24x7 5年 BL660c Gen9用</v>
          </cell>
          <cell r="C6179" t="str">
            <v>【ファウンデーションケア】</v>
          </cell>
        </row>
        <row r="6180">
          <cell r="A6180" t="str">
            <v>U8LV4E</v>
          </cell>
          <cell r="B6180" t="str">
            <v>FC 24x7 HD返却不要 5年 BL660c Gen9用</v>
          </cell>
          <cell r="C6180" t="str">
            <v>【ファウンデーションケア】</v>
          </cell>
        </row>
        <row r="6181">
          <cell r="A6181" t="str">
            <v>U8LV6E</v>
          </cell>
          <cell r="B6181" t="str">
            <v>ProCare 24x7 5年 ProLiant BL660c Gen9用</v>
          </cell>
          <cell r="C6181" t="str">
            <v>【HPEプロアクティブケア】メーカー推奨／低価格で国内専用窓口の高品質な保守により、システム運用における安心を提供します。</v>
          </cell>
        </row>
        <row r="6182">
          <cell r="A6182" t="str">
            <v>U8LV7E</v>
          </cell>
          <cell r="B6182" t="str">
            <v>ProCare HD返却不要 24x7 5年 BL660c Gen9</v>
          </cell>
          <cell r="C6182" t="str">
            <v>【HPEプロアクティブケア】メーカー推奨／低価格で国内専用窓口の高品質な保守により、システム運用における安心を提供します。</v>
          </cell>
        </row>
        <row r="6183">
          <cell r="A6183" t="str">
            <v>U8LX1E</v>
          </cell>
          <cell r="B6183" t="str">
            <v>FC 9x5 3年 BL660c Gen9用</v>
          </cell>
          <cell r="C6183" t="str">
            <v>【ファウンデーションケア】</v>
          </cell>
        </row>
        <row r="6184">
          <cell r="A6184" t="str">
            <v>U8LX2E</v>
          </cell>
          <cell r="B6184" t="str">
            <v>FC 9x5 HD返却不要 3年 BL660c Gen9用</v>
          </cell>
          <cell r="C6184" t="str">
            <v>【ファウンデーションケア】</v>
          </cell>
        </row>
        <row r="6185">
          <cell r="A6185" t="str">
            <v>U8LX3E</v>
          </cell>
          <cell r="B6185" t="str">
            <v>FC 9x5 4年 BL660c Gen9用</v>
          </cell>
          <cell r="C6185" t="str">
            <v>【ファウンデーションケア】</v>
          </cell>
        </row>
        <row r="6186">
          <cell r="A6186" t="str">
            <v>U8LX4E</v>
          </cell>
          <cell r="B6186" t="str">
            <v>FC 9x5 HD返却不要 4年 BL660c Gen9用</v>
          </cell>
          <cell r="C6186" t="str">
            <v>【ファウンデーションケア】</v>
          </cell>
        </row>
        <row r="6187">
          <cell r="A6187" t="str">
            <v>U8LX5E</v>
          </cell>
          <cell r="B6187" t="str">
            <v>FC 9x5 5年 BL660c Gen9用</v>
          </cell>
          <cell r="C6187" t="str">
            <v>【ファウンデーションケア】</v>
          </cell>
        </row>
        <row r="6188">
          <cell r="A6188" t="str">
            <v>U8LX6E</v>
          </cell>
          <cell r="B6188" t="str">
            <v>FC 9x5 HD返却不要 5年 BL660c Gen9用</v>
          </cell>
          <cell r="C6188" t="str">
            <v>【ファウンデーションケア】</v>
          </cell>
        </row>
        <row r="6189">
          <cell r="A6189" t="str">
            <v>U8NF6E</v>
          </cell>
          <cell r="B6189" t="str">
            <v>FC 24x7 3年 DL580 Gen9用</v>
          </cell>
          <cell r="C6189" t="str">
            <v>【ファウンデーションケア】</v>
          </cell>
        </row>
        <row r="6190">
          <cell r="A6190" t="str">
            <v>U8NF7E</v>
          </cell>
          <cell r="B6190" t="str">
            <v>FC 24x7 HD返却不要 3年 DL580 Gen9用</v>
          </cell>
          <cell r="C6190" t="str">
            <v>【ファウンデーションケア】</v>
          </cell>
        </row>
        <row r="6191">
          <cell r="A6191" t="str">
            <v>U8NF8E</v>
          </cell>
          <cell r="B6191" t="str">
            <v>ProCare 24x7 3年 ProLiant DL580 Gen9用</v>
          </cell>
          <cell r="C6191" t="str">
            <v>【HPEプロアクティブケア】メーカー推奨／低価格で国内専用窓口の高品質な保守により、システム運用における安心を提供します。</v>
          </cell>
        </row>
        <row r="6192">
          <cell r="A6192" t="str">
            <v>U8NF9E</v>
          </cell>
          <cell r="B6192" t="str">
            <v>ProCare HD返却不要 24x7 3年 DL580 Gen9用</v>
          </cell>
          <cell r="C6192" t="str">
            <v>【HPEプロアクティブケア】メーカー推奨／低価格で国内専用窓口の高品質な保守により、システム運用における安心を提供します。</v>
          </cell>
        </row>
        <row r="6193">
          <cell r="A6193" t="str">
            <v>U8NH4E</v>
          </cell>
          <cell r="B6193" t="str">
            <v>FC 24x7 4年 DL580 Gen9用</v>
          </cell>
          <cell r="C6193" t="str">
            <v>【ファウンデーションケア】</v>
          </cell>
        </row>
        <row r="6194">
          <cell r="A6194" t="str">
            <v>U8NH5E</v>
          </cell>
          <cell r="B6194" t="str">
            <v>FC 24x7 HD返却不要 4年 DL580 Gen9用</v>
          </cell>
          <cell r="C6194" t="str">
            <v>【ファウンデーションケア】</v>
          </cell>
        </row>
        <row r="6195">
          <cell r="A6195" t="str">
            <v>U8NH6E</v>
          </cell>
          <cell r="B6195" t="str">
            <v>ProCare 24x7 4年 ProLiant DL580 Gen9用</v>
          </cell>
          <cell r="C6195" t="str">
            <v>【HPEプロアクティブケア】メーカー推奨／低価格で国内専用窓口の高品質な保守により、システム運用における安心を提供します。</v>
          </cell>
        </row>
        <row r="6196">
          <cell r="A6196" t="str">
            <v>U8NH7E</v>
          </cell>
          <cell r="B6196" t="str">
            <v>ProCare HD返却不要 24x7 4年 DL580 Gen9用</v>
          </cell>
          <cell r="C6196" t="str">
            <v>【HPEプロアクティブケア】メーカー推奨／低価格で国内専用窓口の高品質な保守により、システム運用における安心を提供します。</v>
          </cell>
        </row>
        <row r="6197">
          <cell r="A6197" t="str">
            <v>U8NK2E</v>
          </cell>
          <cell r="B6197" t="str">
            <v>FC 24x7 5年 DL580 Gen9用</v>
          </cell>
          <cell r="C6197" t="str">
            <v>【ファウンデーションケア】</v>
          </cell>
        </row>
        <row r="6198">
          <cell r="A6198" t="str">
            <v>U8NK3E</v>
          </cell>
          <cell r="B6198" t="str">
            <v>FC 24x7 HD返却不要 5年 DL580 Gen9用</v>
          </cell>
          <cell r="C6198" t="str">
            <v>【ファウンデーションケア】</v>
          </cell>
        </row>
        <row r="6199">
          <cell r="A6199" t="str">
            <v>U8NK4E</v>
          </cell>
          <cell r="B6199" t="str">
            <v>ProCare 24x7 5年 ProLiant DL580 Gen9用</v>
          </cell>
          <cell r="C6199" t="str">
            <v>【HPEプロアクティブケア】メーカー推奨／低価格で国内専用窓口の高品質な保守により、システム運用における安心を提供します。</v>
          </cell>
        </row>
        <row r="6200">
          <cell r="A6200" t="str">
            <v>U8NK5E</v>
          </cell>
          <cell r="B6200" t="str">
            <v>ProCare HD返却不要 24x7 5年 DL580 Gen9用</v>
          </cell>
          <cell r="C6200" t="str">
            <v>【HPEプロアクティブケア】メーカー推奨／低価格で国内専用窓口の高品質な保守により、システム運用における安心を提供します。</v>
          </cell>
        </row>
        <row r="6201">
          <cell r="A6201" t="str">
            <v>U8NP1E</v>
          </cell>
          <cell r="B6201" t="str">
            <v>FC 9x5 3年 DL580 Gen9用</v>
          </cell>
          <cell r="C6201" t="str">
            <v>【ファウンデーションケア】</v>
          </cell>
        </row>
        <row r="6202">
          <cell r="A6202" t="str">
            <v>U8NP2E</v>
          </cell>
          <cell r="B6202" t="str">
            <v>FC 9x5 HD返却不要 3年 DL580 Gen9用</v>
          </cell>
          <cell r="C6202" t="str">
            <v>【ファウンデーションケア】</v>
          </cell>
        </row>
        <row r="6203">
          <cell r="A6203" t="str">
            <v>U8NP3E</v>
          </cell>
          <cell r="B6203" t="str">
            <v>FC 9x5 4年 DL580 Gen9用</v>
          </cell>
          <cell r="C6203" t="str">
            <v>【ファウンデーションケア】</v>
          </cell>
        </row>
        <row r="6204">
          <cell r="A6204" t="str">
            <v>U8NP4E</v>
          </cell>
          <cell r="B6204" t="str">
            <v>FC 9x5 HD返却不要 4年 DL580 Gen9用</v>
          </cell>
          <cell r="C6204" t="str">
            <v>【ファウンデーションケア】</v>
          </cell>
        </row>
        <row r="6205">
          <cell r="A6205" t="str">
            <v>U8NP5E</v>
          </cell>
          <cell r="B6205" t="str">
            <v>FC 9x5 5年 DL580 Gen9用</v>
          </cell>
          <cell r="C6205" t="str">
            <v>【ファウンデーションケア】</v>
          </cell>
        </row>
        <row r="6206">
          <cell r="A6206" t="str">
            <v>U8NP6E</v>
          </cell>
          <cell r="B6206" t="str">
            <v>FC 9x5 HD返却不要 5年 DL580 Gen9用</v>
          </cell>
          <cell r="C6206" t="str">
            <v>【ファウンデーションケア】</v>
          </cell>
        </row>
        <row r="6207">
          <cell r="A6207" t="str">
            <v>U8NQ3E</v>
          </cell>
          <cell r="B6207" t="str">
            <v>FC 24x7 3年 DL580 Gen9 OV用</v>
          </cell>
          <cell r="C6207" t="str">
            <v>【ファウンデーションケア】</v>
          </cell>
        </row>
        <row r="6208">
          <cell r="A6208" t="str">
            <v>U8NQ4E</v>
          </cell>
          <cell r="B6208" t="str">
            <v>FC 24x7 HD返却不要 3年 DL580 Gen9 OV</v>
          </cell>
          <cell r="C6208" t="str">
            <v>【ファウンデーションケア】</v>
          </cell>
        </row>
        <row r="6209">
          <cell r="A6209" t="str">
            <v>U8NQ5E</v>
          </cell>
          <cell r="B6209" t="str">
            <v>ProCare 24x7 3年 DL580 Gen9 OV用</v>
          </cell>
          <cell r="C6209" t="str">
            <v>【HPEプロアクティブケア】メーカー推奨／低価格で国内専用窓口の高品質な保守により、システム運用における安心を提供します。</v>
          </cell>
        </row>
        <row r="6210">
          <cell r="A6210" t="str">
            <v>U8NQ6E</v>
          </cell>
          <cell r="B6210" t="str">
            <v>ProCare HD返不要 24x7 3年 DL580 Gen9 OV</v>
          </cell>
          <cell r="C6210" t="str">
            <v>【HPEプロアクティブケア】メーカー推奨／低価格で国内専用窓口の高品質な保守により、システム運用における安心を提供します。</v>
          </cell>
        </row>
        <row r="6211">
          <cell r="A6211" t="str">
            <v>U8NS1E</v>
          </cell>
          <cell r="B6211" t="str">
            <v>FC 24x7 4年 DL580 Gen9 OV用</v>
          </cell>
          <cell r="C6211" t="str">
            <v>【ファウンデーションケア】</v>
          </cell>
        </row>
        <row r="6212">
          <cell r="A6212" t="str">
            <v>U8NS2E</v>
          </cell>
          <cell r="B6212" t="str">
            <v>FC 24x7 HD返却不要 4年 DL580 Gen9 OV</v>
          </cell>
          <cell r="C6212" t="str">
            <v>【ファウンデーションケア】</v>
          </cell>
        </row>
        <row r="6213">
          <cell r="A6213" t="str">
            <v>U8NS3E</v>
          </cell>
          <cell r="B6213" t="str">
            <v>ProCare 24x7 4年 DL580 Gen9 OV用</v>
          </cell>
          <cell r="C6213" t="str">
            <v>【HPEプロアクティブケア】メーカー推奨／低価格で国内専用窓口の高品質な保守により、システム運用における安心を提供します。</v>
          </cell>
        </row>
        <row r="6214">
          <cell r="A6214" t="str">
            <v>U8NS4E</v>
          </cell>
          <cell r="B6214" t="str">
            <v>ProCare HD返不要 24x7 4年 DL580 Gen9 OV</v>
          </cell>
          <cell r="C6214" t="str">
            <v>【HPEプロアクティブケア】メーカー推奨／低価格で国内専用窓口の高品質な保守により、システム運用における安心を提供します。</v>
          </cell>
        </row>
        <row r="6215">
          <cell r="A6215" t="str">
            <v>U8NT9E</v>
          </cell>
          <cell r="B6215" t="str">
            <v>FC 24x7 5年 DL580 Gen9 OV用</v>
          </cell>
          <cell r="C6215" t="str">
            <v>【ファウンデーションケア】</v>
          </cell>
        </row>
        <row r="6216">
          <cell r="A6216" t="str">
            <v>U8NU0E</v>
          </cell>
          <cell r="B6216" t="str">
            <v>FC 24x7 HD返却不要 5年 DL580 Gen9 OV</v>
          </cell>
          <cell r="C6216" t="str">
            <v>【ファウンデーションケア】</v>
          </cell>
        </row>
        <row r="6217">
          <cell r="A6217" t="str">
            <v>U8NU1E</v>
          </cell>
          <cell r="B6217" t="str">
            <v>ProCare 24x7 5年 DL580 Gen9 OV用</v>
          </cell>
          <cell r="C6217" t="str">
            <v>【HPEプロアクティブケア】メーカー推奨／低価格で国内専用窓口の高品質な保守により、システム運用における安心を提供します。</v>
          </cell>
        </row>
        <row r="6218">
          <cell r="A6218" t="str">
            <v>U8NU2E</v>
          </cell>
          <cell r="B6218" t="str">
            <v>ProCare HD返不要 24x7 5年 DL580 Gen9 OV</v>
          </cell>
          <cell r="C6218" t="str">
            <v>【HPEプロアクティブケア】メーカー推奨／低価格で国内専用窓口の高品質な保守により、システム運用における安心を提供します。</v>
          </cell>
        </row>
        <row r="6219">
          <cell r="A6219" t="str">
            <v>U8NX8E</v>
          </cell>
          <cell r="B6219" t="str">
            <v>FC 9x5 3年 DL580 Gen9 OV用</v>
          </cell>
          <cell r="C6219" t="str">
            <v>【ファウンデーションケア】</v>
          </cell>
        </row>
        <row r="6220">
          <cell r="A6220" t="str">
            <v>U8NX9E</v>
          </cell>
          <cell r="B6220" t="str">
            <v>FC 9x5 HD返却不要 3年 DL580 Gen9 OV</v>
          </cell>
          <cell r="C6220" t="str">
            <v>【ファウンデーションケア】</v>
          </cell>
        </row>
        <row r="6221">
          <cell r="A6221" t="str">
            <v>U8NY0E</v>
          </cell>
          <cell r="B6221" t="str">
            <v>FC 9x5 4年 DL580 Gen9 OV用</v>
          </cell>
          <cell r="C6221" t="str">
            <v>【ファウンデーションケア】</v>
          </cell>
        </row>
        <row r="6222">
          <cell r="A6222" t="str">
            <v>U8NY1E</v>
          </cell>
          <cell r="B6222" t="str">
            <v>FC 9x5 HD返却不要 4年 DL580 Gen9 OV</v>
          </cell>
          <cell r="C6222" t="str">
            <v>【ファウンデーションケア】</v>
          </cell>
        </row>
        <row r="6223">
          <cell r="A6223" t="str">
            <v>U8NY2E</v>
          </cell>
          <cell r="B6223" t="str">
            <v>FC 9x5 5年 DL580 Gen9 OV用</v>
          </cell>
          <cell r="C6223" t="str">
            <v>【ファウンデーションケア】</v>
          </cell>
        </row>
        <row r="6224">
          <cell r="A6224" t="str">
            <v>U8NY3E</v>
          </cell>
          <cell r="B6224" t="str">
            <v>FC 9x5 HD返却不要 5年 DL580 Gen9 OV</v>
          </cell>
          <cell r="C6224" t="str">
            <v>【ファウンデーションケア】</v>
          </cell>
        </row>
        <row r="6225">
          <cell r="A6225" t="str">
            <v>U8NZ0PE</v>
          </cell>
          <cell r="B6225" t="str">
            <v>PW FC 翌日 1年 DL60 Gen9用</v>
          </cell>
          <cell r="C6225" t="str">
            <v>【ファウンデーションケア】</v>
          </cell>
        </row>
        <row r="6226">
          <cell r="A6226" t="str">
            <v>U8NZ3PE</v>
          </cell>
          <cell r="B6226" t="str">
            <v>PW FC 24x7 1年 DL60 Gen9用</v>
          </cell>
          <cell r="C6226" t="str">
            <v>【ファウンデーションケア】</v>
          </cell>
        </row>
        <row r="6227">
          <cell r="A6227" t="str">
            <v>U8NZ4PE</v>
          </cell>
          <cell r="B6227" t="str">
            <v>PW FC 24x7 HD返却不要 1年 DL60 Gen9用</v>
          </cell>
          <cell r="C6227" t="str">
            <v>【ファウンデーションケア】</v>
          </cell>
        </row>
        <row r="6228">
          <cell r="A6228" t="str">
            <v>U8PA2PE</v>
          </cell>
          <cell r="B6228" t="str">
            <v>PW PC 24x7 1年 DL60 Gen9用</v>
          </cell>
          <cell r="C6228" t="str">
            <v>【HPEプロアクティブケア】メーカー推奨／低価格で国内専用窓口の高品質な保守により、システム運用における安心を提供します。</v>
          </cell>
        </row>
        <row r="6229">
          <cell r="A6229" t="str">
            <v>U8PA3PE</v>
          </cell>
          <cell r="B6229" t="str">
            <v>PW PC 24x7 HD返却不要 1年 DL60 Gen9用</v>
          </cell>
          <cell r="C6229" t="str">
            <v>【HPEプロアクティブケア】メーカー推奨／低価格で国内専用窓口の高品質な保守により、システム運用における安心を提供します。</v>
          </cell>
        </row>
        <row r="6230">
          <cell r="A6230" t="str">
            <v>U8PA8PE</v>
          </cell>
          <cell r="B6230" t="str">
            <v>PW FC 9x5 1年 DL60 Gen9用</v>
          </cell>
          <cell r="C6230" t="str">
            <v>【ファウンデーションケア】</v>
          </cell>
        </row>
        <row r="6231">
          <cell r="A6231" t="str">
            <v>U8PA9PE</v>
          </cell>
          <cell r="B6231" t="str">
            <v>PW FC 9x5 HD返却不要 1年 DL60 Gen9用</v>
          </cell>
          <cell r="C6231" t="str">
            <v>【ファウンデーションケア】</v>
          </cell>
        </row>
        <row r="6232">
          <cell r="A6232" t="str">
            <v>U8PB0PE</v>
          </cell>
          <cell r="B6232" t="str">
            <v>PW FC 翌日 1年 DL80 Gen9用</v>
          </cell>
          <cell r="C6232" t="str">
            <v>【ファウンデーションケア】</v>
          </cell>
        </row>
        <row r="6233">
          <cell r="A6233" t="str">
            <v>U8PB3PE</v>
          </cell>
          <cell r="B6233" t="str">
            <v>PW FC 24x7 1年 DL80 Gen9用</v>
          </cell>
          <cell r="C6233" t="str">
            <v>【ファウンデーションケア】</v>
          </cell>
        </row>
        <row r="6234">
          <cell r="A6234" t="str">
            <v>U8PB4PE</v>
          </cell>
          <cell r="B6234" t="str">
            <v>PW FC 24x7 HD返却不要 1年 DL80 Gen9用</v>
          </cell>
          <cell r="C6234" t="str">
            <v>【ファウンデーションケア】</v>
          </cell>
        </row>
        <row r="6235">
          <cell r="A6235" t="str">
            <v>U8PC2PE</v>
          </cell>
          <cell r="B6235" t="str">
            <v>PW PC 24x7 1年 DL80 Gen9用</v>
          </cell>
          <cell r="C6235" t="str">
            <v>【HPEプロアクティブケア】メーカー推奨／低価格で国内専用窓口の高品質な保守により、システム運用における安心を提供します。</v>
          </cell>
        </row>
        <row r="6236">
          <cell r="A6236" t="str">
            <v>U8PC3PE</v>
          </cell>
          <cell r="B6236" t="str">
            <v>PW PC 24x7 HD返却不要 1年 DL80 Gen9用</v>
          </cell>
          <cell r="C6236" t="str">
            <v>【HPEプロアクティブケア】メーカー推奨／低価格で国内専用窓口の高品質な保守により、システム運用における安心を提供します。</v>
          </cell>
        </row>
        <row r="6237">
          <cell r="A6237" t="str">
            <v>U8PC8PE</v>
          </cell>
          <cell r="B6237" t="str">
            <v>PW FC 9x5 1年 DL80 Gen9用</v>
          </cell>
          <cell r="C6237" t="str">
            <v>【ファウンデーションケア】</v>
          </cell>
        </row>
        <row r="6238">
          <cell r="A6238" t="str">
            <v>U8PC9PE</v>
          </cell>
          <cell r="B6238" t="str">
            <v>PW FC 9x5 HD返却不要 1年 DL80 Gen9用</v>
          </cell>
          <cell r="C6238" t="str">
            <v>【ファウンデーションケア】</v>
          </cell>
        </row>
        <row r="6239">
          <cell r="A6239" t="str">
            <v>U8QM1E</v>
          </cell>
          <cell r="B6239" t="str">
            <v>FC 24x7 3年 DL560 Gen9用</v>
          </cell>
          <cell r="C6239" t="str">
            <v>【ファウンデーションケア】</v>
          </cell>
        </row>
        <row r="6240">
          <cell r="A6240" t="str">
            <v>U8QM2E</v>
          </cell>
          <cell r="B6240" t="str">
            <v>FC 24x7 HD返却不要 3年 DL560 Gen9用</v>
          </cell>
          <cell r="C6240" t="str">
            <v>【ファウンデーションケア】</v>
          </cell>
        </row>
        <row r="6241">
          <cell r="A6241" t="str">
            <v>U8QM3E</v>
          </cell>
          <cell r="B6241" t="str">
            <v>ProCare 24x7 3年 ProLiant DL560 Gen9用</v>
          </cell>
          <cell r="C6241" t="str">
            <v>【HPEプロアクティブケア】メーカー推奨／低価格で国内専用窓口の高品質な保守により、システム運用における安心を提供します。</v>
          </cell>
        </row>
        <row r="6242">
          <cell r="A6242" t="str">
            <v>U8QM4E</v>
          </cell>
          <cell r="B6242" t="str">
            <v>ProCare HD返却不要 24x7 3年 DL560 Gen9用</v>
          </cell>
          <cell r="C6242" t="str">
            <v>【HPEプロアクティブケア】メーカー推奨／低価格で国内専用窓口の高品質な保守により、システム運用における安心を提供します。</v>
          </cell>
        </row>
        <row r="6243">
          <cell r="A6243" t="str">
            <v>U8QN9E</v>
          </cell>
          <cell r="B6243" t="str">
            <v>FC 24x7 4年 DL560 Gen9用</v>
          </cell>
          <cell r="C6243" t="str">
            <v>【ファウンデーションケア】</v>
          </cell>
        </row>
        <row r="6244">
          <cell r="A6244" t="str">
            <v>U8QP0E</v>
          </cell>
          <cell r="B6244" t="str">
            <v>FC 24x7 HD返却不要 4年 DL560 Gen9用</v>
          </cell>
          <cell r="C6244" t="str">
            <v>【ファウンデーションケア】</v>
          </cell>
        </row>
        <row r="6245">
          <cell r="A6245" t="str">
            <v>U8QP1E</v>
          </cell>
          <cell r="B6245" t="str">
            <v>ProCare 24x7 4年 ProLiant DL560 Gen9用</v>
          </cell>
          <cell r="C6245" t="str">
            <v>【HPEプロアクティブケア】メーカー推奨／低価格で国内専用窓口の高品質な保守により、システム運用における安心を提供します。</v>
          </cell>
        </row>
        <row r="6246">
          <cell r="A6246" t="str">
            <v>U8QP2E</v>
          </cell>
          <cell r="B6246" t="str">
            <v>ProCare HD返却不要 24x7 4年 DL560 Gen9用</v>
          </cell>
          <cell r="C6246" t="str">
            <v>【HPEプロアクティブケア】メーカー推奨／低価格で国内専用窓口の高品質な保守により、システム運用における安心を提供します。</v>
          </cell>
        </row>
        <row r="6247">
          <cell r="A6247" t="str">
            <v>U8QQ7E</v>
          </cell>
          <cell r="B6247" t="str">
            <v>FC 24x7 5年 DL560 Gen9用</v>
          </cell>
          <cell r="C6247" t="str">
            <v>【ファウンデーションケア】</v>
          </cell>
        </row>
        <row r="6248">
          <cell r="A6248" t="str">
            <v>U8QQ8E</v>
          </cell>
          <cell r="B6248" t="str">
            <v>FC 24x7 HD返却不要 5年 DL560 Gen9用</v>
          </cell>
          <cell r="C6248" t="str">
            <v>【ファウンデーションケア】</v>
          </cell>
        </row>
        <row r="6249">
          <cell r="A6249" t="str">
            <v>U8QQ9E</v>
          </cell>
          <cell r="B6249" t="str">
            <v>ProCare 24x7 5年 ProLiant DL560 Gen9用</v>
          </cell>
          <cell r="C6249" t="str">
            <v>【HPEプロアクティブケア】メーカー推奨／低価格で国内専用窓口の高品質な保守により、システム運用における安心を提供します。</v>
          </cell>
        </row>
        <row r="6250">
          <cell r="A6250" t="str">
            <v>U8QR0E</v>
          </cell>
          <cell r="B6250" t="str">
            <v>ProCare HD返却不要 24x7 5年 DL560 Gen9用</v>
          </cell>
          <cell r="C6250" t="str">
            <v>【HPEプロアクティブケア】メーカー推奨／低価格で国内専用窓口の高品質な保守により、システム運用における安心を提供します。</v>
          </cell>
        </row>
        <row r="6251">
          <cell r="A6251" t="str">
            <v>U8QU6E</v>
          </cell>
          <cell r="B6251" t="str">
            <v>FC 9x5 3年 DL560 Gen9用</v>
          </cell>
          <cell r="C6251" t="str">
            <v>【ファウンデーションケア】</v>
          </cell>
        </row>
        <row r="6252">
          <cell r="A6252" t="str">
            <v>U8QU7E</v>
          </cell>
          <cell r="B6252" t="str">
            <v>FC 9x5 HD返却不要 3年 DL560 Gen9用</v>
          </cell>
          <cell r="C6252" t="str">
            <v>【ファウンデーションケア】</v>
          </cell>
        </row>
        <row r="6253">
          <cell r="A6253" t="str">
            <v>U8QU8E</v>
          </cell>
          <cell r="B6253" t="str">
            <v>FC 9x5 4年 DL560 Gen9用</v>
          </cell>
          <cell r="C6253" t="str">
            <v>【ファウンデーションケア】</v>
          </cell>
        </row>
        <row r="6254">
          <cell r="A6254" t="str">
            <v>U8QU9E</v>
          </cell>
          <cell r="B6254" t="str">
            <v>FC 9x5 HD返却不要 4年 DL560 Gen9用</v>
          </cell>
          <cell r="C6254" t="str">
            <v>【ファウンデーションケア】</v>
          </cell>
        </row>
        <row r="6255">
          <cell r="A6255" t="str">
            <v>U8QV0E</v>
          </cell>
          <cell r="B6255" t="str">
            <v>FC 9x5 5年 DL560 Gen9用</v>
          </cell>
          <cell r="C6255" t="str">
            <v>【ファウンデーションケア】</v>
          </cell>
        </row>
        <row r="6256">
          <cell r="A6256" t="str">
            <v>U8QV1E</v>
          </cell>
          <cell r="B6256" t="str">
            <v>FC 9x5 HD返却不要 5年 DL560 Gen9用</v>
          </cell>
          <cell r="C6256" t="str">
            <v>【ファウンデーションケア】</v>
          </cell>
        </row>
        <row r="6257">
          <cell r="A6257" t="str">
            <v>U8QV8E</v>
          </cell>
          <cell r="B6257" t="str">
            <v>FC 24x7 3年 DL560 Gen9 OV用</v>
          </cell>
          <cell r="C6257" t="str">
            <v>【ファウンデーションケア】</v>
          </cell>
        </row>
        <row r="6258">
          <cell r="A6258" t="str">
            <v>U8QV9E</v>
          </cell>
          <cell r="B6258" t="str">
            <v>FC 24x7 HD返却不要 3年 DL560 Gen9 OV用</v>
          </cell>
          <cell r="C6258" t="str">
            <v>【ファウンデーションケア】</v>
          </cell>
        </row>
        <row r="6259">
          <cell r="A6259" t="str">
            <v>U8QW0E</v>
          </cell>
          <cell r="B6259" t="str">
            <v>ProCare 24x7 3年 DL560 Gen9 OV用</v>
          </cell>
          <cell r="C6259" t="str">
            <v>【HPEプロアクティブケア】メーカー推奨／低価格で国内専用窓口の高品質な保守により、システム運用における安心を提供します。</v>
          </cell>
        </row>
        <row r="6260">
          <cell r="A6260" t="str">
            <v>U8QW1E</v>
          </cell>
          <cell r="B6260" t="str">
            <v>ProCare HD返不要 24x7 3年DL560 Gen9 OV用</v>
          </cell>
          <cell r="C6260" t="str">
            <v>【HPEプロアクティブケア】メーカー推奨／低価格で国内専用窓口の高品質な保守により、システム運用における安心を提供します。</v>
          </cell>
        </row>
        <row r="6261">
          <cell r="A6261" t="str">
            <v>U8QX6E</v>
          </cell>
          <cell r="B6261" t="str">
            <v>FC 24x7 4年 DL560 Gen9 OV用</v>
          </cell>
          <cell r="C6261" t="str">
            <v>【ファウンデーションケア】</v>
          </cell>
        </row>
        <row r="6262">
          <cell r="A6262" t="str">
            <v>U8QX7E</v>
          </cell>
          <cell r="B6262" t="str">
            <v>FC 24x7 HD返却不要 4年 DL560 Gen9 OV用</v>
          </cell>
          <cell r="C6262" t="str">
            <v>【ファウンデーションケア】</v>
          </cell>
        </row>
        <row r="6263">
          <cell r="A6263" t="str">
            <v>U8QX8E</v>
          </cell>
          <cell r="B6263" t="str">
            <v>ProCare 24x7 4年 DL560 Gen9 OV用</v>
          </cell>
          <cell r="C6263" t="str">
            <v>【HPEプロアクティブケア】メーカー推奨／低価格で国内専用窓口の高品質な保守により、システム運用における安心を提供します。</v>
          </cell>
        </row>
        <row r="6264">
          <cell r="A6264" t="str">
            <v>U8QX9E</v>
          </cell>
          <cell r="B6264" t="str">
            <v>ProCare HD返不要 24x7 4年DL560 Gen9 OV用</v>
          </cell>
          <cell r="C6264" t="str">
            <v>【HPEプロアクティブケア】メーカー推奨／低価格で国内専用窓口の高品質な保守により、システム運用における安心を提供します。</v>
          </cell>
        </row>
        <row r="6265">
          <cell r="A6265" t="str">
            <v>U8QZ4E</v>
          </cell>
          <cell r="B6265" t="str">
            <v>FC 24x7 5年 DL560 Gen9 OV用</v>
          </cell>
          <cell r="C6265" t="str">
            <v>【ファウンデーションケア】</v>
          </cell>
        </row>
        <row r="6266">
          <cell r="A6266" t="str">
            <v>U8QZ5E</v>
          </cell>
          <cell r="B6266" t="str">
            <v>FC 24x7 HD返却不要 5年 DL560 Gen9 OV用</v>
          </cell>
          <cell r="C6266" t="str">
            <v>【ファウンデーションケア】</v>
          </cell>
        </row>
        <row r="6267">
          <cell r="A6267" t="str">
            <v>U8QZ6E</v>
          </cell>
          <cell r="B6267" t="str">
            <v>ProCare 24x7 5年 DL560 Gen9 OV用</v>
          </cell>
          <cell r="C6267" t="str">
            <v>【HPEプロアクティブケア】メーカー推奨／低価格で国内専用窓口の高品質な保守により、システム運用における安心を提供します。</v>
          </cell>
        </row>
        <row r="6268">
          <cell r="A6268" t="str">
            <v>U8QZ7E</v>
          </cell>
          <cell r="B6268" t="str">
            <v>ProCare HD返不要 24x7 5年DL560 Gen9 OV用</v>
          </cell>
          <cell r="C6268" t="str">
            <v>【HPEプロアクティブケア】メーカー推奨／低価格で国内専用窓口の高品質な保守により、システム運用における安心を提供します。</v>
          </cell>
        </row>
        <row r="6269">
          <cell r="A6269" t="str">
            <v>U8RD3E</v>
          </cell>
          <cell r="B6269" t="str">
            <v>FC 9x5 3年 DL560 Gen9 OV用</v>
          </cell>
          <cell r="C6269" t="str">
            <v>【ファウンデーションケア】</v>
          </cell>
        </row>
        <row r="6270">
          <cell r="A6270" t="str">
            <v>U8RD4E</v>
          </cell>
          <cell r="B6270" t="str">
            <v>FC 9x5 HD返却不要 3年 DL560 Gen9 OV用</v>
          </cell>
          <cell r="C6270" t="str">
            <v>【ファウンデーションケア】</v>
          </cell>
        </row>
        <row r="6271">
          <cell r="A6271" t="str">
            <v>U8RD5E</v>
          </cell>
          <cell r="B6271" t="str">
            <v>FC 9x5 4年 DL560 Gen9 OV用</v>
          </cell>
          <cell r="C6271" t="str">
            <v>【ファウンデーションケア】</v>
          </cell>
        </row>
        <row r="6272">
          <cell r="A6272" t="str">
            <v>U8RD6E</v>
          </cell>
          <cell r="B6272" t="str">
            <v>FC 9x5 HD返却不要 4年 DL560 Gen9 OV用</v>
          </cell>
          <cell r="C6272" t="str">
            <v>【ファウンデーションケア】</v>
          </cell>
        </row>
        <row r="6273">
          <cell r="A6273" t="str">
            <v>U8RD7E</v>
          </cell>
          <cell r="B6273" t="str">
            <v>FC 9x5 5年 DL560 Gen9 OV用</v>
          </cell>
          <cell r="C6273" t="str">
            <v>【ファウンデーションケア】</v>
          </cell>
        </row>
        <row r="6274">
          <cell r="A6274" t="str">
            <v>U8RD8E</v>
          </cell>
          <cell r="B6274" t="str">
            <v>FC 9x5 HD返却不要 5年 DL560 Gen9 OV用</v>
          </cell>
          <cell r="C6274" t="str">
            <v>【ファウンデーションケア】</v>
          </cell>
        </row>
        <row r="6275">
          <cell r="A6275" t="str">
            <v>UF400PE</v>
          </cell>
          <cell r="B6275" t="str">
            <v>PW HW 翌日 1年 ProLiant ML110 G3用</v>
          </cell>
          <cell r="C6275" t="str">
            <v>-</v>
          </cell>
        </row>
        <row r="6276">
          <cell r="A6276" t="str">
            <v>UF402PE</v>
          </cell>
          <cell r="B6276" t="str">
            <v>PW HW 4h 24x7 1年 ProLiant ML110 G3用</v>
          </cell>
          <cell r="C6276" t="str">
            <v>-</v>
          </cell>
        </row>
        <row r="6277">
          <cell r="A6277" t="str">
            <v>UF420PE</v>
          </cell>
          <cell r="B6277" t="str">
            <v>PW HW 翌日 1年 ProLiant ML310 G3用</v>
          </cell>
          <cell r="C6277" t="str">
            <v>-</v>
          </cell>
        </row>
        <row r="6278">
          <cell r="A6278" t="str">
            <v>UF422PE</v>
          </cell>
          <cell r="B6278" t="str">
            <v>PW HW 4h 24x7 1年 ProLiant ML310 G3用</v>
          </cell>
          <cell r="C6278" t="str">
            <v>-</v>
          </cell>
        </row>
        <row r="6279">
          <cell r="A6279" t="str">
            <v>UF424PE</v>
          </cell>
          <cell r="B6279" t="str">
            <v>PW HW 翌日 1年 ProLiant ML330 G3用</v>
          </cell>
          <cell r="C6279" t="str">
            <v>-</v>
          </cell>
        </row>
        <row r="6280">
          <cell r="A6280" t="str">
            <v>UF426PE</v>
          </cell>
          <cell r="B6280" t="str">
            <v>PW HW 4h 24x7 1年 ProLiant ML330 G3用</v>
          </cell>
          <cell r="C6280" t="str">
            <v>-</v>
          </cell>
        </row>
        <row r="6281">
          <cell r="A6281" t="str">
            <v>UF432PE</v>
          </cell>
          <cell r="B6281" t="str">
            <v>PW HW 翌日 1年 ProLiant DL320 G3用</v>
          </cell>
          <cell r="C6281" t="str">
            <v>-</v>
          </cell>
        </row>
        <row r="6282">
          <cell r="A6282" t="str">
            <v>UF434PE</v>
          </cell>
          <cell r="B6282" t="str">
            <v>PW HW 4h 24x7 1年 ProLiant DL320 G3用</v>
          </cell>
          <cell r="C6282" t="str">
            <v>-</v>
          </cell>
        </row>
        <row r="6283">
          <cell r="A6283" t="str">
            <v>UF448PE</v>
          </cell>
          <cell r="B6283" t="str">
            <v>PW HW 翌日 1年 ProLiant DL360 G3用</v>
          </cell>
          <cell r="C6283" t="str">
            <v>-</v>
          </cell>
        </row>
        <row r="6284">
          <cell r="A6284" t="str">
            <v>UF450PE</v>
          </cell>
          <cell r="B6284" t="str">
            <v>PW HW 4h 24x7 1年 ProLiant DL360 G3用</v>
          </cell>
          <cell r="C6284" t="str">
            <v>-</v>
          </cell>
        </row>
        <row r="6285">
          <cell r="A6285" t="str">
            <v>UF893PE</v>
          </cell>
          <cell r="B6285" t="str">
            <v>PW HW 4h 標準 1年 ProLiant ML110 G3用</v>
          </cell>
          <cell r="C6285" t="str">
            <v>-</v>
          </cell>
        </row>
        <row r="6286">
          <cell r="A6286" t="str">
            <v>UF898PE</v>
          </cell>
          <cell r="B6286" t="str">
            <v>PW HW 4h 標準 1年 ProLiant ML310 G3用</v>
          </cell>
          <cell r="C6286" t="str">
            <v>-</v>
          </cell>
        </row>
        <row r="6287">
          <cell r="A6287" t="str">
            <v>UF899PE</v>
          </cell>
          <cell r="B6287" t="str">
            <v>PW HW 4h 標準 1年 ProLiant ML330 G3用</v>
          </cell>
          <cell r="C6287" t="str">
            <v>-</v>
          </cell>
        </row>
        <row r="6288">
          <cell r="A6288" t="str">
            <v>UF901PE</v>
          </cell>
          <cell r="B6288" t="str">
            <v>PW HW 4h 標準 1年 ProLiant DL320 G3用</v>
          </cell>
          <cell r="C6288" t="str">
            <v>-</v>
          </cell>
        </row>
        <row r="6289">
          <cell r="A6289" t="str">
            <v>UF905PE</v>
          </cell>
          <cell r="B6289" t="str">
            <v>PW HW 4h 標準 1年 ProLiant DL360 G3用</v>
          </cell>
          <cell r="C6289" t="str">
            <v>-</v>
          </cell>
        </row>
        <row r="6290">
          <cell r="A6290" t="str">
            <v>UF958PE</v>
          </cell>
          <cell r="B6290" t="str">
            <v>PW HW 4h 標準 1年 ProLiant DL360G4p用</v>
          </cell>
          <cell r="C6290" t="str">
            <v>-</v>
          </cell>
        </row>
        <row r="6291">
          <cell r="A6291" t="str">
            <v>UF970PE</v>
          </cell>
          <cell r="B6291" t="str">
            <v>PW HW 4h 標準 1年 ProLiant DL580 G3用</v>
          </cell>
          <cell r="C6291" t="str">
            <v>-</v>
          </cell>
        </row>
        <row r="6292">
          <cell r="A6292" t="str">
            <v>UF971PE</v>
          </cell>
          <cell r="B6292" t="str">
            <v>PW HW 4h 標準 1年 ProLiant ML570 G3用</v>
          </cell>
          <cell r="C6292" t="str">
            <v>-</v>
          </cell>
        </row>
        <row r="6293">
          <cell r="A6293" t="str">
            <v>UG617PE</v>
          </cell>
          <cell r="B6293" t="str">
            <v>PW HW 翌日 1年 ProLiant DL140 G3用</v>
          </cell>
          <cell r="C6293" t="str">
            <v>-</v>
          </cell>
        </row>
        <row r="6294">
          <cell r="A6294" t="str">
            <v>UG619PE</v>
          </cell>
          <cell r="B6294" t="str">
            <v>PW HW 4h 24x7 1年 ProLiant DL140 G3用</v>
          </cell>
          <cell r="C6294" t="str">
            <v>-</v>
          </cell>
        </row>
        <row r="6295">
          <cell r="A6295" t="str">
            <v>UG643PE</v>
          </cell>
          <cell r="B6295" t="str">
            <v>PW HW 翌日 1年 ProLiant ML350 G4用</v>
          </cell>
          <cell r="C6295" t="str">
            <v>-</v>
          </cell>
        </row>
        <row r="6296">
          <cell r="A6296" t="str">
            <v>UG645PE</v>
          </cell>
          <cell r="B6296" t="str">
            <v>PW HW 4h 24x7 1年 ProLiant ML350 G4用</v>
          </cell>
          <cell r="C6296" t="str">
            <v>-</v>
          </cell>
        </row>
        <row r="6297">
          <cell r="A6297" t="str">
            <v>UG647PE</v>
          </cell>
          <cell r="B6297" t="str">
            <v>PW HW 翌日 1年 ProLiant DL360 G4用</v>
          </cell>
          <cell r="C6297" t="str">
            <v>-</v>
          </cell>
        </row>
        <row r="6298">
          <cell r="A6298" t="str">
            <v>UG649PE</v>
          </cell>
          <cell r="B6298" t="str">
            <v>PW HW 4h 24x7 1年 ProLiant DL360 G4用</v>
          </cell>
          <cell r="C6298" t="str">
            <v>-</v>
          </cell>
        </row>
        <row r="6299">
          <cell r="A6299" t="str">
            <v>UG651PE</v>
          </cell>
          <cell r="B6299" t="str">
            <v>PW HW 翌日 1年 ProLiant ML370 G4用</v>
          </cell>
          <cell r="C6299" t="str">
            <v>-</v>
          </cell>
        </row>
        <row r="6300">
          <cell r="A6300" t="str">
            <v>UG653PE</v>
          </cell>
          <cell r="B6300" t="str">
            <v>PW HW 4h 24x7 1年 ProLiant ML370 G4用</v>
          </cell>
          <cell r="C6300" t="str">
            <v>-</v>
          </cell>
        </row>
        <row r="6301">
          <cell r="A6301" t="str">
            <v>UG655PE</v>
          </cell>
          <cell r="B6301" t="str">
            <v>PW HW 翌日 1年 ProLiant DL380 G4用</v>
          </cell>
          <cell r="C6301" t="str">
            <v>-</v>
          </cell>
        </row>
        <row r="6302">
          <cell r="A6302" t="str">
            <v>UG657PE</v>
          </cell>
          <cell r="B6302" t="str">
            <v>PW HW 4h 24x7 1年 ProLiant DL380 G4用</v>
          </cell>
          <cell r="C6302" t="str">
            <v>-</v>
          </cell>
        </row>
        <row r="6303">
          <cell r="A6303" t="str">
            <v>UG862PE</v>
          </cell>
          <cell r="B6303" t="str">
            <v>PW HW 4h 標準 1年 ProLiant DL140 G3用</v>
          </cell>
          <cell r="C6303" t="str">
            <v>-</v>
          </cell>
        </row>
        <row r="6304">
          <cell r="A6304" t="str">
            <v>UG863PE</v>
          </cell>
          <cell r="B6304" t="str">
            <v>PW HW 4h 標準 1年 ProLiant DL360 G4用</v>
          </cell>
          <cell r="C6304" t="str">
            <v>-</v>
          </cell>
        </row>
        <row r="6305">
          <cell r="A6305" t="str">
            <v>UG864PE</v>
          </cell>
          <cell r="B6305" t="str">
            <v>PW HW 4h 標準 1年 ProLiant DL380 G4用</v>
          </cell>
          <cell r="C6305" t="str">
            <v>-</v>
          </cell>
        </row>
        <row r="6306">
          <cell r="A6306" t="str">
            <v>UG866PE</v>
          </cell>
          <cell r="B6306" t="str">
            <v>PW HW 4h 標準 1年 ProLiant ML350 G4用</v>
          </cell>
          <cell r="C6306" t="str">
            <v>-</v>
          </cell>
        </row>
        <row r="6307">
          <cell r="A6307" t="str">
            <v>UG867PE</v>
          </cell>
          <cell r="B6307" t="str">
            <v>PW HW 4h 標準 1年 ProLiant ML370 G4用</v>
          </cell>
          <cell r="C6307" t="str">
            <v>-</v>
          </cell>
        </row>
        <row r="6308">
          <cell r="A6308" t="str">
            <v>UG934PE</v>
          </cell>
          <cell r="B6308" t="str">
            <v>PW HW 翌日 1年 ProLiant ML110 G4用</v>
          </cell>
          <cell r="C6308" t="str">
            <v>-</v>
          </cell>
        </row>
        <row r="6309">
          <cell r="A6309" t="str">
            <v>UG935PE</v>
          </cell>
          <cell r="B6309" t="str">
            <v>PW HW 翌日 1年 ProLiant DL145 G3用</v>
          </cell>
          <cell r="C6309" t="str">
            <v>-</v>
          </cell>
        </row>
        <row r="6310">
          <cell r="A6310" t="str">
            <v>UG936PE</v>
          </cell>
          <cell r="B6310" t="str">
            <v>PW HW 翌日 1年 ProLiant ML310 G4用</v>
          </cell>
          <cell r="C6310" t="str">
            <v>-</v>
          </cell>
        </row>
        <row r="6311">
          <cell r="A6311" t="str">
            <v>UG940PE</v>
          </cell>
          <cell r="B6311" t="str">
            <v>PW HW 4h 24x7 1年 ProLiant ML110 G4用</v>
          </cell>
          <cell r="C6311" t="str">
            <v>-</v>
          </cell>
        </row>
        <row r="6312">
          <cell r="A6312" t="str">
            <v>UG941PE</v>
          </cell>
          <cell r="B6312" t="str">
            <v>PW HW 4h 24x7 1年 ProLiant DL145 G3用</v>
          </cell>
          <cell r="C6312" t="str">
            <v>-</v>
          </cell>
        </row>
        <row r="6313">
          <cell r="A6313" t="str">
            <v>UG942PE</v>
          </cell>
          <cell r="B6313" t="str">
            <v>PW HW 4h 24x7 1年 ProLiant ML310 G4用</v>
          </cell>
          <cell r="C6313" t="str">
            <v>-</v>
          </cell>
        </row>
        <row r="6314">
          <cell r="A6314" t="str">
            <v>UG978PE</v>
          </cell>
          <cell r="B6314" t="str">
            <v>PW HW 4h 標準 1年 ProLiant ML110 G4用</v>
          </cell>
          <cell r="C6314" t="str">
            <v>-</v>
          </cell>
        </row>
        <row r="6315">
          <cell r="A6315" t="str">
            <v>UG979PE</v>
          </cell>
          <cell r="B6315" t="str">
            <v>PW HW 4h 標準 1年 ProLiant DL145 G3用</v>
          </cell>
          <cell r="C6315" t="str">
            <v>-</v>
          </cell>
        </row>
        <row r="6316">
          <cell r="A6316" t="str">
            <v>UG980PE</v>
          </cell>
          <cell r="B6316" t="str">
            <v>PW HW 4h 標準 1年 ProLiant ML310 G4用</v>
          </cell>
          <cell r="C6316" t="str">
            <v>-</v>
          </cell>
        </row>
        <row r="6317">
          <cell r="A6317" t="str">
            <v>UH616PE</v>
          </cell>
          <cell r="B6317" t="str">
            <v>PW HW 翌日 1年 ProLiant DL360 G4p用</v>
          </cell>
          <cell r="C6317" t="str">
            <v>-</v>
          </cell>
        </row>
        <row r="6318">
          <cell r="A6318" t="str">
            <v>UH618PE</v>
          </cell>
          <cell r="B6318" t="str">
            <v>PW HW 4h 24x7 1年 ProLiant DL360G4p用</v>
          </cell>
          <cell r="C6318" t="str">
            <v>-</v>
          </cell>
        </row>
        <row r="6319">
          <cell r="A6319" t="str">
            <v>UH668PE</v>
          </cell>
          <cell r="B6319" t="str">
            <v>PW HW 翌日 1年 ProLiant DL580 G3用</v>
          </cell>
          <cell r="C6319" t="str">
            <v>-</v>
          </cell>
        </row>
        <row r="6320">
          <cell r="A6320" t="str">
            <v>UH670PE</v>
          </cell>
          <cell r="B6320" t="str">
            <v>PW HW 4h 24x7 1年 ProLiant DL580 G3用</v>
          </cell>
          <cell r="C6320" t="str">
            <v>-</v>
          </cell>
        </row>
        <row r="6321">
          <cell r="A6321" t="str">
            <v>UH672PE</v>
          </cell>
          <cell r="B6321" t="str">
            <v>PW HW 翌日 1年 ProLiant ML570 G3用</v>
          </cell>
          <cell r="C6321" t="str">
            <v>-</v>
          </cell>
        </row>
        <row r="6322">
          <cell r="A6322" t="str">
            <v>UH674PE</v>
          </cell>
          <cell r="B6322" t="str">
            <v>PW HW 4h 24x7 1年 ProLiant ML570 G3用</v>
          </cell>
          <cell r="C6322" t="str">
            <v>-</v>
          </cell>
        </row>
        <row r="6323">
          <cell r="A6323" t="str">
            <v>UJ500PE</v>
          </cell>
          <cell r="B6323" t="str">
            <v>PW HW 4h 標準 1年 ProLiant DL320 G4用</v>
          </cell>
          <cell r="C6323" t="str">
            <v>-</v>
          </cell>
        </row>
        <row r="6324">
          <cell r="A6324" t="str">
            <v>UJ982PE</v>
          </cell>
          <cell r="B6324" t="str">
            <v>PW HW 翌日 1年 ProLiant DL320 G4用</v>
          </cell>
          <cell r="C6324" t="str">
            <v>-</v>
          </cell>
        </row>
        <row r="6325">
          <cell r="A6325" t="str">
            <v>UJ984PE</v>
          </cell>
          <cell r="B6325" t="str">
            <v>PW HW 4h 24x7 1年 ProLiant DL320 G4用</v>
          </cell>
          <cell r="C6325" t="str">
            <v>-</v>
          </cell>
        </row>
        <row r="6326">
          <cell r="A6326" t="str">
            <v>UL582PE</v>
          </cell>
          <cell r="B6326" t="str">
            <v>PW HW 4h 標準 1年 ProLiant DL385 G2用</v>
          </cell>
          <cell r="C6326" t="str">
            <v>-</v>
          </cell>
        </row>
        <row r="6327">
          <cell r="A6327" t="str">
            <v>UM031PE</v>
          </cell>
          <cell r="B6327" t="str">
            <v>PW HW 翌日 1年 ProLiant DL580 G4用</v>
          </cell>
          <cell r="C6327" t="str">
            <v>-</v>
          </cell>
        </row>
        <row r="6328">
          <cell r="A6328" t="str">
            <v>UM033PE</v>
          </cell>
          <cell r="B6328" t="str">
            <v>PW HW 4h 24x7 1年 ProLiant DL580 G4用</v>
          </cell>
          <cell r="C6328" t="str">
            <v>-</v>
          </cell>
        </row>
        <row r="6329">
          <cell r="A6329" t="str">
            <v>UM035PE</v>
          </cell>
          <cell r="B6329" t="str">
            <v>PW HW 翌日 1年 ProLiant ML570 G4用</v>
          </cell>
          <cell r="C6329" t="str">
            <v>-</v>
          </cell>
        </row>
        <row r="6330">
          <cell r="A6330" t="str">
            <v>UM037PE</v>
          </cell>
          <cell r="B6330" t="str">
            <v>PW HW 4h 24x7 1年 ProLiant ML570 G4用</v>
          </cell>
          <cell r="C6330" t="str">
            <v>-</v>
          </cell>
        </row>
        <row r="6331">
          <cell r="A6331" t="str">
            <v>UM064PE</v>
          </cell>
          <cell r="B6331" t="str">
            <v>PW HW 4h 標準 1年 ProLiant DL580 G4用</v>
          </cell>
          <cell r="C6331" t="str">
            <v>-</v>
          </cell>
        </row>
        <row r="6332">
          <cell r="A6332" t="str">
            <v>UM065PE</v>
          </cell>
          <cell r="B6332" t="str">
            <v>PW HW 4h 標準 1年 ProLiant ML570 G4用</v>
          </cell>
          <cell r="C6332" t="str">
            <v>-</v>
          </cell>
        </row>
        <row r="6333">
          <cell r="A6333" t="str">
            <v>UM068PE</v>
          </cell>
          <cell r="B6333" t="str">
            <v>PW HW 4h 標準 1年 ProLiant BL460c G1</v>
          </cell>
          <cell r="C6333" t="str">
            <v>-</v>
          </cell>
        </row>
        <row r="6334">
          <cell r="A6334" t="str">
            <v>UM069PE</v>
          </cell>
          <cell r="B6334" t="str">
            <v>PW HW 4h 標準 1年 ProLiant BL20p G4用</v>
          </cell>
          <cell r="C6334" t="str">
            <v>-</v>
          </cell>
        </row>
        <row r="6335">
          <cell r="A6335" t="str">
            <v>UM070PE</v>
          </cell>
          <cell r="B6335" t="str">
            <v>PW HW 4h 標準 1年 ProLiant BL480c G1</v>
          </cell>
          <cell r="C6335" t="str">
            <v>-</v>
          </cell>
        </row>
        <row r="6336">
          <cell r="A6336" t="str">
            <v>UM383PE</v>
          </cell>
          <cell r="B6336" t="str">
            <v>PW HW 翌日 1年 ProLiant BL460c G1用</v>
          </cell>
          <cell r="C6336" t="str">
            <v>-</v>
          </cell>
        </row>
        <row r="6337">
          <cell r="A6337" t="str">
            <v>UM385PE</v>
          </cell>
          <cell r="B6337" t="str">
            <v>PW HW 4h 24x7 1年 ProLiant BL460c G1</v>
          </cell>
          <cell r="C6337" t="str">
            <v>-</v>
          </cell>
        </row>
        <row r="6338">
          <cell r="A6338" t="str">
            <v>UM387PE</v>
          </cell>
          <cell r="B6338" t="str">
            <v>PW HW 翌日 1年 ProLiant BL20p G4用</v>
          </cell>
          <cell r="C6338" t="str">
            <v>-</v>
          </cell>
        </row>
        <row r="6339">
          <cell r="A6339" t="str">
            <v>UM389PE</v>
          </cell>
          <cell r="B6339" t="str">
            <v>PW HW 4h 24x7 1年 ProLiant BL20p G4用</v>
          </cell>
          <cell r="C6339" t="str">
            <v>-</v>
          </cell>
        </row>
        <row r="6340">
          <cell r="A6340" t="str">
            <v>UM391PE</v>
          </cell>
          <cell r="B6340" t="str">
            <v>PW HW 翌日 1年 ProLiant BL480c G1用</v>
          </cell>
          <cell r="C6340" t="str">
            <v>-</v>
          </cell>
        </row>
        <row r="6341">
          <cell r="A6341" t="str">
            <v>UM393PE</v>
          </cell>
          <cell r="B6341" t="str">
            <v>PW HW 4h 24x7 1年 ProLiant BL480c G1</v>
          </cell>
          <cell r="C6341" t="str">
            <v>-</v>
          </cell>
        </row>
        <row r="6342">
          <cell r="A6342" t="str">
            <v>UM696PE</v>
          </cell>
          <cell r="B6342" t="str">
            <v>PW HW 翌日 1年 ProLiant BL465c G1用</v>
          </cell>
          <cell r="C6342" t="str">
            <v>-</v>
          </cell>
        </row>
        <row r="6343">
          <cell r="A6343" t="str">
            <v>UM698PE</v>
          </cell>
          <cell r="B6343" t="str">
            <v>PW HW 4h 24x7 1年 ProLiant BL465cG1用</v>
          </cell>
          <cell r="C6343" t="str">
            <v>-</v>
          </cell>
        </row>
        <row r="6344">
          <cell r="A6344" t="str">
            <v>UM702PE</v>
          </cell>
          <cell r="B6344" t="str">
            <v>PW HW 翌日 1年 ProLiant BL685c G1用</v>
          </cell>
          <cell r="C6344" t="str">
            <v>-</v>
          </cell>
        </row>
        <row r="6345">
          <cell r="A6345" t="str">
            <v>UM704PE</v>
          </cell>
          <cell r="B6345" t="str">
            <v>PW HW 4h 24x7 1年 ProLiant BL685cG1用</v>
          </cell>
          <cell r="C6345" t="str">
            <v>-</v>
          </cell>
        </row>
        <row r="6346">
          <cell r="A6346" t="str">
            <v>UM714PE</v>
          </cell>
          <cell r="B6346" t="str">
            <v>PW HW 翌日 1年 ProLiant DL585 G2用</v>
          </cell>
          <cell r="C6346" t="str">
            <v>-</v>
          </cell>
        </row>
        <row r="6347">
          <cell r="A6347" t="str">
            <v>UM716PE</v>
          </cell>
          <cell r="B6347" t="str">
            <v>PW HW 4h 24x7 1年 ProLiant DL585 G2用</v>
          </cell>
          <cell r="C6347" t="str">
            <v>-</v>
          </cell>
        </row>
        <row r="6348">
          <cell r="A6348" t="str">
            <v>UM898PE</v>
          </cell>
          <cell r="B6348" t="str">
            <v>PW HW 翌日 1年 ProLiant DL385 G2用</v>
          </cell>
          <cell r="C6348" t="str">
            <v>-</v>
          </cell>
        </row>
        <row r="6349">
          <cell r="A6349" t="str">
            <v>UM900PE</v>
          </cell>
          <cell r="B6349" t="str">
            <v>PW HW 4h 24x7 1年 ProLiant DL385 G2用</v>
          </cell>
          <cell r="C6349" t="str">
            <v>-</v>
          </cell>
        </row>
        <row r="6350">
          <cell r="A6350" t="str">
            <v>UP362PE</v>
          </cell>
          <cell r="B6350" t="str">
            <v>PW HW 4h 標準 1年 ProLiant BL465cG1用</v>
          </cell>
          <cell r="C6350" t="str">
            <v>-</v>
          </cell>
        </row>
        <row r="6351">
          <cell r="A6351" t="str">
            <v>UP363PE</v>
          </cell>
          <cell r="B6351" t="str">
            <v>PW HW 4h 標準 1年 ProLiant BL685cG1用</v>
          </cell>
          <cell r="C6351" t="str">
            <v>-</v>
          </cell>
        </row>
        <row r="6352">
          <cell r="A6352" t="str">
            <v>UP365PE</v>
          </cell>
          <cell r="B6352" t="str">
            <v>PW HW 4h 標準 1年 ProLiant DL585 G2用</v>
          </cell>
          <cell r="C6352" t="str">
            <v>-</v>
          </cell>
        </row>
        <row r="6353">
          <cell r="A6353" t="str">
            <v>UX561PE</v>
          </cell>
          <cell r="B6353" t="str">
            <v>PW HW HD返却不要 4h24x7 1年 ML110 G4用</v>
          </cell>
          <cell r="C6353" t="str">
            <v>-</v>
          </cell>
        </row>
        <row r="6354">
          <cell r="A6354" t="str">
            <v>UX591PE</v>
          </cell>
          <cell r="B6354" t="str">
            <v>PW HW HD返却不要 4h24x7 1年 DL140 G3用</v>
          </cell>
          <cell r="C6354" t="str">
            <v>-</v>
          </cell>
        </row>
        <row r="6355">
          <cell r="A6355" t="str">
            <v>UX663PE</v>
          </cell>
          <cell r="B6355" t="str">
            <v>PW HW HD返却不要 4h24x7 1年 ML310 G4用</v>
          </cell>
          <cell r="C6355" t="str">
            <v>-</v>
          </cell>
        </row>
        <row r="6356">
          <cell r="A6356" t="str">
            <v>UX769PE</v>
          </cell>
          <cell r="B6356" t="str">
            <v>PW HW HD返却不要4h24x7 1年 BL460c G1用</v>
          </cell>
          <cell r="C6356" t="str">
            <v>-</v>
          </cell>
        </row>
        <row r="6357">
          <cell r="A6357" t="str">
            <v>UX773PE</v>
          </cell>
          <cell r="B6357" t="str">
            <v>PW HW HD返却不要4h24x7 1年 BL465c G1用</v>
          </cell>
          <cell r="C6357" t="str">
            <v>-</v>
          </cell>
        </row>
        <row r="6358">
          <cell r="A6358" t="str">
            <v>UX984PE</v>
          </cell>
          <cell r="B6358" t="str">
            <v>PW HW HD返却不要 4h標準 1年 ML110 G4用</v>
          </cell>
          <cell r="C6358" t="str">
            <v>-</v>
          </cell>
        </row>
        <row r="6359">
          <cell r="A6359" t="str">
            <v>UZ066PE</v>
          </cell>
          <cell r="B6359" t="str">
            <v>PW HW HD返却不要 4h標準 1年 DL140 G3用</v>
          </cell>
          <cell r="C6359" t="str">
            <v>-</v>
          </cell>
        </row>
        <row r="6360">
          <cell r="A6360" t="str">
            <v>UZ078PE</v>
          </cell>
          <cell r="B6360" t="str">
            <v>PW HW HD返却不要 4h標準 1年 ML310 G4用</v>
          </cell>
          <cell r="C6360" t="str">
            <v>-</v>
          </cell>
        </row>
        <row r="6361">
          <cell r="A6361" t="str">
            <v>UZ096PE</v>
          </cell>
          <cell r="B6361" t="str">
            <v>PW HW HD返却不要4h標準 1年 BL460c G1用</v>
          </cell>
          <cell r="C6361" t="str">
            <v>-</v>
          </cell>
        </row>
        <row r="6362">
          <cell r="A6362" t="str">
            <v>UZ097PE</v>
          </cell>
          <cell r="B6362" t="str">
            <v>PW HW HD返却不要4h標準 1年 BL465c G1用</v>
          </cell>
          <cell r="C6362" t="str">
            <v>-</v>
          </cell>
        </row>
        <row r="6363">
          <cell r="A6363" t="str">
            <v>H0YW6E</v>
          </cell>
          <cell r="B6363" t="str">
            <v>インストレーション Synergy Node用</v>
          </cell>
          <cell r="C6363" t="str">
            <v>-</v>
          </cell>
        </row>
        <row r="6364">
          <cell r="A6364" t="str">
            <v>U0Y12E</v>
          </cell>
          <cell r="B6364" t="str">
            <v>Installation SANスイッチSN6K PP用</v>
          </cell>
          <cell r="C6364" t="str">
            <v>ラッキングとスイッチへのケーブル接続するサービス
※敷設や配線は含まず
※Power Pack+ソフトウェアのライセンス適用</v>
          </cell>
        </row>
        <row r="6365">
          <cell r="A6365" t="str">
            <v>U0Y46E</v>
          </cell>
          <cell r="B6365" t="str">
            <v>Installation SANスイッチSN6K用</v>
          </cell>
          <cell r="C6365" t="str">
            <v>ラッキングとスイッチへのケーブル接続するサービス
※敷設や配線は含まず</v>
          </cell>
        </row>
        <row r="6366">
          <cell r="A6366" t="str">
            <v>U1H23E</v>
          </cell>
          <cell r="B6366" t="str">
            <v>スタートアップ 3PAR Data Opt suite用</v>
          </cell>
          <cell r="C6366" t="str">
            <v>Data Optimization Suite に含まれるライセンスのインストールサービス
※Dynamic Optimization、Adaptive Optimization、Peer Motion のライセンス適用、動作確認
※System Reporter 導入状態確認
※Peer Motion Manager インストールおよび設定 (導入対象：HPEサーバー)
※Virtual Volume オフライン データ移行実行動作確認</v>
          </cell>
        </row>
        <row r="6367">
          <cell r="A6367" t="str">
            <v>U1H24E</v>
          </cell>
          <cell r="B6367" t="str">
            <v>スタートアップ 3PAR Dynamic Optim用</v>
          </cell>
          <cell r="C6367" t="str">
            <v>Dynamic Optimization のインストールサービス
※Dynamic Optimization のライセンス適用、動作確認</v>
          </cell>
        </row>
        <row r="6368">
          <cell r="A6368" t="str">
            <v>U1H25E</v>
          </cell>
          <cell r="B6368" t="str">
            <v>スタートアップ 3PAR Adaptive Optim用</v>
          </cell>
          <cell r="C6368" t="str">
            <v>Adaptive Optimization のインストールサービス
※Adaptive Optimization のライセンス適用、動作確認、System Reporter 導入状態確認</v>
          </cell>
        </row>
        <row r="6369">
          <cell r="A6369" t="str">
            <v>U1H26E</v>
          </cell>
          <cell r="B6369" t="str">
            <v>スタートアップ 3PAR Peer Motion用</v>
          </cell>
          <cell r="C6369" t="str">
            <v>Peer Motion のインストールサービス
※Peer Motion Manager インストール(導入対象：HPEサーバー)
※Peer Motion のライセンス適用、動作確認
※Virtual Volume オフライン データ移行実行動作確認</v>
          </cell>
        </row>
        <row r="6370">
          <cell r="A6370" t="str">
            <v>U1V78E</v>
          </cell>
          <cell r="B6370" t="str">
            <v>スタートアップ OneView用</v>
          </cell>
          <cell r="C6370" t="str">
            <v>OneView インストレーションサービス
※製品動作確認、起動停止等の基本操作説明など</v>
          </cell>
        </row>
        <row r="6371">
          <cell r="A6371" t="str">
            <v>U1XZ2E</v>
          </cell>
          <cell r="B6371" t="str">
            <v>スタートアップ 3PAR File Persona</v>
          </cell>
          <cell r="C6371" t="str">
            <v>File Persona のインストールサービス
※スタートアップ作業に必要な情報確認およびスタートアップ作業
※File Persona ソフトウェアライセンス適用、動作確認
※SSMC (StoreServ Management Console)インストール
※File Persona 基本設定、基本機能確認
※オリエンテーション</v>
          </cell>
        </row>
        <row r="6372">
          <cell r="A6372" t="str">
            <v>U1XZ3E</v>
          </cell>
          <cell r="B6372" t="str">
            <v>スタートアップ 3PAR Fileアダプタ用</v>
          </cell>
          <cell r="C6372" t="str">
            <v>3PAR Fileアダプタの設置サービス
※ホスト アダプター製品のベースエンクロージャー組込み</v>
          </cell>
        </row>
        <row r="6373">
          <cell r="A6373" t="str">
            <v>U1XZ8E</v>
          </cell>
          <cell r="B6373" t="str">
            <v>スタートアップSANスイッチ設定24p用</v>
          </cell>
          <cell r="C6373" t="str">
            <v>SAN スイッチ製品に対する設定作業を行うサービス
※HPE インストレーションサービス ハードウェア設置と同時購入が必要
※HPE 製ディスクアレイ/サーバー製品間をファイバチャネル接続する際の HPE 製 SAN スイッチ製品に対する設定作業</v>
          </cell>
        </row>
        <row r="6374">
          <cell r="A6374" t="str">
            <v>U1XZ9E</v>
          </cell>
          <cell r="B6374" t="str">
            <v>スタートアップ SANスイッチ設定Blade</v>
          </cell>
          <cell r="C6374" t="str">
            <v>SAN スイッチ製品に対する設定作業を行うサービス
※HPE インストレーションサービス ハードウェア設置と同時購入が必要
※HPE 製ディスクアレイ/サーバー製品間をファイバチャネル接続する際の HPE 製 SAN スイッチ製品に対する設定作業</v>
          </cell>
        </row>
        <row r="6375">
          <cell r="A6375" t="str">
            <v>U2090E</v>
          </cell>
          <cell r="B6375" t="str">
            <v>インストレーション 外付TAPE用</v>
          </cell>
          <cell r="C6375" t="str">
            <v>外付けテープドライブ、テープオートローダー用設置サービス
※内蔵用オプションの組込み、設置</v>
          </cell>
        </row>
        <row r="6376">
          <cell r="A6376" t="str">
            <v>U2871E</v>
          </cell>
          <cell r="B6376" t="str">
            <v>インストレーション RACK10000用</v>
          </cell>
          <cell r="C6376" t="str">
            <v>ラック本体用設置サービス
※ラックオプション機器類の組込み、ラック設置</v>
          </cell>
        </row>
        <row r="6377">
          <cell r="A6377" t="str">
            <v>U4444E</v>
          </cell>
          <cell r="B6377" t="str">
            <v>インストレーション ML10 ML11x用</v>
          </cell>
          <cell r="C6377" t="str">
            <v>HW製品組み込み、セットアップ、サーバー筐体の設置またはラッキングを行うサービス
※同時購入され同時設置されるサーバー用モニター製品、コンソール スイッチも設置対象に含む</v>
          </cell>
        </row>
        <row r="6378">
          <cell r="A6378" t="str">
            <v>U4506E</v>
          </cell>
          <cell r="B6378" t="str">
            <v>インストレーション ProLiantDL36x用</v>
          </cell>
          <cell r="C6378" t="str">
            <v>HW製品組み込み、セットアップ、サーバー筐体の設置またはラッキングを行うサービス
※同時購入され同時設置されるサーバー用モニター製品、コンソール スイッチも設置対象に含む</v>
          </cell>
        </row>
        <row r="6379">
          <cell r="A6379" t="str">
            <v>U4522E</v>
          </cell>
          <cell r="B6379" t="str">
            <v>インストレーション ProLiantML350用</v>
          </cell>
          <cell r="C6379" t="str">
            <v>HW製品組み込み、セットアップ、サーバー筐体の設置またはラッキングを行うサービス
※同時購入され同時設置されるサーバー用モニター製品、コンソール スイッチも設置対象に含む</v>
          </cell>
        </row>
        <row r="6380">
          <cell r="A6380" t="str">
            <v>U4554E</v>
          </cell>
          <cell r="B6380" t="str">
            <v>インストレーション ProLiantDL38x用</v>
          </cell>
          <cell r="C6380" t="str">
            <v>HW製品組み込み、セットアップ、サーバー筐体の設置またはラッキングを行うサービス
※同時購入され同時設置されるサーバー用モニター製品、コンソール スイッチも設置対象に含む</v>
          </cell>
        </row>
        <row r="6381">
          <cell r="A6381" t="str">
            <v>U4617E</v>
          </cell>
          <cell r="B6381" t="str">
            <v>インストレーション ProLiantDL58x用</v>
          </cell>
          <cell r="C6381" t="str">
            <v>HW製品組み込み、セットアップ、サーバー筐体の設置またはラッキングを行うサービス
※同時購入され同時設置されるサーバー用モニター製品、コンソール スイッチも設置対象に含む</v>
          </cell>
        </row>
        <row r="6382">
          <cell r="A6382" t="str">
            <v>U4690E</v>
          </cell>
          <cell r="B6382" t="str">
            <v>インストレーション UPS &lt;3KVA用</v>
          </cell>
          <cell r="C6382" t="str">
            <v>UPS 用設置サービス
※内蔵用オプション機器類の組込み、設置
※UPS接続先サーバーへのUPS管理ソフトウェアのインストール</v>
          </cell>
        </row>
        <row r="6383">
          <cell r="A6383" t="str">
            <v>U4693E</v>
          </cell>
          <cell r="B6383" t="str">
            <v>インストレーションUPS R3000/R5500用</v>
          </cell>
          <cell r="C6383" t="str">
            <v>UPS 用設置サービス
※内蔵用オプション機器類の組込み、設置
※UPS接続先サーバーへのUPS管理ソフトウェアのインストール</v>
          </cell>
        </row>
        <row r="6384">
          <cell r="A6384" t="str">
            <v>U4696E</v>
          </cell>
          <cell r="B6384" t="str">
            <v>インストレーション UPS 6KVA以上用</v>
          </cell>
          <cell r="C6384" t="str">
            <v>UPS 用設置サービス
※内蔵用オプション機器類の組込み、設置
※UPS接続先サーバーへのUPS管理ソフトウェアのインストール</v>
          </cell>
        </row>
        <row r="6385">
          <cell r="A6385" t="str">
            <v>U4823E</v>
          </cell>
          <cell r="B6385" t="str">
            <v>インストレーション MSL LibraryEM用</v>
          </cell>
          <cell r="C6385" t="str">
            <v>MSLテープライブラリ用設置サービス
※内蔵用オプションの組込み、設置</v>
          </cell>
        </row>
        <row r="6386">
          <cell r="A6386" t="str">
            <v>U4827E</v>
          </cell>
          <cell r="B6386" t="str">
            <v>インストレーション ProCurve 42xx用</v>
          </cell>
          <cell r="C6386" t="str">
            <v>ProCurve Switch 42xx シャーシ型用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6387">
          <cell r="A6387" t="str">
            <v>U4828E</v>
          </cell>
          <cell r="B6387" t="str">
            <v>インストレーション ProCurve53/54xx</v>
          </cell>
          <cell r="C6387" t="str">
            <v>ProCurve Switch 53xx/54xx シャーシ型用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6388">
          <cell r="A6388" t="str">
            <v>U5683E</v>
          </cell>
          <cell r="B6388" t="str">
            <v>スタートアップ ProLiant Esse RDP用</v>
          </cell>
          <cell r="C6388" t="str">
            <v>ProLiant Essentials Rapid Deployment Pack（RDP）ソフトウェアのスタートアップサービス
※インストールおよび、RDP管理サーバー設定</v>
          </cell>
        </row>
        <row r="6389">
          <cell r="A6389" t="str">
            <v>U5717E</v>
          </cell>
          <cell r="B6389" t="str">
            <v>スタートアップ MS WINsvr用</v>
          </cell>
          <cell r="C6389" t="str">
            <v>Microsoft Windows Server用インストールサービス
※OSインストールおよびOS各コンポーネント選択、設定
※Hyper-V設定、Hyper-V仮想マシン作成（1台）
※対象：Windows Server 2008 / 2008 R2、2012、2012 R2
※対象外：Windows SBS 2008 / 2011、Windows EBS 2008、Windows Server 2012 R2 / 2012 Essentials</v>
          </cell>
        </row>
        <row r="6390">
          <cell r="A6390" t="str">
            <v>U5988E</v>
          </cell>
          <cell r="B6390" t="str">
            <v>インストレーション SANスイッチBox用</v>
          </cell>
          <cell r="C6390" t="str">
            <v>ラッキングとスイッチへのケーブル接続するサービス
※敷設や配線は含まず
※Power Pack+ソフトウェアが含まれる場合は、ライセンス適用作業も実施</v>
          </cell>
        </row>
        <row r="6391">
          <cell r="A6391" t="str">
            <v>U6D41E</v>
          </cell>
          <cell r="B6391" t="str">
            <v>インストレーション ML150用</v>
          </cell>
          <cell r="C6391" t="str">
            <v>HW製品組み込み、セットアップ、サーバー筐体の設置またはラッキングを行うサービス
※同時購入され同時設置されるサーバー用モニター製品、コンソール スイッチも設置対象に含む</v>
          </cell>
        </row>
        <row r="6392">
          <cell r="A6392" t="str">
            <v>U6E11E</v>
          </cell>
          <cell r="B6392" t="str">
            <v>インストレーション DL160用</v>
          </cell>
          <cell r="C6392" t="str">
            <v>HW製品組み込み、セットアップ、サーバー筐体の設置またはラッキングを行うサービス
※同時購入され同時設置されるサーバー用モニター製品、コンソール スイッチも設置対象に含む</v>
          </cell>
        </row>
        <row r="6393">
          <cell r="A6393" t="str">
            <v>U6E81E</v>
          </cell>
          <cell r="B6393" t="str">
            <v>インストレーション DL180用</v>
          </cell>
          <cell r="C6393" t="str">
            <v>HW製品組み込み、セットアップ、サーバー筐体の設置またはラッキングを行うサービス
※同時購入され同時設置されるサーバー用モニター製品、コンソール スイッチも設置対象に含む</v>
          </cell>
        </row>
        <row r="6394">
          <cell r="A6394" t="str">
            <v>U6F51E</v>
          </cell>
          <cell r="B6394" t="str">
            <v>インストレーション DL120用</v>
          </cell>
          <cell r="C6394" t="str">
            <v>HW製品組み込み、セットアップ、サーバー筐体の設置またはラッキングを行うサービス
※同時購入され同時設置されるサーバー用モニター製品、コンソール スイッチも設置対象に含む</v>
          </cell>
        </row>
        <row r="6395">
          <cell r="A6395" t="str">
            <v>U6G21E</v>
          </cell>
          <cell r="B6395" t="str">
            <v>インストレーション ML110用</v>
          </cell>
          <cell r="C6395" t="str">
            <v>HW製品組み込み、セットアップ、サーバー筐体の設置またはラッキングを行うサービス
※同時購入され同時設置されるサーバー用モニター製品、コンソール スイッチも設置対象に含む</v>
          </cell>
        </row>
        <row r="6396">
          <cell r="A6396" t="str">
            <v>U6H58E</v>
          </cell>
          <cell r="B6396" t="str">
            <v>インストレーション ProLiantDL560用</v>
          </cell>
          <cell r="C6396" t="str">
            <v>HW製品組み込み、セットアップ、サーバー筐体の設置またはラッキングを行うサービス
※同時購入され同時設置されるサーバー用モニター製品、コンソール スイッチも設置対象に含む</v>
          </cell>
        </row>
        <row r="6397">
          <cell r="A6397" t="str">
            <v>U6X98E</v>
          </cell>
          <cell r="B6397" t="str">
            <v>スタートアップ 3PAR Appsuit VMware用</v>
          </cell>
          <cell r="C6397" t="str">
            <v>Recovery Manager for Vmware インストールサービス
※Recovery Manager for Vmware ソフトウェアのライセンス適用、ソフトウェア サンプル構成作成とオリエンテーション (導入対象：HPEサーバー)</v>
          </cell>
        </row>
        <row r="6398">
          <cell r="A6398" t="str">
            <v>U6Y00E</v>
          </cell>
          <cell r="B6398" t="str">
            <v>スタートアップ 3PAR AppSuite Oracle</v>
          </cell>
          <cell r="C6398" t="str">
            <v>Recovery Manager for Oracle インストールサービス
※Recovery Manager for Oracle ソフトウェアのライセンス適用 (導入対象：HPEサーバー)
※Recovery Manager Backup Server ソフトウェアのインストール (導入対象：バックアップサーバー)
※Recovery Manager for Microsoft Hyper-V ソフトウェア サンプル構成作成、動作確認およびオリエンテーション</v>
          </cell>
        </row>
        <row r="6399">
          <cell r="A6399" t="str">
            <v>U6Y01E</v>
          </cell>
          <cell r="B6399" t="str">
            <v>スタートアップ 3PAR App suite SQL用</v>
          </cell>
          <cell r="C6399" t="str">
            <v>Recovery Manager for SQL Server インストールサービス
※Recovery Manager for SQL Server ソフトウェアのライセンス適用 (導入対象：HPEサーバー)
※Recovery Manager Backup Server ソフトウェアのインストール (導入対象：バックアップサーバー)
※Recovery Manager for SQL Server ソフトウェア サンプル構成作成、動作確認およびオリエンテーション</v>
          </cell>
        </row>
        <row r="6400">
          <cell r="A6400" t="str">
            <v>U6Y02E</v>
          </cell>
          <cell r="B6400" t="str">
            <v>スタートアップ 3PAR Reportingsuite用</v>
          </cell>
          <cell r="C6400" t="str">
            <v>System Reporter インストールサービス
※System Reporter ソフトウェアのインストール、ライセンス適用、動作確認 (導入対象：HPEサーバー)</v>
          </cell>
        </row>
        <row r="6401">
          <cell r="A6401" t="str">
            <v>U6Y03E</v>
          </cell>
          <cell r="B6401" t="str">
            <v>スタートアップ 3PAR Replicat Suit用</v>
          </cell>
          <cell r="C6401" t="str">
            <v>Replication Suite に含まれるライセンスのインストールサービス
※Remote Copy、Virtual Copy、Peer Persistence のライセンス適用、動作確認</v>
          </cell>
        </row>
        <row r="6402">
          <cell r="A6402" t="str">
            <v>U6Y04E</v>
          </cell>
          <cell r="B6402" t="str">
            <v>スタートアップ 3PAR SS7200用</v>
          </cell>
          <cell r="C6402" t="str">
            <v>内蔵用オプション HW製品のエンクロージャー組込み、ラッキング、ケーブル接続を行うサービス
※システム構成、サーバー接続設定作業含む (サービスプロセッサー初期設定も含む)</v>
          </cell>
        </row>
        <row r="6403">
          <cell r="A6403" t="str">
            <v>U6Y05E</v>
          </cell>
          <cell r="B6403" t="str">
            <v>スタートアップ 3PAR SS7400 2Node用</v>
          </cell>
          <cell r="C6403" t="str">
            <v>内蔵用オプション HW製品のエンクロージャー組込み、ラッキング、ケーブル接続を行うサービス
※システム構成、サーバー接続設定作業含む (サービスプロセッサー初期設定も含む)</v>
          </cell>
        </row>
        <row r="6404">
          <cell r="A6404" t="str">
            <v>U6Y06E</v>
          </cell>
          <cell r="B6404" t="str">
            <v>スタートアップ3PAR SS7400 Node追加用</v>
          </cell>
          <cell r="C6404" t="str">
            <v>ドライブ製品のコントローラーノード(ベースエンクロージャー)組み込み、ベースエンクロジャーラッキング、ケーブル接続を行うサービス
※システム構成設定作業含む</v>
          </cell>
        </row>
        <row r="6405">
          <cell r="A6405" t="str">
            <v>U6Y07E</v>
          </cell>
          <cell r="B6405" t="str">
            <v>スタートアップ 3PAR SS7400 4Node用</v>
          </cell>
          <cell r="C6405" t="str">
            <v>内蔵用オプション HW製品のエンクロージャー組込み、ラッキング、ケーブル接続を行うサービス
※システム構成、サーバー接続設定作業含む (サービスプロセッサー初期設定も含む)</v>
          </cell>
        </row>
        <row r="6406">
          <cell r="A6406" t="str">
            <v>U6Y11E</v>
          </cell>
          <cell r="B6406" t="str">
            <v>スタートアップ 3PAR Remote copy用</v>
          </cell>
          <cell r="C6406" t="str">
            <v>Remote Copy インストールサービス
※Remote Copy ソフトウェアのライセンス適用、動作確認</v>
          </cell>
        </row>
        <row r="6407">
          <cell r="A6407" t="str">
            <v>U7986E</v>
          </cell>
          <cell r="B6407" t="str">
            <v>スタートアップ StoreEasy用</v>
          </cell>
          <cell r="C6407" t="str">
            <v>HW製品組み込み、セットアップ、製品本体の設置またはラッキングを行うサービス</v>
          </cell>
        </row>
        <row r="6408">
          <cell r="A6408" t="str">
            <v>U7J28E</v>
          </cell>
          <cell r="B6408" t="str">
            <v>スタートアップ 3PAR Virtual Copy用</v>
          </cell>
          <cell r="C6408" t="str">
            <v>Virtual Copy インストールサービス
※Virtual Copy ソフトウェアのライセンス適用、動作確認</v>
          </cell>
        </row>
        <row r="6409">
          <cell r="A6409" t="str">
            <v>U7J34E</v>
          </cell>
          <cell r="B6409" t="str">
            <v>スタートアップ 3PAR HアダプタFC用</v>
          </cell>
          <cell r="C6409" t="str">
            <v>3PAR FC ホストバスアダプタの設置サービス
※ホスト アダプター製品のベースエンクロージャー組込み</v>
          </cell>
        </row>
        <row r="6410">
          <cell r="A6410" t="str">
            <v>U7J35E</v>
          </cell>
          <cell r="B6410" t="str">
            <v>スタートアップ 3PAR HアダプタiSCSI用</v>
          </cell>
          <cell r="C6410" t="str">
            <v>3PAR iSCSI アダプタの設置サービス
※ホスト アダプター製品のベースエンクロージャー組込み</v>
          </cell>
        </row>
        <row r="6411">
          <cell r="A6411" t="str">
            <v>U7J36E</v>
          </cell>
          <cell r="B6411" t="str">
            <v>スタートアップ 3PAR DriveEnclo A用</v>
          </cell>
          <cell r="C6411" t="str">
            <v>3PAR ドライブエンクロージャーの設置サービス
※ディスクドライブ製品のエンクロージャー組込み、エンクロージャーのラッキング、ケーブル接続</v>
          </cell>
        </row>
        <row r="6412">
          <cell r="A6412" t="str">
            <v>U7J37E</v>
          </cell>
          <cell r="B6412" t="str">
            <v>スタートアップ 3PAR DriveEnclo B用</v>
          </cell>
          <cell r="C6412" t="str">
            <v>3PAR ドライブエンクロージャーの設置サービス
※ディスクドライブ製品のエンクロージャー組込み、エンクロージャーのラッキング、ケーブル接続</v>
          </cell>
        </row>
        <row r="6413">
          <cell r="A6413" t="str">
            <v>U7J38E</v>
          </cell>
          <cell r="B6413" t="str">
            <v>スタートアップ 3PAR Disk Drive用</v>
          </cell>
          <cell r="C6413" t="str">
            <v>3PAR ディスクドライブの設置サービス
※ディスクドライブ製品のエンクロージャー組込み(導入後のディスク増設用)</v>
          </cell>
        </row>
        <row r="6414">
          <cell r="A6414" t="str">
            <v>U7J39E</v>
          </cell>
          <cell r="B6414" t="str">
            <v>スタートアップ 3PAR PeerPersistenc用</v>
          </cell>
          <cell r="C6414" t="str">
            <v>Peer Peristence インストールサービス
※Peer Peristence ソフトウェアのライセンス適用、動作確認</v>
          </cell>
        </row>
        <row r="6415">
          <cell r="A6415" t="str">
            <v>U7J41E</v>
          </cell>
          <cell r="B6415" t="str">
            <v>スタートアップ StoreVirtual 4000用</v>
          </cell>
          <cell r="C6415" t="str">
            <v>StoreVirtual 4000 Storage用 スタートアップサービス</v>
          </cell>
        </row>
        <row r="6416">
          <cell r="A6416" t="str">
            <v>U7J45E</v>
          </cell>
          <cell r="B6416" t="str">
            <v>スタートアップ Priority Optimiz用</v>
          </cell>
          <cell r="C6416" t="str">
            <v>Priority Optimization インストールサービス
※Priority Optimization ソフトウェアのライセンス適用、動作確認</v>
          </cell>
        </row>
        <row r="6417">
          <cell r="A6417" t="str">
            <v>U7J46E</v>
          </cell>
          <cell r="B6417" t="str">
            <v>スタートアップ 3PAR AppsuiteHyperV用</v>
          </cell>
          <cell r="C6417" t="str">
            <v>Application Suite MS Hyper-V インストールサービス
※Application Suite MS Hyper-V ソフトウェアのライセンス適用、動作確認およびオリエンテーション (導入対象：HPEサーバー)</v>
          </cell>
        </row>
        <row r="6418">
          <cell r="A6418" t="str">
            <v>U7PD2E</v>
          </cell>
          <cell r="B6418" t="str">
            <v>スタートアップSANスイッチ設定48p用</v>
          </cell>
          <cell r="C6418" t="str">
            <v>SAN スイッチ製品に対する設定作業を行うサービス
※HPE インストレーションサービス ハードウェア設置と同時購入が必要
※HPE 製ディスクアレイ/サーバー製品間をファイバチャネル接続する際の HPE 製 SAN スイッチ製品に対する設定作業</v>
          </cell>
        </row>
        <row r="6419">
          <cell r="A6419" t="str">
            <v>U7PD3E</v>
          </cell>
          <cell r="B6419" t="str">
            <v>HPEスタートアップSANスイッチ設定96p用</v>
          </cell>
          <cell r="C6419" t="str">
            <v>SAN スイッチ製品に対する設定作業を行うサービス
※HPE インストレーションサービス ハードウェア設置と同時購入が必要
※HPE 製ディスクアレイ/サーバー製品間をファイバチャネル接続する際の HPE 製 SAN スイッチ製品に対する設定作業</v>
          </cell>
        </row>
        <row r="6420">
          <cell r="A6420" t="str">
            <v>U7PE6E</v>
          </cell>
          <cell r="B6420" t="str">
            <v>スタートアップ StoreOnce RMC</v>
          </cell>
          <cell r="C6420" t="str">
            <v>StoreOnce Recovery Manager Central用 スタートアップサービス
※RMC(Recovery Manager Central) アプライアンス　インストール、初期セットアップ
※RMCアプライアンスに連携するStoreServ, StoreOnce登録
※サンプル構成作成とオリエンテーション</v>
          </cell>
        </row>
        <row r="6421">
          <cell r="A6421" t="str">
            <v>U7PE7E</v>
          </cell>
          <cell r="B6421" t="str">
            <v>スタートアップ StoreOnce RMC VMware</v>
          </cell>
          <cell r="C6421" t="str">
            <v>StoreOnce Recovery Manager Central Vmware用 スタートアップサービス
※OneView for VMware vCenterインストール
※RMC(Recovery Manager Central) アプライアンス　インストール、初期セットアップ
※RMCアプライアンスに連携するStoreServ, StoreOnce登録
※サンプル構成作成とオリエンテーション</v>
          </cell>
        </row>
        <row r="6422">
          <cell r="A6422" t="str">
            <v>U7VF7E</v>
          </cell>
          <cell r="B6422" t="str">
            <v>スタートアップStoreVirtual3000用</v>
          </cell>
          <cell r="C6422" t="str">
            <v>StoreVirtual 3000用 設置サービス
※新規StoreVirtual3000導入用
※コントローラー、エンクロージャーのハードウェア設置・設定、システム構築設定
※接続サーバー用論理ボリューム作成、サーバー接続（4サーバー分迄）
※ライセンスキー取得・登録への支援</v>
          </cell>
        </row>
        <row r="6423">
          <cell r="A6423" t="str">
            <v>U7VF8E</v>
          </cell>
          <cell r="B6423" t="str">
            <v>スタートアップStoreVirtual3000Encl追加用</v>
          </cell>
          <cell r="C6423" t="str">
            <v>StoreVirtual 3000 ドライブエンクロージャー追加用 設置サービス
※既導入済み StoreVirtual3000のドライブエンクロージャー増設時用
※ドライブエンクロージャーのハードウェア設置・設定
※お客様指定の構成設定
※ライセンスキー取得・登録への支援</v>
          </cell>
        </row>
        <row r="6424">
          <cell r="A6424" t="str">
            <v>U7VF9E</v>
          </cell>
          <cell r="B6424" t="str">
            <v>スタートアップ3PAR8000AI Single System用</v>
          </cell>
          <cell r="C6424" t="str">
            <v>3PAR 8000 All Inclusive Single System に含まれるソフトウェアのインストールサービス
※導入対象：Virtual Copy、Adaptive Optimization、Dynamic Optimization、File Persona、Priority Optimization
※導入対象外：StoreOnce Recovery Manager Central (RMC、RMC-V、RMC-SQL)、Online Import、SmartSAN</v>
          </cell>
        </row>
        <row r="6425">
          <cell r="A6425" t="str">
            <v>U7VG0E</v>
          </cell>
          <cell r="B6425" t="str">
            <v>スタートアップ3PAR8000AI Multi System用</v>
          </cell>
          <cell r="C6425" t="str">
            <v>3PAR 8000 All Inclusive Multi System に含まれるソフトウェアのインストールサービス
※導入対象：Peer Motion、Remote Copy、Peer Persistence、Cluster Extension (CLX)</v>
          </cell>
        </row>
        <row r="6426">
          <cell r="A6426" t="str">
            <v>U7VG3E</v>
          </cell>
          <cell r="B6426" t="str">
            <v>スタートアップStoreOnce RMC for MS SQL用</v>
          </cell>
          <cell r="C6426" t="str">
            <v>StoreOnce RMC for MS SQL用 スタートアップサービス
※Recovery Manager Central for MS SQLインストール
※RMC(Recovery Manager Central) アプライアンス　インストール、初期セットアップ
※RMCアプライアンスに連携するStoreServ, StoreOnce登録
※サンプル構成作成とオリエンテーション</v>
          </cell>
        </row>
        <row r="6427">
          <cell r="A6427" t="str">
            <v>U7WZ5E</v>
          </cell>
          <cell r="B6427" t="str">
            <v>インストレーションML10/30/DL20/60/80用</v>
          </cell>
          <cell r="C6427" t="str">
            <v>HW製品組み込み、セットアップ、サーバー筐体の設置またはラッキングを行うサービス
※同時購入され同時設置されるサーバー用モニター製品、コンソール スイッチも設置対象に含む</v>
          </cell>
        </row>
        <row r="6428">
          <cell r="A6428" t="str">
            <v>U8132E</v>
          </cell>
          <cell r="B6428" t="str">
            <v>インストレーション MSA20-70/2kEncl</v>
          </cell>
          <cell r="C6428" t="str">
            <v>MSA20/30/50/60/70/2000Diskエンクロージャ用設置サービス
※内蔵用オプションの組込み、設置</v>
          </cell>
        </row>
        <row r="6429">
          <cell r="A6429" t="str">
            <v>U8141E</v>
          </cell>
          <cell r="B6429" t="str">
            <v>スタートアップ Linux用</v>
          </cell>
          <cell r="C6429" t="str">
            <v>Linux用 スタートアップサービス
※対象ディストリビューション：RHEL AS/ES 3、4（x86）、 RHEL AS 3、4（AMD64/Intel EM64T）、RHEL 5、 6、7 、SUSE Linux Enterprise Server 9、10、11
※OS、X Window System インストール
※IPネットワークアドレス登録
※KVM（Red Hat Enterprise Linux 5.4以降対象）設定</v>
          </cell>
        </row>
        <row r="6430">
          <cell r="A6430" t="str">
            <v>U8E78E</v>
          </cell>
          <cell r="B6430" t="str">
            <v>スタートアップ Adv DataOptm Suite用</v>
          </cell>
          <cell r="C6430" t="str">
            <v>Advanced Data Optimization Suite に含まれるライセンスのインストールサービス
※Dynamic Optimization、Adaptive Optimization、Peer Motion、Priority Optimization のライセンス適用、動作確認
※System Reporter 導入状態確認
※Peer Motion Manager インストールおよび設定 (導入対象：HPEサーバー)
※Virtual Volume オフライン データ移行実行動作確認</v>
          </cell>
        </row>
        <row r="6431">
          <cell r="A6431" t="str">
            <v>U8HY4E</v>
          </cell>
          <cell r="B6431" t="str">
            <v>スタートアップ 3PAR SS8200用</v>
          </cell>
          <cell r="C6431" t="str">
            <v>内蔵用オプション HW製品のエンクロージャー組込み、ラッキング、ケーブル接続を行うサービス
※システム構成、サーバー接続設定作業含む (サービスプロセッサー初期設定も含む)</v>
          </cell>
        </row>
        <row r="6432">
          <cell r="A6432" t="str">
            <v>U8HY5E</v>
          </cell>
          <cell r="B6432" t="str">
            <v>スタートアップ 3PAR SS84xx 2N用</v>
          </cell>
          <cell r="C6432" t="str">
            <v>内蔵用オプション HW製品のエンクロージャー組込み、ラッキング、ケーブル接続を行うサービス
※システム構成、サーバー接続設定作業含む (サービスプロセッサー初期設定も含む)</v>
          </cell>
        </row>
        <row r="6433">
          <cell r="A6433" t="str">
            <v>U8HY6E</v>
          </cell>
          <cell r="B6433" t="str">
            <v>スタートアップ 3PAR SS84xx 4N用</v>
          </cell>
          <cell r="C6433" t="str">
            <v>内蔵用オプション HW製品のエンクロージャー組込み、ラッキング、ケーブル接続を行うサービス
※システム構成、サーバー接続設定作業含む (サービスプロセッサー初期設定も含む)</v>
          </cell>
        </row>
        <row r="6434">
          <cell r="A6434" t="str">
            <v>U8HY7E</v>
          </cell>
          <cell r="B6434" t="str">
            <v>スタートアップ3PAR SS84xx Node追加用</v>
          </cell>
          <cell r="C6434" t="str">
            <v>ドライブ製品のコントローラーノード(ベースエンクロージャー)組み込み、ベースエンクロジャーラッキング、ケーブル接続を行うサービス
※システム構成設定作業含む</v>
          </cell>
        </row>
        <row r="6435">
          <cell r="A6435" t="str">
            <v>U8HY8E</v>
          </cell>
          <cell r="B6435" t="str">
            <v>スタートアップ 3PAR SS8K Adapter用</v>
          </cell>
          <cell r="C6435" t="str">
            <v>3PAR ホストバスアダプタの設置サービス
※ホスト アダプター製品のベースエンクロージャー組込み</v>
          </cell>
        </row>
        <row r="6436">
          <cell r="A6436" t="str">
            <v>U8HY9E</v>
          </cell>
          <cell r="B6436" t="str">
            <v>スタートアップ 3PAR SS8K DrvEncl用</v>
          </cell>
          <cell r="C6436" t="str">
            <v>3PAR ドライブエンクロージャーの設置サービス
※ディスクドライブ製品のエンクロージャー組込み、エンクロージャーのラッキング、ケーブル接続</v>
          </cell>
        </row>
        <row r="6437">
          <cell r="A6437" t="str">
            <v>U8HZ0E</v>
          </cell>
          <cell r="B6437" t="str">
            <v>スタートアップ 3PAR SS8K Drive用</v>
          </cell>
          <cell r="C6437" t="str">
            <v>3PAR ディスクドライブの設置サービス
※ディスクドライブ製品のエンクロージャー組込み(導入後のディスク増設用)</v>
          </cell>
        </row>
        <row r="6438">
          <cell r="A6438" t="str">
            <v>U8HZ1E</v>
          </cell>
          <cell r="B6438" t="str">
            <v>スタートアップ 3PAR 8K AdaptiveOpt用</v>
          </cell>
          <cell r="C6438" t="str">
            <v>Adaptive Optimization のインストールサービス
※Adaptive Optimization のライセンス適用、動作確認、System Reporter 導入状態確認</v>
          </cell>
        </row>
        <row r="6439">
          <cell r="A6439" t="str">
            <v>U8HZ3E</v>
          </cell>
          <cell r="B6439" t="str">
            <v>スタートアップ 3PAR 8K DataOpt用</v>
          </cell>
          <cell r="C6439" t="str">
            <v>Data Optimization Suite に含まれるライセンスのインストールサービス
※Dynamic Optimization、Adaptive Optimization、Peer Motion、Priority Optimization のライセンス適用、動作確認
※System Reporter 導入状態確認
※Peer Motion Manager インストールおよび設定 (導入対象：HPEサーバー)
※Virtual Volume オフライン データ移行実行動作確認</v>
          </cell>
        </row>
        <row r="6440">
          <cell r="A6440" t="str">
            <v>U8HZ4E</v>
          </cell>
          <cell r="B6440" t="str">
            <v>スタートアップ 3PAR 8K DynamicOpt用</v>
          </cell>
          <cell r="C6440" t="str">
            <v>Dynamic Optimization のインストールサービス
※Dynamic Optimization のライセンス適用、動作確認</v>
          </cell>
        </row>
        <row r="6441">
          <cell r="A6441" t="str">
            <v>U8HZ5E</v>
          </cell>
          <cell r="B6441" t="str">
            <v>スタートアップ 3PAR 8K ReportingSW用</v>
          </cell>
          <cell r="C6441" t="str">
            <v>System Reporter インストールサービス
※System Reporter ソフトウェアのインストール、ライセンス適用、動作確認 (導入対象：HPEサーバー)</v>
          </cell>
        </row>
        <row r="6442">
          <cell r="A6442" t="str">
            <v>U8HZ6E</v>
          </cell>
          <cell r="B6442" t="str">
            <v xml:space="preserve"> スタートアップ 3PAR 8K PeerMotion用</v>
          </cell>
          <cell r="C6442" t="str">
            <v>Peer Motion のインストールサービス
※Peer Motion Manager インストール(導入対象：HPEサーバー)
※Peer Motion のライセンス適用、動作確認
※Virtual Volume オフライン データ移行実行動作確認</v>
          </cell>
        </row>
        <row r="6443">
          <cell r="A6443" t="str">
            <v>U8HZ7E</v>
          </cell>
          <cell r="B6443" t="str">
            <v>スタートアップ 3PAR 8K PriorityOpt用</v>
          </cell>
          <cell r="C6443" t="str">
            <v>Priority Optimization インストールサービス
※Priority Optimization ソフトウェアのインストール、ライセンス適用、動作確認</v>
          </cell>
        </row>
        <row r="6444">
          <cell r="A6444" t="str">
            <v>U8HZ8E</v>
          </cell>
          <cell r="B6444" t="str">
            <v>スタートアップ 3PAR 8K RepliSuite用</v>
          </cell>
          <cell r="C6444" t="str">
            <v>Replication Suite に含まれるライセンスのインストールサービス
※Remote Copy、Virtual Copy、Peer Persistence のライセンス適用、動作確認</v>
          </cell>
        </row>
        <row r="6445">
          <cell r="A6445" t="str">
            <v>U8HZ9E</v>
          </cell>
          <cell r="B6445" t="str">
            <v>スタートアップ 3PAR 8K FilePersona用</v>
          </cell>
          <cell r="C6445" t="str">
            <v>File Persona のインストールサービス
※スタートアップ作業に必要な情報確認およびスタートアップ作業
※File Persona ソフトウェアライセンス適用、動作確認
※SSMC (StoreServ Management Console)インストール
※File Persona 基本設定、基本機能確認
※オリエンテーション</v>
          </cell>
        </row>
        <row r="6446">
          <cell r="A6446" t="str">
            <v>U8JA1E</v>
          </cell>
          <cell r="B6446" t="str">
            <v>スタートアップ 3PAR 8KApSuitHyperV用</v>
          </cell>
          <cell r="C6446" t="str">
            <v>Application Suite MS Hyper-V インストールサービス
※Application Suite MS Hyper-V ソフトウェアのライセンス適用、動作確認およびオリエンテーション (導入対象：HPEサーバー)</v>
          </cell>
        </row>
        <row r="6447">
          <cell r="A6447" t="str">
            <v>U8JA2E</v>
          </cell>
          <cell r="B6447" t="str">
            <v>スタートアップ 3PAR8KApSuiteOracle用</v>
          </cell>
          <cell r="C6447" t="str">
            <v>Recovery Manager for Oracle インストールサービス
※Recovery Manager for Oracle ソフトウェアのライセンス適用 (導入対象：HPEサーバー)
※Recovery Manager Backup Server ソフトウェアのインストール (導入対象：バックアップサーバー)
※Recovery Manager for Microsoft Hyper-V ソフトウェア サンプル構成作成、動作確認およびオリエンテーション</v>
          </cell>
        </row>
        <row r="6448">
          <cell r="A6448" t="str">
            <v>U8JA3E</v>
          </cell>
          <cell r="B6448" t="str">
            <v>スタートアップ 3PAR 8K AppSuiteSQL用</v>
          </cell>
          <cell r="C6448" t="str">
            <v>Recovery Manager for SQL Server インストールサービス
※Recovery Manager for SQL Server ソフトウェアのライセンス適用 (導入対象：HPEサーバー)
※Recovery Manager Backup Server ソフトウェアのインストール (導入対象：バックアップサーバー)
※Recovery Manager for SQL Server ソフトウェア サンプル構成作成、動作確認およびオリエンテーション</v>
          </cell>
        </row>
        <row r="6449">
          <cell r="A6449" t="str">
            <v>U8JM3E</v>
          </cell>
          <cell r="B6449" t="str">
            <v>スタートアップSynergy初期設置Frame 1台目</v>
          </cell>
          <cell r="C6449" t="str">
            <v>-</v>
          </cell>
        </row>
        <row r="6450">
          <cell r="A6450" t="str">
            <v>U8JM4E</v>
          </cell>
          <cell r="B6450" t="str">
            <v>スタートアップSynergy初期設置Frame追加用</v>
          </cell>
          <cell r="C6450" t="str">
            <v>-</v>
          </cell>
        </row>
        <row r="6451">
          <cell r="A6451" t="str">
            <v>U9520E</v>
          </cell>
          <cell r="B6451" t="str">
            <v>インストレーション PL DL14x/16x用</v>
          </cell>
          <cell r="C6451" t="str">
            <v>HW製品組み込み、セットアップ、サーバー筐体の設置またはラッキングを行うサービス
※同時購入され同時設置されるサーバー用モニター製品、コンソール スイッチも設置対象に含む</v>
          </cell>
        </row>
        <row r="6452">
          <cell r="A6452" t="str">
            <v>UA041E</v>
          </cell>
          <cell r="B6452" t="str">
            <v>スタートアップ PE SIM用</v>
          </cell>
          <cell r="C6452" t="str">
            <v>Systems Insight Manager用 スタートアップサービス
※Systems Insight Manager（SIM）インストール
※SIMサーバー初期設定、およびSIMサーバーが監視する監視対象サーバー設定</v>
          </cell>
        </row>
        <row r="6453">
          <cell r="A6453" t="str">
            <v>UA866E</v>
          </cell>
          <cell r="B6453" t="str">
            <v>スタートアップ DA Vdisk追加設定用</v>
          </cell>
          <cell r="C6453" t="str">
            <v>ディスクアレイVdisk追加設定サービス
※ディスクアレイ Vdisk（論理ディスク）構成
※接続サーバーへのマルチパス構成設定
※ディスクアレイ - 接続サーバーでのVdisk接続（論理ディスクレベル）
※対象：3PAR StoreServ7000 EVA/P63xx（接続サーバー台数 4台まで 接続サーバー ProLiant、OS:MS Windows、Linux、VMware）</v>
          </cell>
        </row>
        <row r="6454">
          <cell r="A6454" t="str">
            <v>UA868E</v>
          </cell>
          <cell r="B6454" t="str">
            <v>インストレーション MSA1000-2000用</v>
          </cell>
          <cell r="C6454" t="str">
            <v>MSA1000/1500/2000用設置サービス
※内蔵用オプションの組込み、設置</v>
          </cell>
        </row>
        <row r="6455">
          <cell r="A6455" t="str">
            <v>UB388E</v>
          </cell>
          <cell r="B6455" t="str">
            <v>スタートアップ 3PAR Tunesys用</v>
          </cell>
          <cell r="C6455" t="str">
            <v>3PAR StoreServストレージ Tunesysサービス
※StoreServストレージへのハードウェアヘルスチェック実施
※Tunesys実施によるStoreServストレージへのドライブ平準化作業
※Tunesysの適切進行状況確認 (対象：当社ドライブ増設作業を実施するStoreServストレージ(有償保守も適用済みであること))</v>
          </cell>
        </row>
        <row r="6456">
          <cell r="A6456" t="str">
            <v>UD056E</v>
          </cell>
          <cell r="B6456" t="str">
            <v>インストレーション StoreOnce用</v>
          </cell>
          <cell r="C6456" t="str">
            <v>StoreOnce Backup用 設置サービス
※内蔵用オプションの組込み、設置</v>
          </cell>
        </row>
        <row r="6457">
          <cell r="A6457" t="str">
            <v>UD493E</v>
          </cell>
          <cell r="B6457" t="str">
            <v>スタートアップ EVA4400用</v>
          </cell>
          <cell r="C6457" t="str">
            <v>EVA4400用 スタートアップサービス
※お客様指定ディスクアレイ論理構成情報に基づく論理ディスク構成パラメータ作成
※ハードウェア製品設置（含むラッキング、ケーブル接続）
※論理ディスク構成
※CommandViewソフトウェアインストール
※ストレージネットワークへのディスクアレイ接続（含むMPIOマルチパス接続設定）
※対象：EVA4400/P6300および同時設置作業の追加ディスクエンクロージャー</v>
          </cell>
        </row>
        <row r="6458">
          <cell r="A6458" t="str">
            <v>UE493E</v>
          </cell>
          <cell r="B6458" t="str">
            <v>インストレーション PL SeverBlade用</v>
          </cell>
          <cell r="C6458" t="str">
            <v>ProLiant サーバブレード用設置サービス
※サーバーハードウェア設置（内蔵用オプション、サーバーコンソール用モニターを含む）</v>
          </cell>
        </row>
        <row r="6459">
          <cell r="A6459" t="str">
            <v>UE494E</v>
          </cell>
          <cell r="B6459" t="str">
            <v>インストレーション BL c7000 Encl</v>
          </cell>
          <cell r="C6459" t="str">
            <v>BladeSystem c7000 エンクロージャ用 設置サービス
※サーバーハードウェア設置（内蔵用オプション、サーバーコンソール用モニターを含む）
※ProLiantサーバーブレードへのSmartアレイRAIDセット設定
※ntegrated Lights-Out機能へのネットワークインタフェース設定
※対象：BladeSystem c-Class エンクロージャ（同時購入同時設置されるProLiantサーバーブレード、エンクロージャ内蔵用オプションを含む）</v>
          </cell>
        </row>
        <row r="6460">
          <cell r="A6460" t="str">
            <v>UE602E</v>
          </cell>
          <cell r="B6460" t="str">
            <v>スタートアップ BL c7000 Infra用</v>
          </cell>
          <cell r="C6460" t="str">
            <v>BladeSystem c7000 インフラストラクチャ用スタートアップサービス
※サーバーハードウェア設置（サーバーブレード、内蔵用オプションハードウェア、サーバーコンソール用モニターを含む）
※SmartアレイRAIDセット設定、Insight ソフトウェアの設定
※対象：BladeSystem c-Class エンクロージャ（同時購入同時設置されるエンクロージャ内蔵用オプションを含む）
※SIMインストールおよびSIM監視対象となるサーバーへの設定
※RDPインストールおよびRDPサーバー設定、VPMインストールおよび設定、PMPインストール
※サービス対象製品がInsight Control Environment for BladeSystemの場合は、IPMインストール、VMMインストールも含む</v>
          </cell>
        </row>
        <row r="6461">
          <cell r="A6461" t="str">
            <v>UE603E</v>
          </cell>
          <cell r="B6461" t="str">
            <v>スタートアップ c7000 NetworkSwitch</v>
          </cell>
          <cell r="C6461" t="str">
            <v>BladeSystem c7000 ネットワークスイッチ用 スタートアップサービス
※BladeSystem c-Class バーチャルコネクト イーサネットモジュール/バーチャルコネクト Flex-10 イーサネットモジュールへのネットワーク設定
※BladeSystem c-Class バーチャルコネクト ファイバチャネルモジュールへのネットワーク設定
※バーチャルコネクト イーサネットモジュールおよびバーチャルコネクト ファイバチャネルモジュール用 サーバープロファイルの作成
※対象：BladeSystem c-Classエンクロージャ搭載のバーチャルコネクト イーサネットモジュール（バーチャルコネクト Flex-10 イーサネットモジュール含む）
 　（1エンクロージャ中 4台まで）およびBladeSystem c-Class バーチャルコネクトファイバチャネルモジュール（1エンクロージャ中 冗長構成2台まで）
※バーチャルコネクト製品をはじめとするハードウェア製品への設置作業はサービス対象外</v>
          </cell>
        </row>
        <row r="6462">
          <cell r="A6462" t="str">
            <v>UF066E</v>
          </cell>
          <cell r="B6462" t="str">
            <v>インストレーション EVA Disk Encl用</v>
          </cell>
          <cell r="C6462" t="str">
            <v>EVA Diskエンクロージャ用 設置サービス
※内蔵用オプションの組込み、設置</v>
          </cell>
        </row>
        <row r="6463">
          <cell r="A6463" t="str">
            <v>UF369E</v>
          </cell>
          <cell r="B6463" t="str">
            <v>スタートアップ IC Environment用</v>
          </cell>
          <cell r="C6463" t="str">
            <v>Insight Control Environment用スタートアップサービス
※SIMインストールおよび設定、SIM監視対象となるサーバーへの設定
※IPMインストールおよび設定、RDPインストールおよびRDPサーバー設定、VPMインストールおよび設定、PMPインストール、VMMインストール</v>
          </cell>
        </row>
        <row r="6464">
          <cell r="A6464" t="str">
            <v>UF814E</v>
          </cell>
          <cell r="B6464" t="str">
            <v>スタートアップ c3000 NetworkSwitch</v>
          </cell>
          <cell r="C6464" t="str">
            <v>BladeSystem c3000 ネットワークスイッチ用 スタートアップサービス
※BladeSystem c-Class バーチャルコネクト イーサネットモジュール/バーチャルコネクト Flex-10 イーサネットモジュールへのネットワーク設定
※BladeSystem c-Class バーチャルコネクト ファイバチャネルモジュールへのネットワーク設定
※バーチャルコネクト イーサネットモジュールおよびバーチャルコネクト ファイバチャネルモジュール用 サーバープロファイルの作成
※対象：BladeSystem c-Classエンクロージャ搭載のバーチャルコネクト イーサネットモジュール（バーチャルコネクト Flex-10 イーサネットモジュール含む）
 　（1エンクロージャ中 4台まで）およびBladeSystem c-Class バーチャルコネクトファイバチャネルモジュール（1エンクロージャ中 冗長構成2台まで）
※バーチャルコネクト製品をはじめとするハードウェア製品への設置作業はサービス対象外</v>
          </cell>
        </row>
        <row r="6465">
          <cell r="A6465" t="str">
            <v>UF816E</v>
          </cell>
          <cell r="B6465" t="str">
            <v>スタートアップ VCEM用</v>
          </cell>
          <cell r="C6465" t="str">
            <v>Virtual Connect Enterprise Manager用スタートアップサービス
※VCEM管理対象Bladeエンクロージャへのネットワーク設定
　（バーチャルコネクトイーサネットモジュール/バーチャルコネクトFlex-10イーサネットモジュール VCモジュールへのネットワーク設定
　　VC モジュール用サーバープロファイル作成）
※VCEMソフトウェアインストール
※VCEM管理対象BladeエンクロージャのVCEMへの登録設定（エンクロージャ2台）</v>
          </cell>
        </row>
        <row r="6466">
          <cell r="A6466" t="str">
            <v>UF817E</v>
          </cell>
          <cell r="B6466" t="str">
            <v>スタートアップ BL c3000 Infra用</v>
          </cell>
          <cell r="C6466" t="str">
            <v>BladeSystem c3000 インフラストラクチャ用スタートアップサービス
※サーバーハードウェア設置（サーバーブレード、内蔵用オプションハードウェア、サーバーコンソール用モニターを含む）
※SmartアレイRAIDセット設定、Insight ソフトウェアの設定
※対象：BladeSystem c-Class エンクロージャ（同時購入同時設置されるエンクロージャ内蔵用オプションを含む）
※SIMインストールおよびSIM監視対象となるサーバーへの設定
※RDPインストールおよびRDPサーバー設定、VPMインストールおよび設定、PMPインストール
※サービス対象製品がInsight Control Environment for BladeSystemの場合は、IPMインストール、VMMインストールも含む</v>
          </cell>
        </row>
        <row r="6467">
          <cell r="A6467" t="str">
            <v>UF818E</v>
          </cell>
          <cell r="B6467" t="str">
            <v>スタートアップ BLｃ3000 InfraLight</v>
          </cell>
          <cell r="C6467" t="str">
            <v>BladeSystem c3000 インフラストラクチャ用スタートアップサービス
※サーバーハードウェア設置（サーバーブレード、内蔵用オプションハードウェア、サーバーコンソール用モニターを含む）
※SmartアレイRAIDセット設定、Insight ソフトウェアの設定
※対象：BladeSystem c-Class エンクロージャ（同時購入同時設置されるエンクロージャ内蔵用オプションを含む）
※SIMインストールおよびSIM監視対象となるサーバーへの設定
※RDPインストールおよびRDPサーバー設定、VPMインストールおよび設定、PMPインストール
※サービス対象製品がInsight Control Environment for BladeSystemの場合は、IPMインストール、VMMインストールも含む</v>
          </cell>
        </row>
        <row r="6468">
          <cell r="A6468" t="str">
            <v>UF819E</v>
          </cell>
          <cell r="B6468" t="str">
            <v>スタートアップ ID-VSE用</v>
          </cell>
          <cell r="C6468" t="str">
            <v>Insight Dynamics-VSE用スタートアップサービス
※ID-VSEを導入するCMS（中央管理サーバー）となるサーバーハードウェア1台に対して、IDVSEインストールおよび設定
　 監視対象のSIMへの登録、監視対象サーバーへのライセンス割り当て</v>
          </cell>
        </row>
        <row r="6469">
          <cell r="A6469" t="str">
            <v>UH749E</v>
          </cell>
          <cell r="B6469" t="str">
            <v>インストレーション BL c3000 Encl</v>
          </cell>
          <cell r="C6469" t="str">
            <v>BladeSystem c3000 エンクロージャ用 設置サービス
※サーバーハードウェア設置（内蔵用オプション、サーバーコンソール用モニターを含む）
※ProLiantサーバーブレードへのSmartアレイRAIDセット設定
※ntegrated Lights-Out機能へのネットワークインタフェース設定
※対象：BladeSystem c-Class エンクロージャ（同時購入同時設置されるProLiantサーバーブレード、エンクロージャ内蔵用オプションを含む）</v>
          </cell>
        </row>
        <row r="6470">
          <cell r="A6470" t="str">
            <v>UK255E</v>
          </cell>
          <cell r="B6470" t="str">
            <v>インストレーション EVA4400 Encl用</v>
          </cell>
          <cell r="C6470" t="str">
            <v>EVA4400ディスクエンクロージャー用 設置サービス
※内蔵用オプションの組込み、設置</v>
          </cell>
        </row>
        <row r="6471">
          <cell r="A6471" t="str">
            <v>UK835E</v>
          </cell>
          <cell r="B6471" t="str">
            <v>スタートアップVMware vSphere ESX用</v>
          </cell>
          <cell r="C6471" t="str">
            <v>VMware vSphere ESX用 スタートアップサービス
※VMware vSphere ESX/ESXiインストール、VMware仮想マシン作成（VMware仮想マシン1台）</v>
          </cell>
        </row>
        <row r="6472">
          <cell r="A6472" t="str">
            <v>UK837E</v>
          </cell>
          <cell r="B6472" t="str">
            <v>スタートアップ VMware ESXvCenter用</v>
          </cell>
          <cell r="C6472" t="str">
            <v>VMware vSphere ESX + vCenter Server用 スタートアップサービス
※VMware vSphere ESX/ESXiインストール、VMware仮想マシン作成（VMware仮想マシン1台）
※vCenter ServerインストールおよびvCenter Server管理対象 ESX/ESXi 登録</v>
          </cell>
        </row>
        <row r="6473">
          <cell r="A6473" t="str">
            <v>UM450E</v>
          </cell>
          <cell r="B6473" t="str">
            <v>インストレーション ProLiant DL785用</v>
          </cell>
          <cell r="C6473" t="str">
            <v>HW製品組み込み、セットアップ、サーバー筐体の設置またはラッキングを行うサービス
※同時購入され同時設置されるサーバー用モニター製品、コンソール スイッチも設置対象に含む</v>
          </cell>
        </row>
        <row r="6474">
          <cell r="A6474" t="str">
            <v>UM857E</v>
          </cell>
          <cell r="B6474" t="str">
            <v>インストレーション Apollo 2K 4K用</v>
          </cell>
          <cell r="C6474" t="str">
            <v>HW製品組み込み、セットアップ、サーバー筐体の設置またはラッキングを行うサービス
※同時購入され同時設置されるサーバー用モニター製品、コンソール スイッチも設置対象に含む</v>
          </cell>
        </row>
        <row r="6475">
          <cell r="A6475" t="str">
            <v>UQ307E</v>
          </cell>
          <cell r="B6475" t="str">
            <v>インストレーション MDS600用</v>
          </cell>
          <cell r="C6475" t="str">
            <v>MDS600用 設置サービス
※内蔵用オプションの組込み、設置</v>
          </cell>
        </row>
        <row r="6476">
          <cell r="A6476" t="str">
            <v>UR285E</v>
          </cell>
          <cell r="B6476" t="str">
            <v>インストレーション ProLiantSL6000用</v>
          </cell>
          <cell r="C6476" t="str">
            <v>HW製品組み込み、セットアップ、サーバー筐体の設置またはラッキングを行うサービス
※同時購入され同時設置されるサーバー用モニター製品、コンソール スイッチも設置対象に含む</v>
          </cell>
        </row>
        <row r="6477">
          <cell r="A6477" t="str">
            <v>UR362E</v>
          </cell>
          <cell r="B6477" t="str">
            <v>インストレーション WS Blade用</v>
          </cell>
          <cell r="C6477" t="str">
            <v>ProLiant サーバブレード用設置サービス
※サーバーハードウェア設置（内蔵用オプション、サーバーコンソール用モニターを含む）</v>
          </cell>
        </row>
        <row r="6478">
          <cell r="A6478" t="str">
            <v>UR422E</v>
          </cell>
          <cell r="B6478" t="str">
            <v>インストレーション ProLiantSL6500用</v>
          </cell>
          <cell r="C6478" t="str">
            <v>HW製品組み込み、セットアップ、サーバー筐体の設置またはラッキングを行うサービス
※同時購入され同時設置されるサーバー用モニター製品、コンソール スイッチも設置対象に含む</v>
          </cell>
        </row>
        <row r="6479">
          <cell r="A6479" t="str">
            <v>UR508E</v>
          </cell>
          <cell r="B6479" t="str">
            <v>インストレーション MicroServer用</v>
          </cell>
          <cell r="C6479" t="str">
            <v>HW製品組み込み、セットアップ、サーバー筐体の設置またはラッキングを行うサービス
※同時購入され同時設置されるサーバー用モニター製品、コンソール スイッチも設置対象に含む</v>
          </cell>
        </row>
        <row r="6480">
          <cell r="A6480" t="str">
            <v>UT039E</v>
          </cell>
          <cell r="B6480" t="str">
            <v>スタートアップ DA接続追加設定A用</v>
          </cell>
          <cell r="C6480" t="str">
            <v>ディスクアレイ サーバー接続追加設定 ノンクラスターノード用 スタートアップサービス
※ディスクアレイ Vdisk（論理ディスク）へ接続サーバーOSファイルシステム構築
※対象：EVA接続サーバー（接続サーバー台数 2台まで 接続サーバーOS MS Windows、Linux、VMware）
※以下サービスのいずれかと同時販売同時作業依頼用サービス
　 スタートアップEVA4400用（UD493E）、ディスクアレイVdisk追加設定用（UA866E）</v>
          </cell>
        </row>
        <row r="6481">
          <cell r="A6481" t="str">
            <v>UT040E</v>
          </cell>
          <cell r="B6481" t="str">
            <v>スタートアップ DA接続追加設定B用</v>
          </cell>
          <cell r="C6481" t="str">
            <v>ディスクアレイ サーバー接続追加設定 ノンクラスターノード用 スタートアップサービス
※ディスクアレイ Vdisk（論理ディスク）へ接続サーバーOSファイルシステム構築
※本サービス対象サーバーでの構成クラスターへフェイルオーバーテスト構成とテスト実施
※対象：EVA接続サーバー（接続サーバー台数 2台まで 接続サーバーOS MS Windows、Linux、VMware）
※以下サービスのいずれかと同時販売同時作業依頼用サービス
　 スタートアップEVA4400用（UD493E）、ディスクアレイVdisk追加設定用（UA866E）</v>
          </cell>
        </row>
        <row r="6482">
          <cell r="A6482" t="str">
            <v>UT858E</v>
          </cell>
          <cell r="B6482" t="str">
            <v>スタートアップ IC for vCenter</v>
          </cell>
          <cell r="C6482" t="str">
            <v>Insight Control for VMware vCenter用 スタートアップサービス
※nsight Control for VMware vCenterインストレーション
※Insight Control for VMware vCenter初期設定
※Insight Control Server Module for vCenterおよびInsight Control Storage Module for vCenter初期設定
※VMware VASAプロバイダー設定
※簡易オリエンテーション</v>
          </cell>
        </row>
        <row r="6483">
          <cell r="A6483" t="str">
            <v>UU089E</v>
          </cell>
          <cell r="B6483" t="str">
            <v>スタートアップ StoreOnce Backup 用</v>
          </cell>
          <cell r="C6483" t="str">
            <v>StoreOnce Backup用 スタートアップサービス
※StoreOnce Backupハードウェア設置とハードウェア設定
※接続サーバー（1台）とStoreOnce Backup間接続作業
※NAS共有/Virtual Tape Library 機能確認
※オリエンテーション
※StoreOnce Upgrade Kit に対してはハードウェア設置StoreOnceBackup用(UD056E）の追加が必要</v>
          </cell>
        </row>
        <row r="6484">
          <cell r="A6484" t="str">
            <v>UU092E</v>
          </cell>
          <cell r="B6484" t="str">
            <v>スタートアップVSAシステム構成設定用</v>
          </cell>
          <cell r="C6484" t="str">
            <v>P4000 Virtual SAN Appliance システム構成設定用 スタートアップサービス
※ システム内部ネットワーク構成設定
※P4000 VSA SoftwareインストールおよびP4000 VSA ストレージクラスター構成
※vCenterインストール設定
※簡易オリエンテーション、システム構成書および簡易操作手順書</v>
          </cell>
        </row>
        <row r="6485">
          <cell r="A6485" t="str">
            <v>UU093E</v>
          </cell>
          <cell r="B6485" t="str">
            <v>スタートアップ Storage追加作業L用</v>
          </cell>
          <cell r="C6485" t="str">
            <v>Storage製品追加サービスL用 スタートアップサービス
※ストレージ各製品対応用HPEインストレーションサービスへの追加作業用
※P6300向けオリエンテーション （スタートアップサービスEVA4400用（UD493E）と同時販売同時作業依頼用サービス）</v>
          </cell>
        </row>
        <row r="6486">
          <cell r="A6486" t="str">
            <v>UU094E</v>
          </cell>
          <cell r="B6486" t="str">
            <v>スタートアップ Storage追加作業S用</v>
          </cell>
          <cell r="C6486" t="str">
            <v>Storage製品追加サービスS用 スタートアップサービス
※D2D Backup System 向け対仮想化サーバーバックアップ環境追加構築作業
　（スタートアップサービスD2D Backup System用（UU089E）と同時販売同時作業依頼用サービス）
※バックアップ取得対象Aの場合：仮想マシンゲストOSの場合本サービス製品が12個必要
※バックアップ取得対象Bの場合：仮想マシンゲストOS上データベースファイル（オンラインバックアップ）の場合本サービスが18個必要</v>
          </cell>
        </row>
        <row r="6487">
          <cell r="A6487" t="str">
            <v>UU095E</v>
          </cell>
          <cell r="B6487" t="str">
            <v>スタートアップ BusinessCopyEVA用</v>
          </cell>
          <cell r="C6487" t="str">
            <v>BusinessCopy EVA用 スタートアップサービス
※Business Copy ソフトウェアライセンス登録
※RSM Server/Agentインストール
※Business Copy ボリューム設定
※対象：EVA4400（接続サーバーOS MS Windows、Linux、VMware）</v>
          </cell>
        </row>
        <row r="6488">
          <cell r="A6488" t="str">
            <v>UV304E</v>
          </cell>
          <cell r="B6488" t="str">
            <v>インストレーション ProLiant DL980用</v>
          </cell>
          <cell r="C6488" t="str">
            <v>HW製品組み込み、セットアップ、サーバー筐体の設置またはラッキングを行うサービス
※同時購入され同時設置されるサーバー用モニター製品、コンソール スイッチも設置対象に含む</v>
          </cell>
        </row>
        <row r="6489">
          <cell r="A6489" t="str">
            <v>UX032E</v>
          </cell>
          <cell r="B6489" t="str">
            <v>インストレーション Networking 75xx用</v>
          </cell>
          <cell r="C6489" t="str">
            <v>Networking 75xx用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6490">
          <cell r="A6490" t="str">
            <v>UX033E</v>
          </cell>
          <cell r="B6490" t="str">
            <v>インストレーション Networking 95xx用</v>
          </cell>
          <cell r="C6490" t="str">
            <v>Networking 95xx用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6491">
          <cell r="A6491" t="str">
            <v>UX034E</v>
          </cell>
          <cell r="B6491" t="str">
            <v>インストレーション Networking 125xx用</v>
          </cell>
          <cell r="C6491" t="str">
            <v>Networking 125xx用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6492">
          <cell r="A6492" t="str">
            <v>UX114E</v>
          </cell>
          <cell r="B6492" t="str">
            <v>インストレーション Networking Level1用</v>
          </cell>
          <cell r="C6492" t="str">
            <v>Networking Level1用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6493">
          <cell r="A6493" t="str">
            <v>UX115E</v>
          </cell>
          <cell r="B6493" t="str">
            <v>スタートアップ Networking Level1用</v>
          </cell>
          <cell r="C6493" t="str">
            <v>Networking Level1用 スタートアップサービス
※内蔵用オプション機器類の組込み（NetworkingProCurve Switch用冗長/外部パワーサプライも対象）、設置
※NetworkingProCurve Switchへのネットワークケーブル接続　
※NetworkingProCurve Switch設定用コンフィギュレーションファイルの作成/適用
※ネットワークケーブル敷設配線作業は、サービス対象外</v>
          </cell>
        </row>
        <row r="6494">
          <cell r="A6494" t="str">
            <v>UX116E</v>
          </cell>
          <cell r="B6494" t="str">
            <v>インストレーション Networking Level2用</v>
          </cell>
          <cell r="C6494" t="str">
            <v>Networking Level2用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6495">
          <cell r="A6495" t="str">
            <v>UX117E</v>
          </cell>
          <cell r="B6495" t="str">
            <v>スタートアップ Networking Level2用</v>
          </cell>
          <cell r="C6495" t="str">
            <v>Networking Level2用 スタートアップサービス
※内蔵用オプション機器類の組込み（NetworkingProCurve Switch用冗長/外部パワーサプライも対象）、設置
※NetworkingProCurve Switchへのネットワークケーブル接続　
※NetworkingProCurve Switch設定用コンフィギュレーションファイルの作成/適用
※ネットワークケーブル敷設配線作業は、サービス対象外</v>
          </cell>
        </row>
        <row r="6496">
          <cell r="A6496" t="str">
            <v>UX118E</v>
          </cell>
          <cell r="B6496" t="str">
            <v>インストレーション Networking Level3用</v>
          </cell>
          <cell r="C6496" t="str">
            <v>Networking Level3用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6497">
          <cell r="A6497" t="str">
            <v>UX119E</v>
          </cell>
          <cell r="B6497" t="str">
            <v>スタートアップ Networking Level3用</v>
          </cell>
          <cell r="C6497" t="str">
            <v>Networking Level3用 スタートアップサービス
※内蔵用オプション機器類の組込み（NetworkingProCurve Switch用冗長/外部パワーサプライも対象）、設置
※NetworkingProCurve Switchへのネットワークケーブル接続　
※NetworkingProCurve Switch設定用コンフィギュレーションファイルの作成/適用
※ネットワークケーブル敷設配線作業は、サービス対象外</v>
          </cell>
        </row>
        <row r="6498">
          <cell r="A6498" t="str">
            <v>UX120E</v>
          </cell>
          <cell r="B6498" t="str">
            <v>インストレーション Networking Level4用</v>
          </cell>
          <cell r="C6498" t="str">
            <v>Networking Level4用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6499">
          <cell r="A6499" t="str">
            <v>UX121E</v>
          </cell>
          <cell r="B6499" t="str">
            <v>スタートアップ Networking Level4用</v>
          </cell>
          <cell r="C6499" t="str">
            <v>Networking Level4用 スタートアップサービス
※内蔵用オプション機器類の組込み（NetworkingProCurve Switch用冗長/外部パワーサプライも対象）、設置
※NetworkingProCurve Switchへのネットワークケーブル接続　
※NetworkingProCurve Switch設定用コンフィギュレーションファイルの作成/適用
※ネットワークケーブル敷設配線作業は、サービス対象外</v>
          </cell>
        </row>
        <row r="6500">
          <cell r="A6500" t="str">
            <v>U1DV4PE</v>
          </cell>
          <cell r="B6500" t="str">
            <v>PW ProCare 24x7 1年 DL785 G5 P8360以前用</v>
          </cell>
          <cell r="C6500" t="str">
            <v>【HPEプロアクティブケア】メーカー推奨／低価格で国内専用窓口の高品質な保守により、システム運用における安心を提供します。</v>
          </cell>
        </row>
        <row r="6501">
          <cell r="A6501" t="str">
            <v>U1DV5PE</v>
          </cell>
          <cell r="B6501" t="str">
            <v>PW ProCare DMR 24x7 1年DL785G5 P8360以前</v>
          </cell>
          <cell r="C6501" t="str">
            <v>【HPEプロアクティブケア】メーカー推奨／低価格で国内専用窓口の高品質な保守により、システム運用における安心を提供します。</v>
          </cell>
        </row>
        <row r="6502">
          <cell r="A6502" t="str">
            <v>U1DW3PE</v>
          </cell>
          <cell r="B6502" t="str">
            <v>PW ProCare 24x7 1年 DL785 G5 P8378以降用</v>
          </cell>
          <cell r="C6502" t="str">
            <v>【HPEプロアクティブケア】メーカー推奨／低価格で国内専用窓口の高品質な保守により、システム運用における安心を提供します。</v>
          </cell>
        </row>
        <row r="6503">
          <cell r="A6503" t="str">
            <v>U1DW4PE</v>
          </cell>
          <cell r="B6503" t="str">
            <v>PW ProCare DMR 24x7 1年DL785G5 P8378以降</v>
          </cell>
          <cell r="C6503" t="str">
            <v>【HPEプロアクティブケア】メーカー推奨／低価格で国内専用窓口の高品質な保守により、システム運用における安心を提供します。</v>
          </cell>
        </row>
        <row r="6504">
          <cell r="A6504" t="str">
            <v>U1DX2PE</v>
          </cell>
          <cell r="B6504" t="str">
            <v>PW ProCare 24x7 1年 DL785 G6用</v>
          </cell>
          <cell r="C6504" t="str">
            <v>【HPEプロアクティブケア】メーカー推奨／低価格で国内専用窓口の高品質な保守により、システム運用における安心を提供します。</v>
          </cell>
        </row>
        <row r="6505">
          <cell r="A6505" t="str">
            <v>U1DX3PE</v>
          </cell>
          <cell r="B6505" t="str">
            <v>PW ProCare HD返却不要24x7 1年 DL785 G6用</v>
          </cell>
          <cell r="C6505" t="str">
            <v>【HPEプロアクティブケア】メーカー推奨／低価格で国内専用窓口の高品質な保守により、システム運用における安心を提供します。</v>
          </cell>
        </row>
        <row r="6506">
          <cell r="A6506" t="str">
            <v>U1DY1PE</v>
          </cell>
          <cell r="B6506" t="str">
            <v>PW ProCare 24x7 1年 DL785 G6 IC</v>
          </cell>
          <cell r="C6506" t="str">
            <v>【HPEプロアクティブケア】メーカー推奨／低価格で国内専用窓口の高品質な保守により、システム運用における安心を提供します。</v>
          </cell>
        </row>
        <row r="6507">
          <cell r="A6507" t="str">
            <v>U1DY2PE</v>
          </cell>
          <cell r="B6507" t="str">
            <v>PW ProCare HD返却不要24x7 1年 DL785G6 IC</v>
          </cell>
          <cell r="C6507" t="str">
            <v>【HPEプロアクティブケア】メーカー推奨／低価格で国内専用窓口の高品質な保守により、システム運用における安心を提供します。</v>
          </cell>
        </row>
        <row r="6508">
          <cell r="A6508" t="str">
            <v>U1DZ0PE</v>
          </cell>
          <cell r="B6508" t="str">
            <v>PW ProCare 24x7 1年 DL980 G7</v>
          </cell>
          <cell r="C6508" t="str">
            <v>【HPEプロアクティブケア】メーカー推奨／低価格で国内専用窓口の高品質な保守により、システム運用における安心を提供します。</v>
          </cell>
        </row>
        <row r="6509">
          <cell r="A6509" t="str">
            <v>U1DZ1PE</v>
          </cell>
          <cell r="B6509" t="str">
            <v>PW ProCare HD返却不要24x7 1年 DL980 G7</v>
          </cell>
          <cell r="C6509" t="str">
            <v>【HPEプロアクティブケア】メーカー推奨／低価格で国内専用窓口の高品質な保守により、システム運用における安心を提供します。</v>
          </cell>
        </row>
        <row r="6510">
          <cell r="A6510" t="str">
            <v>U1DZ9PE</v>
          </cell>
          <cell r="B6510" t="str">
            <v>PW ProCare 24x7 1年 DL980 G7 CTOモデル</v>
          </cell>
          <cell r="C6510" t="str">
            <v>【HPEプロアクティブケア】メーカー推奨／低価格で国内専用窓口の高品質な保守により、システム運用における安心を提供します。</v>
          </cell>
        </row>
        <row r="6511">
          <cell r="A6511" t="str">
            <v>U1EA0PE</v>
          </cell>
          <cell r="B6511" t="str">
            <v>PW ProCare DMR 24x7 1年 DL980G7 CTO</v>
          </cell>
          <cell r="C6511" t="str">
            <v>【HPEプロアクティブケア】メーカー推奨／低価格で国内専用窓口の高品質な保守により、システム運用における安心を提供します。</v>
          </cell>
        </row>
        <row r="6512">
          <cell r="A6512" t="str">
            <v>U2YH8PE</v>
          </cell>
          <cell r="B6512" t="str">
            <v>PW FC 翌日 1年 DL785 G5 P8360以前用</v>
          </cell>
          <cell r="C6512" t="str">
            <v>【ファウンデーションケア】</v>
          </cell>
        </row>
        <row r="6513">
          <cell r="A6513" t="str">
            <v>U2YJ1PE</v>
          </cell>
          <cell r="B6513" t="str">
            <v>PW FC 24x7 1年 DL785 G5 P8360以前用</v>
          </cell>
          <cell r="C6513" t="str">
            <v>【ファウンデーションケア】</v>
          </cell>
        </row>
        <row r="6514">
          <cell r="A6514" t="str">
            <v>U2YJ2PE</v>
          </cell>
          <cell r="B6514" t="str">
            <v>PW FC24x7 HD返却不要1年DL785G5 P8360以前</v>
          </cell>
          <cell r="C6514" t="str">
            <v>【ファウンデーションケア】</v>
          </cell>
        </row>
        <row r="6515">
          <cell r="A6515" t="str">
            <v>U2YM1PE</v>
          </cell>
          <cell r="B6515" t="str">
            <v>PW FC 翌日 1年 DL785 G5 P8378以降用</v>
          </cell>
          <cell r="C6515" t="str">
            <v>【ファウンデーションケア】</v>
          </cell>
        </row>
        <row r="6516">
          <cell r="A6516" t="str">
            <v>U2YM4PE</v>
          </cell>
          <cell r="B6516" t="str">
            <v>PW FC 24x7 1年 DL785 G5 P8378以降用</v>
          </cell>
          <cell r="C6516" t="str">
            <v>【ファウンデーションケア】</v>
          </cell>
        </row>
        <row r="6517">
          <cell r="A6517" t="str">
            <v>U2YM5PE</v>
          </cell>
          <cell r="B6517" t="str">
            <v>PW FC24x7 HD返却不要1年DL785G5 P8378以降</v>
          </cell>
          <cell r="C6517" t="str">
            <v>【ファウンデーションケア】</v>
          </cell>
        </row>
        <row r="6518">
          <cell r="A6518" t="str">
            <v>U2YQ4PE</v>
          </cell>
          <cell r="B6518" t="str">
            <v>PW FC 翌日 1年 DL785 G6用</v>
          </cell>
          <cell r="C6518" t="str">
            <v>【ファウンデーションケア】</v>
          </cell>
        </row>
        <row r="6519">
          <cell r="A6519" t="str">
            <v>U2YQ7PE</v>
          </cell>
          <cell r="B6519" t="str">
            <v>PW FC 24x7 1年 DL785 G6用</v>
          </cell>
          <cell r="C6519" t="str">
            <v>【ファウンデーションケア】</v>
          </cell>
        </row>
        <row r="6520">
          <cell r="A6520" t="str">
            <v>U2YQ8PE</v>
          </cell>
          <cell r="B6520" t="str">
            <v>PW FC 24x7 HD返却不要 1年 DL785 G6用</v>
          </cell>
          <cell r="C6520" t="str">
            <v>【ファウンデーションケア】</v>
          </cell>
        </row>
        <row r="6521">
          <cell r="A6521" t="str">
            <v>U2YT7PE</v>
          </cell>
          <cell r="B6521" t="str">
            <v>PW FC 翌日 1年 DL785 G6 IC</v>
          </cell>
          <cell r="C6521" t="str">
            <v>【ファウンデーションケア】</v>
          </cell>
        </row>
        <row r="6522">
          <cell r="A6522" t="str">
            <v>U2YU0PE</v>
          </cell>
          <cell r="B6522" t="str">
            <v>PW FC 24x7 1年 DL785 G6 IC</v>
          </cell>
          <cell r="C6522" t="str">
            <v>【ファウンデーションケア】</v>
          </cell>
        </row>
        <row r="6523">
          <cell r="A6523" t="str">
            <v>U2YU1PE</v>
          </cell>
          <cell r="B6523" t="str">
            <v>PW FC 24x7 HD返却不要 1年 DL785 G6 IC</v>
          </cell>
          <cell r="C6523" t="str">
            <v>【ファウンデーションケア】</v>
          </cell>
        </row>
        <row r="6524">
          <cell r="A6524" t="str">
            <v>U2YX0PE</v>
          </cell>
          <cell r="B6524" t="str">
            <v>PW FC 翌日 1年 DL980 G7</v>
          </cell>
          <cell r="C6524" t="str">
            <v>【ファウンデーションケア】</v>
          </cell>
        </row>
        <row r="6525">
          <cell r="A6525" t="str">
            <v>U2YX3PE</v>
          </cell>
          <cell r="B6525" t="str">
            <v>PW FC 24x7 1年 DL980 G7</v>
          </cell>
          <cell r="C6525" t="str">
            <v>【ファウンデーションケア】</v>
          </cell>
        </row>
        <row r="6526">
          <cell r="A6526" t="str">
            <v>U2YX4PE</v>
          </cell>
          <cell r="B6526" t="str">
            <v>PW FC 24x7 HD返却不要 1年 DL980 G7</v>
          </cell>
          <cell r="C6526" t="str">
            <v>【ファウンデーションケア】</v>
          </cell>
        </row>
        <row r="6527">
          <cell r="A6527" t="str">
            <v>U2ZA3PE</v>
          </cell>
          <cell r="B6527" t="str">
            <v>PW FC 翌日 1年 DL980 G7 CTOモデル</v>
          </cell>
          <cell r="C6527" t="str">
            <v>【ファウンデーションケア】</v>
          </cell>
        </row>
        <row r="6528">
          <cell r="A6528" t="str">
            <v>U2ZA6PE</v>
          </cell>
          <cell r="B6528" t="str">
            <v>PW FC 24x7 1年 DL980 G7 CTOモデル</v>
          </cell>
          <cell r="C6528" t="str">
            <v>【ファウンデーションケア】</v>
          </cell>
        </row>
        <row r="6529">
          <cell r="A6529" t="str">
            <v>U2ZA7PE</v>
          </cell>
          <cell r="B6529" t="str">
            <v>PW FC 24x7 HD返却不要 1年DL980 G7 CTO</v>
          </cell>
          <cell r="C6529" t="str">
            <v>【ファウンデーションケア】</v>
          </cell>
        </row>
        <row r="6530">
          <cell r="A6530" t="str">
            <v>U3EE8PE</v>
          </cell>
          <cell r="B6530" t="str">
            <v>PW FC 9x5 1年 DL785 G5 P8360以前用</v>
          </cell>
          <cell r="C6530" t="str">
            <v>【ファウンデーションケア】</v>
          </cell>
        </row>
        <row r="6531">
          <cell r="A6531" t="str">
            <v>U3EF2PE</v>
          </cell>
          <cell r="B6531" t="str">
            <v>PW FC 9x5 HD返却不要1年DL785G5 P8360以前</v>
          </cell>
          <cell r="C6531" t="str">
            <v>【ファウンデーションケア】</v>
          </cell>
        </row>
        <row r="6532">
          <cell r="A6532" t="str">
            <v>U3EF6PE</v>
          </cell>
          <cell r="B6532" t="str">
            <v>PW FC 9x5 1年 DL785 G5 P8378以降用</v>
          </cell>
          <cell r="C6532" t="str">
            <v>【ファウンデーションケア】</v>
          </cell>
        </row>
        <row r="6533">
          <cell r="A6533" t="str">
            <v>U3EG0PE</v>
          </cell>
          <cell r="B6533" t="str">
            <v>PW FC9x5 HD返却不要1年DL785G5 P8378以降</v>
          </cell>
          <cell r="C6533" t="str">
            <v>【ファウンデーションケア】</v>
          </cell>
        </row>
        <row r="6534">
          <cell r="A6534" t="str">
            <v>U3EG4PE</v>
          </cell>
          <cell r="B6534" t="str">
            <v>PW FC 9x5 1年 DL785 G6用</v>
          </cell>
          <cell r="C6534" t="str">
            <v>【ファウンデーションケア】</v>
          </cell>
        </row>
        <row r="6535">
          <cell r="A6535" t="str">
            <v>U3EG8PE</v>
          </cell>
          <cell r="B6535" t="str">
            <v>PW FC 9x5 HD返却不要 1年 DL785 G6用</v>
          </cell>
          <cell r="C6535" t="str">
            <v>【ファウンデーションケア】</v>
          </cell>
        </row>
        <row r="6536">
          <cell r="A6536" t="str">
            <v>U3EH2PE</v>
          </cell>
          <cell r="B6536" t="str">
            <v>PW FC 9x5 1年 DL785 G6 IC</v>
          </cell>
          <cell r="C6536" t="str">
            <v>【ファウンデーションケア】</v>
          </cell>
        </row>
        <row r="6537">
          <cell r="A6537" t="str">
            <v>U3EH6PE</v>
          </cell>
          <cell r="B6537" t="str">
            <v>PW FC 9x5 HD返却不要 1年 DL785 G6 IC</v>
          </cell>
          <cell r="C6537" t="str">
            <v>【ファウンデーションケア】</v>
          </cell>
        </row>
        <row r="6538">
          <cell r="A6538" t="str">
            <v>U3EJ0PE</v>
          </cell>
          <cell r="B6538" t="str">
            <v>PW FC 9x5 1年 DL980 G7</v>
          </cell>
          <cell r="C6538" t="str">
            <v>【ファウンデーションケア】</v>
          </cell>
        </row>
        <row r="6539">
          <cell r="A6539" t="str">
            <v>U3EJ4PE</v>
          </cell>
          <cell r="B6539" t="str">
            <v>PW FC 9x5 HD返却不要 1年 DL980 G7</v>
          </cell>
          <cell r="C6539" t="str">
            <v>【ファウンデーションケア】</v>
          </cell>
        </row>
        <row r="6540">
          <cell r="A6540" t="str">
            <v>U3EJ8PE</v>
          </cell>
          <cell r="B6540" t="str">
            <v>PW FC 9x5 1年 DL980 G7 CTOモデル</v>
          </cell>
          <cell r="C6540" t="str">
            <v>【ファウンデーションケア】</v>
          </cell>
        </row>
        <row r="6541">
          <cell r="A6541" t="str">
            <v>U3EK2PE</v>
          </cell>
          <cell r="B6541" t="str">
            <v>PW FC 9x5 HD返却不要 1年 DL980 G7 CTO</v>
          </cell>
          <cell r="C6541" t="str">
            <v>【ファウンデーションケア】</v>
          </cell>
        </row>
        <row r="6542">
          <cell r="A6542" t="str">
            <v>H0RJ3E</v>
          </cell>
          <cell r="B6542" t="str">
            <v>FC 24x7 4年 5130-24G-PoE HI Switch</v>
          </cell>
          <cell r="C6542" t="str">
            <v>【ファウンデーションケア】</v>
          </cell>
        </row>
        <row r="6543">
          <cell r="A6543" t="str">
            <v>H0RL1E</v>
          </cell>
          <cell r="B6543" t="str">
            <v>FC 9x5 5年 5130-24G-PoE HI Switch</v>
          </cell>
          <cell r="C6543" t="str">
            <v>【ファウンデーションケア】</v>
          </cell>
        </row>
        <row r="6544">
          <cell r="A6544" t="str">
            <v>H0RL6E</v>
          </cell>
          <cell r="B6544" t="str">
            <v>FC 24x7 5年 5130-24G-PoE HI Switch</v>
          </cell>
          <cell r="C6544" t="str">
            <v>【ファウンデーションケア】</v>
          </cell>
        </row>
        <row r="6545">
          <cell r="A6545" t="str">
            <v>H0RN4PE</v>
          </cell>
          <cell r="B6545" t="str">
            <v>更新用 FC 9x5 1年 5130-24G-PoE HI Switch</v>
          </cell>
          <cell r="C6545" t="str">
            <v>【ファウンデーションケア】</v>
          </cell>
        </row>
        <row r="6546">
          <cell r="A6546" t="str">
            <v>H0RN6PE</v>
          </cell>
          <cell r="B6546" t="str">
            <v>更新用FC 24x7 1年 5130-24G-PoE HI Switch</v>
          </cell>
          <cell r="C6546" t="str">
            <v>【ファウンデーションケア】</v>
          </cell>
        </row>
        <row r="6547">
          <cell r="A6547" t="str">
            <v>H0RP6E</v>
          </cell>
          <cell r="B6547" t="str">
            <v>FC 24x7 1年 5130-48G-PoE HI Switch</v>
          </cell>
          <cell r="C6547" t="str">
            <v>【ファウンデーションケア】</v>
          </cell>
        </row>
        <row r="6548">
          <cell r="A6548" t="str">
            <v>H0RQ6E</v>
          </cell>
          <cell r="B6548" t="str">
            <v>FC 9x5 3年 5130-48G-PoE HI Switch</v>
          </cell>
          <cell r="C6548" t="str">
            <v>【ファウンデーションケア】</v>
          </cell>
        </row>
        <row r="6549">
          <cell r="A6549" t="str">
            <v>H0RR1E</v>
          </cell>
          <cell r="B6549" t="str">
            <v>FC 24x7 3年 5130-48G-PoE HI Switch</v>
          </cell>
          <cell r="C6549" t="str">
            <v>【ファウンデーションケア】</v>
          </cell>
        </row>
        <row r="6550">
          <cell r="A6550" t="str">
            <v>H0RS9E</v>
          </cell>
          <cell r="B6550" t="str">
            <v>FC 9x5 4年 5130-48G-PoE HI Switch</v>
          </cell>
          <cell r="C6550" t="str">
            <v>【ファウンデーションケア】</v>
          </cell>
        </row>
        <row r="6551">
          <cell r="A6551" t="str">
            <v>H0RT4E</v>
          </cell>
          <cell r="B6551" t="str">
            <v>FC 24x7 4年 5130-48G-PoE HI Switch</v>
          </cell>
          <cell r="C6551" t="str">
            <v>【ファウンデーションケア】</v>
          </cell>
        </row>
        <row r="6552">
          <cell r="A6552" t="str">
            <v>H0RV2E</v>
          </cell>
          <cell r="B6552" t="str">
            <v>FC 9x5 5年 5130-48G-PoE HI Switch</v>
          </cell>
          <cell r="C6552" t="str">
            <v>【ファウンデーションケア】</v>
          </cell>
        </row>
        <row r="6553">
          <cell r="A6553" t="str">
            <v>H0RV7E</v>
          </cell>
          <cell r="B6553" t="str">
            <v>FC 24x7 5年 5130-48G-PoE HI Switch</v>
          </cell>
          <cell r="C6553" t="str">
            <v>【ファウンデーションケア】</v>
          </cell>
        </row>
        <row r="6554">
          <cell r="A6554" t="str">
            <v>H0RX5PE</v>
          </cell>
          <cell r="B6554" t="str">
            <v>更新用 FC 9x5 1年 5130-48G-PoE HI Switch</v>
          </cell>
          <cell r="C6554" t="str">
            <v>【ファウンデーションケア】</v>
          </cell>
        </row>
        <row r="6555">
          <cell r="A6555" t="str">
            <v>H0RX7PE</v>
          </cell>
          <cell r="B6555" t="str">
            <v>更新用FC 24x7 1年 5130-48G-PoE HI Switch</v>
          </cell>
          <cell r="C6555" t="str">
            <v>【ファウンデーションケア】</v>
          </cell>
        </row>
        <row r="6556">
          <cell r="A6556" t="str">
            <v>H1EZ7E</v>
          </cell>
          <cell r="B6556" t="str">
            <v>FC 24x7 1年 MSR954 Router用</v>
          </cell>
          <cell r="C6556" t="str">
            <v>【ファウンデーションケア】</v>
          </cell>
        </row>
        <row r="6557">
          <cell r="A6557" t="str">
            <v>H1FA8E</v>
          </cell>
          <cell r="B6557" t="str">
            <v>FC 9x5 3年 MSR954 Router用</v>
          </cell>
          <cell r="C6557" t="str">
            <v>【ファウンデーションケア】</v>
          </cell>
        </row>
        <row r="6558">
          <cell r="A6558" t="str">
            <v>H1FB3E</v>
          </cell>
          <cell r="B6558" t="str">
            <v>FC 24x7 3年 MSR954 Router用</v>
          </cell>
          <cell r="C6558" t="str">
            <v>【ファウンデーションケア】</v>
          </cell>
        </row>
        <row r="6559">
          <cell r="A6559" t="str">
            <v>H1FD1E</v>
          </cell>
          <cell r="B6559" t="str">
            <v>FC 9x5 4年 MSR954 Router用</v>
          </cell>
          <cell r="C6559" t="str">
            <v>【ファウンデーションケア】</v>
          </cell>
        </row>
        <row r="6560">
          <cell r="A6560" t="str">
            <v>H1FD6E</v>
          </cell>
          <cell r="B6560" t="str">
            <v>FC 24x7 4年 MSR954 Router用</v>
          </cell>
          <cell r="C6560" t="str">
            <v>【ファウンデーションケア】</v>
          </cell>
        </row>
        <row r="6561">
          <cell r="A6561" t="str">
            <v>H1FF4E</v>
          </cell>
          <cell r="B6561" t="str">
            <v>FC 9x5 5年 MSR954 Router用</v>
          </cell>
          <cell r="C6561" t="str">
            <v>【ファウンデーションケア】</v>
          </cell>
        </row>
        <row r="6562">
          <cell r="A6562" t="str">
            <v>H1FF9E</v>
          </cell>
          <cell r="B6562" t="str">
            <v>FC 24x7 5年 MSR954 Router用</v>
          </cell>
          <cell r="C6562" t="str">
            <v>【ファウンデーションケア】</v>
          </cell>
        </row>
        <row r="6563">
          <cell r="A6563" t="str">
            <v>H1FH7PE</v>
          </cell>
          <cell r="B6563" t="str">
            <v>PW FC 9x5 1年 MSR954 Router用</v>
          </cell>
          <cell r="C6563" t="str">
            <v>【ファウンデーションケア】</v>
          </cell>
        </row>
        <row r="6564">
          <cell r="A6564" t="str">
            <v>H1FJ0PE</v>
          </cell>
          <cell r="B6564" t="str">
            <v>PW FC 24x7 1年 MSR954 Router用</v>
          </cell>
          <cell r="C6564" t="str">
            <v>【ファウンデーションケア】</v>
          </cell>
        </row>
        <row r="6565">
          <cell r="A6565" t="str">
            <v>H1GJ1E</v>
          </cell>
          <cell r="B6565" t="str">
            <v>FC 24x7 1年 2530-8 Switch用</v>
          </cell>
          <cell r="C6565" t="str">
            <v>【ファウンデーションケア】</v>
          </cell>
        </row>
        <row r="6566">
          <cell r="A6566" t="str">
            <v>H1GK1E</v>
          </cell>
          <cell r="B6566" t="str">
            <v>FC 9x5 3年 2530-8 Switch用</v>
          </cell>
          <cell r="C6566" t="str">
            <v>【ファウンデーションケア】</v>
          </cell>
        </row>
        <row r="6567">
          <cell r="A6567" t="str">
            <v>H1GK6E</v>
          </cell>
          <cell r="B6567" t="str">
            <v>FC 24x7 3年 2530-8 Switch用</v>
          </cell>
          <cell r="C6567" t="str">
            <v>【ファウンデーションケア】</v>
          </cell>
        </row>
        <row r="6568">
          <cell r="A6568" t="str">
            <v>H1GM4E</v>
          </cell>
          <cell r="B6568" t="str">
            <v>FC 9x5 4年 2530-8 Switch用</v>
          </cell>
          <cell r="C6568" t="str">
            <v>【ファウンデーションケア】</v>
          </cell>
        </row>
        <row r="6569">
          <cell r="A6569" t="str">
            <v>H1GM9E</v>
          </cell>
          <cell r="B6569" t="str">
            <v>FC 24x7 4年 2530-8 Switch用</v>
          </cell>
          <cell r="C6569" t="str">
            <v>【ファウンデーションケア】</v>
          </cell>
        </row>
        <row r="6570">
          <cell r="A6570" t="str">
            <v>H1GP7E</v>
          </cell>
          <cell r="B6570" t="str">
            <v>FC 9x5 5年 2530-8 Switch用</v>
          </cell>
          <cell r="C6570" t="str">
            <v>【ファウンデーションケア】</v>
          </cell>
        </row>
        <row r="6571">
          <cell r="A6571" t="str">
            <v>H1GQ2E</v>
          </cell>
          <cell r="B6571" t="str">
            <v>FC 24x7 5年 2530-8 Switch用</v>
          </cell>
          <cell r="C6571" t="str">
            <v>【ファウンデーションケア】</v>
          </cell>
        </row>
        <row r="6572">
          <cell r="A6572" t="str">
            <v>H1GS0PE</v>
          </cell>
          <cell r="B6572" t="str">
            <v>更新用FC 9x5 1年 2530-8 Switch用</v>
          </cell>
          <cell r="C6572" t="str">
            <v>【ファウンデーションケア】</v>
          </cell>
        </row>
        <row r="6573">
          <cell r="A6573" t="str">
            <v>H1GS2PE</v>
          </cell>
          <cell r="B6573" t="str">
            <v>更新用FC 24x7 1年 2530-8 Switch用</v>
          </cell>
          <cell r="C6573" t="str">
            <v>【ファウンデーションケア】</v>
          </cell>
        </row>
        <row r="6574">
          <cell r="A6574" t="str">
            <v>H1GT2E</v>
          </cell>
          <cell r="B6574" t="str">
            <v>FC 24x7 1年 2530-24 Switch用</v>
          </cell>
          <cell r="C6574" t="str">
            <v>【ファウンデーションケア】</v>
          </cell>
        </row>
        <row r="6575">
          <cell r="A6575" t="str">
            <v>H1GU2E</v>
          </cell>
          <cell r="B6575" t="str">
            <v>FC 9x5 3年 2530-24 Switch用</v>
          </cell>
          <cell r="C6575" t="str">
            <v>【ファウンデーションケア】</v>
          </cell>
        </row>
        <row r="6576">
          <cell r="A6576" t="str">
            <v>H1GU7E</v>
          </cell>
          <cell r="B6576" t="str">
            <v>FC 24x7 3年 2530-24 Switch用</v>
          </cell>
          <cell r="C6576" t="str">
            <v>【ファウンデーションケア】</v>
          </cell>
        </row>
        <row r="6577">
          <cell r="A6577" t="str">
            <v>H1GW5E</v>
          </cell>
          <cell r="B6577" t="str">
            <v>FC 9x5 4年 2530-24 Switch用</v>
          </cell>
          <cell r="C6577" t="str">
            <v>【ファウンデーションケア】</v>
          </cell>
        </row>
        <row r="6578">
          <cell r="A6578" t="str">
            <v>H1GX0E</v>
          </cell>
          <cell r="B6578" t="str">
            <v>FC 24x7 4年 2530-24 Switch用</v>
          </cell>
          <cell r="C6578" t="str">
            <v>【ファウンデーションケア】</v>
          </cell>
        </row>
        <row r="6579">
          <cell r="A6579" t="str">
            <v>H1GY8E</v>
          </cell>
          <cell r="B6579" t="str">
            <v>FC 9x5 5年 2530-24 Switch用</v>
          </cell>
          <cell r="C6579" t="str">
            <v>【ファウンデーションケア】</v>
          </cell>
        </row>
        <row r="6580">
          <cell r="A6580" t="str">
            <v>H1GZ3E</v>
          </cell>
          <cell r="B6580" t="str">
            <v>FC 24x7 5年 2530-24 Switch用</v>
          </cell>
          <cell r="C6580" t="str">
            <v>【ファウンデーションケア】</v>
          </cell>
        </row>
        <row r="6581">
          <cell r="A6581" t="str">
            <v>H1HB1PE</v>
          </cell>
          <cell r="B6581" t="str">
            <v>更新用FC 9x5 1年 2530-24 Switch用</v>
          </cell>
          <cell r="C6581" t="str">
            <v>【ファウンデーションケア】</v>
          </cell>
        </row>
        <row r="6582">
          <cell r="A6582" t="str">
            <v>H1HB3PE</v>
          </cell>
          <cell r="B6582" t="str">
            <v>更新用FC 24x7 1年 2530-24 Switch用</v>
          </cell>
          <cell r="C6582" t="str">
            <v>【ファウンデーションケア】</v>
          </cell>
        </row>
        <row r="6583">
          <cell r="A6583" t="str">
            <v>H1HC3E</v>
          </cell>
          <cell r="B6583" t="str">
            <v>FC 24x7 1年 2530-24 2SFP Switch用</v>
          </cell>
          <cell r="C6583" t="str">
            <v>【ファウンデーションケア】</v>
          </cell>
        </row>
        <row r="6584">
          <cell r="A6584" t="str">
            <v>H1HD3E</v>
          </cell>
          <cell r="B6584" t="str">
            <v>FC 9x5 3年 2530-24 2SFP Switch用</v>
          </cell>
          <cell r="C6584" t="str">
            <v>【ファウンデーションケア】</v>
          </cell>
        </row>
        <row r="6585">
          <cell r="A6585" t="str">
            <v>H1HD8E</v>
          </cell>
          <cell r="B6585" t="str">
            <v>FC 24x7 3年 2530-24 2SFP Switch用</v>
          </cell>
          <cell r="C6585" t="str">
            <v>【ファウンデーションケア】</v>
          </cell>
        </row>
        <row r="6586">
          <cell r="A6586" t="str">
            <v>H1HF6E</v>
          </cell>
          <cell r="B6586" t="str">
            <v>FC 9x5 4年 2530-24 2SFP Switch用</v>
          </cell>
          <cell r="C6586" t="str">
            <v>【ファウンデーションケア】</v>
          </cell>
        </row>
        <row r="6587">
          <cell r="A6587" t="str">
            <v>H1HG1E</v>
          </cell>
          <cell r="B6587" t="str">
            <v>FC 24x7 4年 2530-24 2SFP Switch用</v>
          </cell>
          <cell r="C6587" t="str">
            <v>【ファウンデーションケア】</v>
          </cell>
        </row>
        <row r="6588">
          <cell r="A6588" t="str">
            <v>H1HH9E</v>
          </cell>
          <cell r="B6588" t="str">
            <v>FC 9x5 5年 2530-24 2SFP Switch用</v>
          </cell>
          <cell r="C6588" t="str">
            <v>【ファウンデーションケア】</v>
          </cell>
        </row>
        <row r="6589">
          <cell r="A6589" t="str">
            <v>H1HJ4E</v>
          </cell>
          <cell r="B6589" t="str">
            <v>FC 24x7 5年 2530-24 2SFP Switch用</v>
          </cell>
          <cell r="C6589" t="str">
            <v>【ファウンデーションケア】</v>
          </cell>
        </row>
        <row r="6590">
          <cell r="A6590" t="str">
            <v>H1HL2PE</v>
          </cell>
          <cell r="B6590" t="str">
            <v>更新用FC 9x5 1年 2530-24 2SFP Switch用</v>
          </cell>
          <cell r="C6590" t="str">
            <v>【ファウンデーションケア】</v>
          </cell>
        </row>
        <row r="6591">
          <cell r="A6591" t="str">
            <v>H1HL4PE</v>
          </cell>
          <cell r="B6591" t="str">
            <v>更新用FC 24x7 1年 2530-24 2SFP Switch用</v>
          </cell>
          <cell r="C6591" t="str">
            <v>【ファウンデーションケア】</v>
          </cell>
        </row>
        <row r="6592">
          <cell r="A6592" t="str">
            <v>H1HM4E</v>
          </cell>
          <cell r="B6592" t="str">
            <v>FC 24x7 1年 2530-24 PoE Switch用</v>
          </cell>
          <cell r="C6592" t="str">
            <v>【ファウンデーションケア】</v>
          </cell>
        </row>
        <row r="6593">
          <cell r="A6593" t="str">
            <v>H1HN4E</v>
          </cell>
          <cell r="B6593" t="str">
            <v>FC 9x5 3年 2530-24 PoE Switch用</v>
          </cell>
          <cell r="C6593" t="str">
            <v>【ファウンデーションケア】</v>
          </cell>
        </row>
        <row r="6594">
          <cell r="A6594" t="str">
            <v>H1HN9E</v>
          </cell>
          <cell r="B6594" t="str">
            <v>FC 24x7 3年 2530-24 PoE Switch用</v>
          </cell>
          <cell r="C6594" t="str">
            <v>【ファウンデーションケア】</v>
          </cell>
        </row>
        <row r="6595">
          <cell r="A6595" t="str">
            <v>H1HQ7E</v>
          </cell>
          <cell r="B6595" t="str">
            <v>FC 9x5 4年 2530-24 PoE Switch用</v>
          </cell>
          <cell r="C6595" t="str">
            <v>【ファウンデーションケア】</v>
          </cell>
        </row>
        <row r="6596">
          <cell r="A6596" t="str">
            <v>H1HR2E</v>
          </cell>
          <cell r="B6596" t="str">
            <v>FC 24x7 4年 2530-24 PoE Switch用</v>
          </cell>
          <cell r="C6596" t="str">
            <v>【ファウンデーションケア】</v>
          </cell>
        </row>
        <row r="6597">
          <cell r="A6597" t="str">
            <v>H1HT0E</v>
          </cell>
          <cell r="B6597" t="str">
            <v>FC 9x5 5年 2530-24 PoE Switch用</v>
          </cell>
          <cell r="C6597" t="str">
            <v>【ファウンデーションケア】</v>
          </cell>
        </row>
        <row r="6598">
          <cell r="A6598" t="str">
            <v>H1HT5E</v>
          </cell>
          <cell r="B6598" t="str">
            <v>FC 24x7 5年 2530-24 PoE Switch用</v>
          </cell>
          <cell r="C6598" t="str">
            <v>【ファウンデーションケア】</v>
          </cell>
        </row>
        <row r="6599">
          <cell r="A6599" t="str">
            <v>H1HV3PE</v>
          </cell>
          <cell r="B6599" t="str">
            <v>更新用FC 9x5 1年 2530-24 PoE Switch用</v>
          </cell>
          <cell r="C6599" t="str">
            <v>【ファウンデーションケア】</v>
          </cell>
        </row>
        <row r="6600">
          <cell r="A6600" t="str">
            <v>H1HV5PE</v>
          </cell>
          <cell r="B6600" t="str">
            <v>更新用FC 24x7 1年 2530-24 PoE Switch用</v>
          </cell>
          <cell r="C6600" t="str">
            <v>【ファウンデーションケア】</v>
          </cell>
        </row>
        <row r="6601">
          <cell r="A6601" t="str">
            <v>H1HW5E</v>
          </cell>
          <cell r="B6601" t="str">
            <v>FC 24x7 1年 2530-24 PoE 2SFP Switch</v>
          </cell>
          <cell r="C6601" t="str">
            <v>【ファウンデーションケア】</v>
          </cell>
        </row>
        <row r="6602">
          <cell r="A6602" t="str">
            <v>H1HX5E</v>
          </cell>
          <cell r="B6602" t="str">
            <v>FC 9x5 3年 2530-24 PoE 2SFP Switch</v>
          </cell>
          <cell r="C6602" t="str">
            <v>【ファウンデーションケア】</v>
          </cell>
        </row>
        <row r="6603">
          <cell r="A6603" t="str">
            <v>H1HY0E</v>
          </cell>
          <cell r="B6603" t="str">
            <v>FC 24x7 3年 2530-24 PoE 2SFP Switch</v>
          </cell>
          <cell r="C6603" t="str">
            <v>【ファウンデーションケア】</v>
          </cell>
        </row>
        <row r="6604">
          <cell r="A6604" t="str">
            <v>H1HZ8E</v>
          </cell>
          <cell r="B6604" t="str">
            <v>FC 9x5 4年 2530-24 PoE 2SFP Switch</v>
          </cell>
          <cell r="C6604" t="str">
            <v>【ファウンデーションケア】</v>
          </cell>
        </row>
        <row r="6605">
          <cell r="A6605" t="str">
            <v>H1JA3E</v>
          </cell>
          <cell r="B6605" t="str">
            <v>FC 24x7 4年 2530-24 PoE 2SFP Switch</v>
          </cell>
          <cell r="C6605" t="str">
            <v>【ファウンデーションケア】</v>
          </cell>
        </row>
        <row r="6606">
          <cell r="A6606" t="str">
            <v>H1JC1E</v>
          </cell>
          <cell r="B6606" t="str">
            <v>FC 9x5 5年 2530-24 PoE 2SFP Switch</v>
          </cell>
          <cell r="C6606" t="str">
            <v>【ファウンデーションケア】</v>
          </cell>
        </row>
        <row r="6607">
          <cell r="A6607" t="str">
            <v>H1JC6E</v>
          </cell>
          <cell r="B6607" t="str">
            <v>FC 24x7 5年 2530-24 PoE 2SFP Switch</v>
          </cell>
          <cell r="C6607" t="str">
            <v>【ファウンデーションケア】</v>
          </cell>
        </row>
        <row r="6608">
          <cell r="A6608" t="str">
            <v>H1JE4PE</v>
          </cell>
          <cell r="B6608" t="str">
            <v>更新用FC 9x5 1年 2530-24 PoE 2SFP Switch</v>
          </cell>
          <cell r="C6608" t="str">
            <v>【ファウンデーションケア】</v>
          </cell>
        </row>
        <row r="6609">
          <cell r="A6609" t="str">
            <v>H1JE6PE</v>
          </cell>
          <cell r="B6609" t="str">
            <v>更新用FC 24x7 1年2530-24 PoE 2SFP Switch</v>
          </cell>
          <cell r="C6609" t="str">
            <v>【ファウンデーションケア】</v>
          </cell>
        </row>
        <row r="6610">
          <cell r="A6610" t="str">
            <v>H1JF6E</v>
          </cell>
          <cell r="B6610" t="str">
            <v>FC 24x7 1年 2530-48 Switch用</v>
          </cell>
          <cell r="C6610" t="str">
            <v>【ファウンデーションケア】</v>
          </cell>
        </row>
        <row r="6611">
          <cell r="A6611" t="str">
            <v>H1JG6E</v>
          </cell>
          <cell r="B6611" t="str">
            <v>FC 9x5 3年 2530-48 Switch用</v>
          </cell>
          <cell r="C6611" t="str">
            <v>【ファウンデーションケア】</v>
          </cell>
        </row>
        <row r="6612">
          <cell r="A6612" t="str">
            <v>H1JH1E</v>
          </cell>
          <cell r="B6612" t="str">
            <v>FC 24x7 3年 2530-48 Switch用</v>
          </cell>
          <cell r="C6612" t="str">
            <v>【ファウンデーションケア】</v>
          </cell>
        </row>
        <row r="6613">
          <cell r="A6613" t="str">
            <v>H1JJ9E</v>
          </cell>
          <cell r="B6613" t="str">
            <v>FC 9x5 4年 2530-48 Switch用</v>
          </cell>
          <cell r="C6613" t="str">
            <v>【ファウンデーションケア】</v>
          </cell>
        </row>
        <row r="6614">
          <cell r="A6614" t="str">
            <v>H1JK4E</v>
          </cell>
          <cell r="B6614" t="str">
            <v>FC 24x7 4年 2530-48 Switch用</v>
          </cell>
          <cell r="C6614" t="str">
            <v>【ファウンデーションケア】</v>
          </cell>
        </row>
        <row r="6615">
          <cell r="A6615" t="str">
            <v>H1JM2E</v>
          </cell>
          <cell r="B6615" t="str">
            <v>FC 9x5 5年 2530-48 Switch用</v>
          </cell>
          <cell r="C6615" t="str">
            <v>【ファウンデーションケア】</v>
          </cell>
        </row>
        <row r="6616">
          <cell r="A6616" t="str">
            <v>H1JM7E</v>
          </cell>
          <cell r="B6616" t="str">
            <v>FC 24x7 5年 2530-48 Switch用</v>
          </cell>
          <cell r="C6616" t="str">
            <v>【ファウンデーションケア】</v>
          </cell>
        </row>
        <row r="6617">
          <cell r="A6617" t="str">
            <v>H1JP5PE</v>
          </cell>
          <cell r="B6617" t="str">
            <v>更新用FC 9x5 1年 2530-48 Switch用</v>
          </cell>
          <cell r="C6617" t="str">
            <v>【ファウンデーションケア】</v>
          </cell>
        </row>
        <row r="6618">
          <cell r="A6618" t="str">
            <v>H1JP7PE</v>
          </cell>
          <cell r="B6618" t="str">
            <v>更新用FC 24x7 1年 2530-48 Switch用</v>
          </cell>
          <cell r="C6618" t="str">
            <v>【ファウンデーションケア】</v>
          </cell>
        </row>
        <row r="6619">
          <cell r="A6619" t="str">
            <v>H1JQ7E</v>
          </cell>
          <cell r="B6619" t="str">
            <v>FC 24x7 1年 2530-48 2SFP Switch用</v>
          </cell>
          <cell r="C6619" t="str">
            <v>【ファウンデーションケア】</v>
          </cell>
        </row>
        <row r="6620">
          <cell r="A6620" t="str">
            <v>H1JR7E</v>
          </cell>
          <cell r="B6620" t="str">
            <v>FC 9x5 3年 2530-48 2SFP Switch用</v>
          </cell>
          <cell r="C6620" t="str">
            <v>【ファウンデーションケア】</v>
          </cell>
        </row>
        <row r="6621">
          <cell r="A6621" t="str">
            <v>H1JS2E</v>
          </cell>
          <cell r="B6621" t="str">
            <v>FC 24x7 3年 2530-48 2SFP Switch用</v>
          </cell>
          <cell r="C6621" t="str">
            <v>【ファウンデーションケア】</v>
          </cell>
        </row>
        <row r="6622">
          <cell r="A6622" t="str">
            <v>H1JU0E</v>
          </cell>
          <cell r="B6622" t="str">
            <v>FC 9x5 4年 2530-48 2SFP Switch用</v>
          </cell>
          <cell r="C6622" t="str">
            <v>【ファウンデーションケア】</v>
          </cell>
        </row>
        <row r="6623">
          <cell r="A6623" t="str">
            <v>H1JU5E</v>
          </cell>
          <cell r="B6623" t="str">
            <v>FC 24x7 4年 2530-48 2SFP Switch用</v>
          </cell>
          <cell r="C6623" t="str">
            <v>【ファウンデーションケア】</v>
          </cell>
        </row>
        <row r="6624">
          <cell r="A6624" t="str">
            <v>H1JW3E</v>
          </cell>
          <cell r="B6624" t="str">
            <v>FC 9x5 5年 2530-48 2SFP Switch用</v>
          </cell>
          <cell r="C6624" t="str">
            <v>【ファウンデーションケア】</v>
          </cell>
        </row>
        <row r="6625">
          <cell r="A6625" t="str">
            <v>H1JW8E</v>
          </cell>
          <cell r="B6625" t="str">
            <v>FC 24x7 5年 2530-48 2SFP Switch用</v>
          </cell>
          <cell r="C6625" t="str">
            <v>【ファウンデーションケア】</v>
          </cell>
        </row>
        <row r="6626">
          <cell r="A6626" t="str">
            <v>H1JY6PE</v>
          </cell>
          <cell r="B6626" t="str">
            <v>更新用FC 9x5 1年 2530-48 2SFP Switch用</v>
          </cell>
          <cell r="C6626" t="str">
            <v>【ファウンデーションケア】</v>
          </cell>
        </row>
        <row r="6627">
          <cell r="A6627" t="str">
            <v>H1JY8PE</v>
          </cell>
          <cell r="B6627" t="str">
            <v>更新用FC 24x7 1年 2530-48 2SFP Switch用</v>
          </cell>
          <cell r="C6627" t="str">
            <v>【ファウンデーションケア】</v>
          </cell>
        </row>
        <row r="6628">
          <cell r="A6628" t="str">
            <v>H1JZ8E</v>
          </cell>
          <cell r="B6628" t="str">
            <v>FC 24x7 1年 2530-48 PoE Switch用</v>
          </cell>
          <cell r="C6628" t="str">
            <v>【ファウンデーションケア】</v>
          </cell>
        </row>
        <row r="6629">
          <cell r="A6629" t="str">
            <v>H1KA8E</v>
          </cell>
          <cell r="B6629" t="str">
            <v>FC 9x5 3年 2530-48 PoE Switch用</v>
          </cell>
          <cell r="C6629" t="str">
            <v>【ファウンデーションケア】</v>
          </cell>
        </row>
        <row r="6630">
          <cell r="A6630" t="str">
            <v>H1KB3E</v>
          </cell>
          <cell r="B6630" t="str">
            <v>FC 24x7 3年 2530-48 PoE Switch用</v>
          </cell>
          <cell r="C6630" t="str">
            <v>【ファウンデーションケア】</v>
          </cell>
        </row>
        <row r="6631">
          <cell r="A6631" t="str">
            <v>H1KD1E</v>
          </cell>
          <cell r="B6631" t="str">
            <v>FC 9x5 4年 2530-48 PoE Switch用</v>
          </cell>
          <cell r="C6631" t="str">
            <v>【ファウンデーションケア】</v>
          </cell>
        </row>
        <row r="6632">
          <cell r="A6632" t="str">
            <v>H1KD6E</v>
          </cell>
          <cell r="B6632" t="str">
            <v>FC 24x7 4年 2530-48 PoE Switch用</v>
          </cell>
          <cell r="C6632" t="str">
            <v>【ファウンデーションケア】</v>
          </cell>
        </row>
        <row r="6633">
          <cell r="A6633" t="str">
            <v>H1KF4E</v>
          </cell>
          <cell r="B6633" t="str">
            <v>FC 9x5 5年 2530-48 PoE Switch用</v>
          </cell>
          <cell r="C6633" t="str">
            <v>【ファウンデーションケア】</v>
          </cell>
        </row>
        <row r="6634">
          <cell r="A6634" t="str">
            <v>H1KF9E</v>
          </cell>
          <cell r="B6634" t="str">
            <v>FC 24x7 5年 2530-48 PoE Switch用</v>
          </cell>
          <cell r="C6634" t="str">
            <v>【ファウンデーションケア】</v>
          </cell>
        </row>
        <row r="6635">
          <cell r="A6635" t="str">
            <v>H1KH7PE</v>
          </cell>
          <cell r="B6635" t="str">
            <v>更新用FC 9x5 1年 2530-48 PoE Switch用</v>
          </cell>
          <cell r="C6635" t="str">
            <v>【ファウンデーションケア】</v>
          </cell>
        </row>
        <row r="6636">
          <cell r="A6636" t="str">
            <v>H1KH9PE</v>
          </cell>
          <cell r="B6636" t="str">
            <v>更新用FC 24x7 1年 2530-48 PoE Switch用</v>
          </cell>
          <cell r="C6636" t="str">
            <v>【ファウンデーションケア】</v>
          </cell>
        </row>
        <row r="6637">
          <cell r="A6637" t="str">
            <v>H1KJ9E</v>
          </cell>
          <cell r="B6637" t="str">
            <v>FC 24x7 1年 2530-48 PoE 2SFP Switch</v>
          </cell>
          <cell r="C6637" t="str">
            <v>【ファウンデーションケア】</v>
          </cell>
        </row>
        <row r="6638">
          <cell r="A6638" t="str">
            <v>H1KK9E</v>
          </cell>
          <cell r="B6638" t="str">
            <v>FC 9x5 3年 2530-48 PoE 2SFP Switch</v>
          </cell>
          <cell r="C6638" t="str">
            <v>【ファウンデーションケア】</v>
          </cell>
        </row>
        <row r="6639">
          <cell r="A6639" t="str">
            <v>H1KL4E</v>
          </cell>
          <cell r="B6639" t="str">
            <v>FC 24x7 3年 2530-48 PoE 2SFP Switch</v>
          </cell>
          <cell r="C6639" t="str">
            <v>【ファウンデーションケア】</v>
          </cell>
        </row>
        <row r="6640">
          <cell r="A6640" t="str">
            <v>H1KN2E</v>
          </cell>
          <cell r="B6640" t="str">
            <v>FC 9x5 4年 2530-48 PoE 2SFP Switch</v>
          </cell>
          <cell r="C6640" t="str">
            <v>【ファウンデーションケア】</v>
          </cell>
        </row>
        <row r="6641">
          <cell r="A6641" t="str">
            <v>H1KN7E</v>
          </cell>
          <cell r="B6641" t="str">
            <v>FC 24x7 4年 2530-48 PoE 2SFP Switch</v>
          </cell>
          <cell r="C6641" t="str">
            <v>【ファウンデーションケア】</v>
          </cell>
        </row>
        <row r="6642">
          <cell r="A6642" t="str">
            <v>H1KQ5E</v>
          </cell>
          <cell r="B6642" t="str">
            <v>FC 9x5 5年 2530-48 PoE 2SFP Switch</v>
          </cell>
          <cell r="C6642" t="str">
            <v>【ファウンデーションケア】</v>
          </cell>
        </row>
        <row r="6643">
          <cell r="A6643" t="str">
            <v>H1KR0E</v>
          </cell>
          <cell r="B6643" t="str">
            <v>FC 24x7 5年 2530-48 PoE 2SFP Switch</v>
          </cell>
          <cell r="C6643" t="str">
            <v>【ファウンデーションケア】</v>
          </cell>
        </row>
        <row r="6644">
          <cell r="A6644" t="str">
            <v>H1KS8PE</v>
          </cell>
          <cell r="B6644" t="str">
            <v>更新用FC 9x5 1年 2530-48 PoE 2SFP Switch</v>
          </cell>
          <cell r="C6644" t="str">
            <v>【ファウンデーションケア】</v>
          </cell>
        </row>
        <row r="6645">
          <cell r="A6645" t="str">
            <v>H1KT0PE</v>
          </cell>
          <cell r="B6645" t="str">
            <v>更新用FC 24x7 1年2530-48 PoE 2SFP Switch</v>
          </cell>
          <cell r="C6645" t="str">
            <v>【ファウンデーションケア】</v>
          </cell>
        </row>
        <row r="6646">
          <cell r="A6646" t="str">
            <v>H1KU0E</v>
          </cell>
          <cell r="B6646" t="str">
            <v>FC 24x7 1年 2920-24 Switch用</v>
          </cell>
          <cell r="C6646" t="str">
            <v>【ファウンデーションケア】</v>
          </cell>
        </row>
        <row r="6647">
          <cell r="A6647" t="str">
            <v>H1KV0E</v>
          </cell>
          <cell r="B6647" t="str">
            <v>FC 9x5 3年 2920-24 Switch用</v>
          </cell>
          <cell r="C6647" t="str">
            <v>【ファウンデーションケア】</v>
          </cell>
        </row>
        <row r="6648">
          <cell r="A6648" t="str">
            <v>H1KV5E</v>
          </cell>
          <cell r="B6648" t="str">
            <v>FC 24x7 3年 2920-24 Switch用</v>
          </cell>
          <cell r="C6648" t="str">
            <v>【ファウンデーションケア】</v>
          </cell>
        </row>
        <row r="6649">
          <cell r="A6649" t="str">
            <v>H1KX3E</v>
          </cell>
          <cell r="B6649" t="str">
            <v>FC 9x5 4年 2920-24 Switch用</v>
          </cell>
          <cell r="C6649" t="str">
            <v>【ファウンデーションケア】</v>
          </cell>
        </row>
        <row r="6650">
          <cell r="A6650" t="str">
            <v>H1KX8E</v>
          </cell>
          <cell r="B6650" t="str">
            <v>FC 24x7 4年 2920-24 Switch用</v>
          </cell>
          <cell r="C6650" t="str">
            <v>【ファウンデーションケア】</v>
          </cell>
        </row>
        <row r="6651">
          <cell r="A6651" t="str">
            <v>H1KZ6E</v>
          </cell>
          <cell r="B6651" t="str">
            <v>FC 9x5 5年 2920-24 Switch用</v>
          </cell>
          <cell r="C6651" t="str">
            <v>【ファウンデーションケア】</v>
          </cell>
        </row>
        <row r="6652">
          <cell r="A6652" t="str">
            <v>H1LA1E</v>
          </cell>
          <cell r="B6652" t="str">
            <v>FC 24x7 5年 2920-24 Switch用</v>
          </cell>
          <cell r="C6652" t="str">
            <v>【ファウンデーションケア】</v>
          </cell>
        </row>
        <row r="6653">
          <cell r="A6653" t="str">
            <v>H1LB9PE</v>
          </cell>
          <cell r="B6653" t="str">
            <v>更新用FC 9x5 1年 2920-24 Switch用</v>
          </cell>
          <cell r="C6653" t="str">
            <v>【ファウンデーションケア】</v>
          </cell>
        </row>
        <row r="6654">
          <cell r="A6654" t="str">
            <v>H1LC1PE</v>
          </cell>
          <cell r="B6654" t="str">
            <v>更新用FC 24x7 1年 2920-24 Switch用</v>
          </cell>
          <cell r="C6654" t="str">
            <v>【ファウンデーションケア】</v>
          </cell>
        </row>
        <row r="6655">
          <cell r="A6655" t="str">
            <v>H1LD1E</v>
          </cell>
          <cell r="B6655" t="str">
            <v>FC 24x7 1年 2920-24 PoE Switch用</v>
          </cell>
          <cell r="C6655" t="str">
            <v>【ファウンデーションケア】</v>
          </cell>
        </row>
        <row r="6656">
          <cell r="A6656" t="str">
            <v>H1LE1E</v>
          </cell>
          <cell r="B6656" t="str">
            <v>FC 9x5 3年 2920-24 PoE Switch用</v>
          </cell>
          <cell r="C6656" t="str">
            <v>【ファウンデーションケア】</v>
          </cell>
        </row>
        <row r="6657">
          <cell r="A6657" t="str">
            <v>H1LE6E</v>
          </cell>
          <cell r="B6657" t="str">
            <v>FC 24x7 3年 2920-24 PoE Switch用</v>
          </cell>
          <cell r="C6657" t="str">
            <v>【ファウンデーションケア】</v>
          </cell>
        </row>
        <row r="6658">
          <cell r="A6658" t="str">
            <v>H1LG4E</v>
          </cell>
          <cell r="B6658" t="str">
            <v>FC 9x5 4年 2920-24 PoE Switch用</v>
          </cell>
          <cell r="C6658" t="str">
            <v>【ファウンデーションケア】</v>
          </cell>
        </row>
        <row r="6659">
          <cell r="A6659" t="str">
            <v>H1LG9E</v>
          </cell>
          <cell r="B6659" t="str">
            <v>FC 24x7 4年 2920-24 PoE Switch用</v>
          </cell>
          <cell r="C6659" t="str">
            <v>【ファウンデーションケア】</v>
          </cell>
        </row>
        <row r="6660">
          <cell r="A6660" t="str">
            <v>H1LJ7E</v>
          </cell>
          <cell r="B6660" t="str">
            <v>FC 9x5 5年 2920-24 PoE Switch用</v>
          </cell>
          <cell r="C6660" t="str">
            <v>【ファウンデーションケア】</v>
          </cell>
        </row>
        <row r="6661">
          <cell r="A6661" t="str">
            <v>H1LK2E</v>
          </cell>
          <cell r="B6661" t="str">
            <v>FC 24x7 5年 2920-24 PoE Switch用</v>
          </cell>
          <cell r="C6661" t="str">
            <v>【ファウンデーションケア】</v>
          </cell>
        </row>
        <row r="6662">
          <cell r="A6662" t="str">
            <v>H1LM0PE</v>
          </cell>
          <cell r="B6662" t="str">
            <v>更新用FC 9x5 1年 2920-24 PoE Switch用</v>
          </cell>
          <cell r="C6662" t="str">
            <v>【ファウンデーションケア】</v>
          </cell>
        </row>
        <row r="6663">
          <cell r="A6663" t="str">
            <v>H1LM2PE</v>
          </cell>
          <cell r="B6663" t="str">
            <v>更新用FC 24x7 1年 2920-24 PoE Switch用</v>
          </cell>
          <cell r="C6663" t="str">
            <v>【ファウンデーションケア】</v>
          </cell>
        </row>
        <row r="6664">
          <cell r="A6664" t="str">
            <v>H1LN2E</v>
          </cell>
          <cell r="B6664" t="str">
            <v>FC 24x7 1年 2920-48 Switch用</v>
          </cell>
          <cell r="C6664" t="str">
            <v>【ファウンデーションケア】</v>
          </cell>
        </row>
        <row r="6665">
          <cell r="A6665" t="str">
            <v>H1LP2E</v>
          </cell>
          <cell r="B6665" t="str">
            <v>FC 9x5 3年 2920-48 Switch用</v>
          </cell>
          <cell r="C6665" t="str">
            <v>【ファウンデーションケア】</v>
          </cell>
        </row>
        <row r="6666">
          <cell r="A6666" t="str">
            <v>H1LP7E</v>
          </cell>
          <cell r="B6666" t="str">
            <v>FC 24x7 3年 2920-48 Switch用</v>
          </cell>
          <cell r="C6666" t="str">
            <v>【ファウンデーションケア】</v>
          </cell>
        </row>
        <row r="6667">
          <cell r="A6667" t="str">
            <v>H1LR5E</v>
          </cell>
          <cell r="B6667" t="str">
            <v>FC 9x5 4年 2920-48 Switch用</v>
          </cell>
          <cell r="C6667" t="str">
            <v>【ファウンデーションケア】</v>
          </cell>
        </row>
        <row r="6668">
          <cell r="A6668" t="str">
            <v>H1LS0E</v>
          </cell>
          <cell r="B6668" t="str">
            <v>FC 24x7 4年 2920-48 Switch用</v>
          </cell>
          <cell r="C6668" t="str">
            <v>【ファウンデーションケア】</v>
          </cell>
        </row>
        <row r="6669">
          <cell r="A6669" t="str">
            <v>H1LT8E</v>
          </cell>
          <cell r="B6669" t="str">
            <v>FC 9x5 5年 2920-48 Switch用</v>
          </cell>
          <cell r="C6669" t="str">
            <v>【ファウンデーションケア】</v>
          </cell>
        </row>
        <row r="6670">
          <cell r="A6670" t="str">
            <v>H1LU3E</v>
          </cell>
          <cell r="B6670" t="str">
            <v>FC 24x7 5年 2920-48 Switch用</v>
          </cell>
          <cell r="C6670" t="str">
            <v>【ファウンデーションケア】</v>
          </cell>
        </row>
        <row r="6671">
          <cell r="A6671" t="str">
            <v>H1LW1PE</v>
          </cell>
          <cell r="B6671" t="str">
            <v>更新用FC 9x5 1年 2920-48 Switch用</v>
          </cell>
          <cell r="C6671" t="str">
            <v>【ファウンデーションケア】</v>
          </cell>
        </row>
        <row r="6672">
          <cell r="A6672" t="str">
            <v>H1LW3PE</v>
          </cell>
          <cell r="B6672" t="str">
            <v>更新用FC 24x7 1年 2920-48 Switch用</v>
          </cell>
          <cell r="C6672" t="str">
            <v>【ファウンデーションケア】</v>
          </cell>
        </row>
        <row r="6673">
          <cell r="A6673" t="str">
            <v>H1LX3E</v>
          </cell>
          <cell r="B6673" t="str">
            <v>FC 24x7 1年 2920-48 PoE Switch用</v>
          </cell>
          <cell r="C6673" t="str">
            <v>【ファウンデーションケア】</v>
          </cell>
        </row>
        <row r="6674">
          <cell r="A6674" t="str">
            <v>H1LY3E</v>
          </cell>
          <cell r="B6674" t="str">
            <v>FC 9x5 3年 2920-48 PoE Switch用</v>
          </cell>
          <cell r="C6674" t="str">
            <v>【ファウンデーションケア】</v>
          </cell>
        </row>
        <row r="6675">
          <cell r="A6675" t="str">
            <v>H1LY8E</v>
          </cell>
          <cell r="B6675" t="str">
            <v>FC 24x7 3年 2920-48 PoE Switch用</v>
          </cell>
          <cell r="C6675" t="str">
            <v>【ファウンデーションケア】</v>
          </cell>
        </row>
        <row r="6676">
          <cell r="A6676" t="str">
            <v>H1MA6E</v>
          </cell>
          <cell r="B6676" t="str">
            <v>FC 9x5 4年 2920-48 PoE Switch用</v>
          </cell>
          <cell r="C6676" t="str">
            <v>【ファウンデーションケア】</v>
          </cell>
        </row>
        <row r="6677">
          <cell r="A6677" t="str">
            <v>H1MB1E</v>
          </cell>
          <cell r="B6677" t="str">
            <v>FC 24x7 4年 2920-48 PoE Switch用</v>
          </cell>
          <cell r="C6677" t="str">
            <v>【ファウンデーションケア】</v>
          </cell>
        </row>
        <row r="6678">
          <cell r="A6678" t="str">
            <v>H1MC9E</v>
          </cell>
          <cell r="B6678" t="str">
            <v>FC 9x5 5年 2920-48 PoE Switch用</v>
          </cell>
          <cell r="C6678" t="str">
            <v>【ファウンデーションケア】</v>
          </cell>
        </row>
        <row r="6679">
          <cell r="A6679" t="str">
            <v>H1MD4E</v>
          </cell>
          <cell r="B6679" t="str">
            <v>FC 24x7 5年 2920-48 PoE Switch用</v>
          </cell>
          <cell r="C6679" t="str">
            <v>【ファウンデーションケア】</v>
          </cell>
        </row>
        <row r="6680">
          <cell r="A6680" t="str">
            <v>H1MF2PE</v>
          </cell>
          <cell r="B6680" t="str">
            <v>更新用FC 9x5 1年 2920-48 PoE Switch用</v>
          </cell>
          <cell r="C6680" t="str">
            <v>【ファウンデーションケア】</v>
          </cell>
        </row>
        <row r="6681">
          <cell r="A6681" t="str">
            <v>H1MF4PE</v>
          </cell>
          <cell r="B6681" t="str">
            <v>更新用FC 24x7 1年 2920-48 PoE Switch用</v>
          </cell>
          <cell r="C6681" t="str">
            <v>【ファウンデーションケア】</v>
          </cell>
        </row>
        <row r="6682">
          <cell r="A6682" t="str">
            <v>H1MR5E</v>
          </cell>
          <cell r="B6682" t="str">
            <v>FC 24x7 1年 Aruba 5406R Switch用</v>
          </cell>
          <cell r="C6682" t="str">
            <v>【ファウンデーションケア】</v>
          </cell>
        </row>
        <row r="6683">
          <cell r="A6683" t="str">
            <v>H1MS5E</v>
          </cell>
          <cell r="B6683" t="str">
            <v>FC 9x5 3年 Aruba 5406R Switch用</v>
          </cell>
          <cell r="C6683" t="str">
            <v>【ファウンデーションケア】</v>
          </cell>
        </row>
        <row r="6684">
          <cell r="A6684" t="str">
            <v>H1MT0E</v>
          </cell>
          <cell r="B6684" t="str">
            <v>FC 24x7 3年 Aruba 5406R Switch用</v>
          </cell>
          <cell r="C6684" t="str">
            <v>【ファウンデーションケア】</v>
          </cell>
        </row>
        <row r="6685">
          <cell r="A6685" t="str">
            <v>H1MU8E</v>
          </cell>
          <cell r="B6685" t="str">
            <v>FC 9x5 4年 Aruba 5406R Switch用</v>
          </cell>
          <cell r="C6685" t="str">
            <v>【ファウンデーションケア】</v>
          </cell>
        </row>
        <row r="6686">
          <cell r="A6686" t="str">
            <v>H1MV3E</v>
          </cell>
          <cell r="B6686" t="str">
            <v>FC 24x7 4年 Aruba 5406R Switch用</v>
          </cell>
          <cell r="C6686" t="str">
            <v>【ファウンデーションケア】</v>
          </cell>
        </row>
        <row r="6687">
          <cell r="A6687" t="str">
            <v>H1MX1E</v>
          </cell>
          <cell r="B6687" t="str">
            <v>FC 9x5 5年 Aruba 5406R Switch用</v>
          </cell>
          <cell r="C6687" t="str">
            <v>【ファウンデーションケア】</v>
          </cell>
        </row>
        <row r="6688">
          <cell r="A6688" t="str">
            <v>H1MX6E</v>
          </cell>
          <cell r="B6688" t="str">
            <v>FC 24x7 5年 Aruba 5406R Switch用</v>
          </cell>
          <cell r="C6688" t="str">
            <v>【ファウンデーションケア】</v>
          </cell>
        </row>
        <row r="6689">
          <cell r="A6689" t="str">
            <v>H1MZ4PE</v>
          </cell>
          <cell r="B6689" t="str">
            <v>更新用FC 9x5 1年 Aruba 5406R Switch用</v>
          </cell>
          <cell r="C6689" t="str">
            <v>【ファウンデーションケア】</v>
          </cell>
        </row>
        <row r="6690">
          <cell r="A6690" t="str">
            <v>H1MZ6PE</v>
          </cell>
          <cell r="B6690" t="str">
            <v>更新用FC 24x7 1年 Aruba 5406R Switch用</v>
          </cell>
          <cell r="C6690" t="str">
            <v>【ファウンデーションケア】</v>
          </cell>
        </row>
        <row r="6691">
          <cell r="A6691" t="str">
            <v>H1NA6E</v>
          </cell>
          <cell r="B6691" t="str">
            <v>FC 24x7 1年 Aruba 5412R Switch用</v>
          </cell>
          <cell r="C6691" t="str">
            <v>【ファウンデーションケア】</v>
          </cell>
        </row>
        <row r="6692">
          <cell r="A6692" t="str">
            <v>H1NB6E</v>
          </cell>
          <cell r="B6692" t="str">
            <v>FC 9x5 3年 Aruba 5412R Switch用</v>
          </cell>
          <cell r="C6692" t="str">
            <v>【ファウンデーションケア】</v>
          </cell>
        </row>
        <row r="6693">
          <cell r="A6693" t="str">
            <v>H1NC1E</v>
          </cell>
          <cell r="B6693" t="str">
            <v>FC 24x7 3年 Aruba 5412R Switch用</v>
          </cell>
          <cell r="C6693" t="str">
            <v>【ファウンデーションケア】</v>
          </cell>
        </row>
        <row r="6694">
          <cell r="A6694" t="str">
            <v>H1ND9E</v>
          </cell>
          <cell r="B6694" t="str">
            <v>FC 9x5 4年 Aruba 5412R Switch用</v>
          </cell>
          <cell r="C6694" t="str">
            <v>【ファウンデーションケア】</v>
          </cell>
        </row>
        <row r="6695">
          <cell r="A6695" t="str">
            <v>H1NE4E</v>
          </cell>
          <cell r="B6695" t="str">
            <v>FC 24x7 4年 Aruba 5412R Switch用</v>
          </cell>
          <cell r="C6695" t="str">
            <v>【ファウンデーションケア】</v>
          </cell>
        </row>
        <row r="6696">
          <cell r="A6696" t="str">
            <v>H1NG2E</v>
          </cell>
          <cell r="B6696" t="str">
            <v>FC 9x5 5年 Aruba 5412R Switch用</v>
          </cell>
          <cell r="C6696" t="str">
            <v>【ファウンデーションケア】</v>
          </cell>
        </row>
        <row r="6697">
          <cell r="A6697" t="str">
            <v>H1NG7E</v>
          </cell>
          <cell r="B6697" t="str">
            <v>FC 24x7 5年 Aruba 5412R Switch用</v>
          </cell>
          <cell r="C6697" t="str">
            <v>【ファウンデーションケア】</v>
          </cell>
        </row>
        <row r="6698">
          <cell r="A6698" t="str">
            <v>H1NJ5PE</v>
          </cell>
          <cell r="B6698" t="str">
            <v>更新用FC 9x5 1年 Aruba 5412R Switch用</v>
          </cell>
          <cell r="C6698" t="str">
            <v>【ファウンデーションケア】</v>
          </cell>
        </row>
        <row r="6699">
          <cell r="A6699" t="str">
            <v>H1NJ7PE</v>
          </cell>
          <cell r="B6699" t="str">
            <v>更新用FC 24x7 1年 Aruba 5412R Switch用</v>
          </cell>
          <cell r="C6699" t="str">
            <v>【ファウンデーションケア】</v>
          </cell>
        </row>
        <row r="6700">
          <cell r="A6700" t="str">
            <v>H1TP2E</v>
          </cell>
          <cell r="B6700" t="str">
            <v>FC 24x7 1年 2930M 24G Switch用</v>
          </cell>
          <cell r="C6700" t="str">
            <v>【ファウンデーションケア】</v>
          </cell>
        </row>
        <row r="6701">
          <cell r="A6701" t="str">
            <v>H1TQ2E</v>
          </cell>
          <cell r="B6701" t="str">
            <v>FC 9x5 3年 2930M 24G Switch用</v>
          </cell>
          <cell r="C6701" t="str">
            <v>【ファウンデーションケア】</v>
          </cell>
        </row>
        <row r="6702">
          <cell r="A6702" t="str">
            <v>H1TQ7E</v>
          </cell>
          <cell r="B6702" t="str">
            <v>FC 24x7 3年 2930M 24G Switch用</v>
          </cell>
          <cell r="C6702" t="str">
            <v>【ファウンデーションケア】</v>
          </cell>
        </row>
        <row r="6703">
          <cell r="A6703" t="str">
            <v>H1TS5E</v>
          </cell>
          <cell r="B6703" t="str">
            <v>FC 9x5 4年 2930M 24G Switch用</v>
          </cell>
          <cell r="C6703" t="str">
            <v>【ファウンデーションケア】</v>
          </cell>
        </row>
        <row r="6704">
          <cell r="A6704" t="str">
            <v>H1TT0E</v>
          </cell>
          <cell r="B6704" t="str">
            <v>FC 24x7 4年 2930M 24G Switch用</v>
          </cell>
          <cell r="C6704" t="str">
            <v>【ファウンデーションケア】</v>
          </cell>
        </row>
        <row r="6705">
          <cell r="A6705" t="str">
            <v>H1TU8E</v>
          </cell>
          <cell r="B6705" t="str">
            <v>FC 9x5 5年 2930M 24G Switch用</v>
          </cell>
          <cell r="C6705" t="str">
            <v>【ファウンデーションケア】</v>
          </cell>
        </row>
        <row r="6706">
          <cell r="A6706" t="str">
            <v>H1TV3E</v>
          </cell>
          <cell r="B6706" t="str">
            <v>FC 24x7 5年 2930M 24G Switch用</v>
          </cell>
          <cell r="C6706" t="str">
            <v>【ファウンデーションケア】</v>
          </cell>
        </row>
        <row r="6707">
          <cell r="A6707" t="str">
            <v>H1TX1PE</v>
          </cell>
          <cell r="B6707" t="str">
            <v>更新用 FC 9x5 1年 2930M 24G Switch用</v>
          </cell>
          <cell r="C6707" t="str">
            <v>【ファウンデーションケア】</v>
          </cell>
        </row>
        <row r="6708">
          <cell r="A6708" t="str">
            <v>H1TX3PE</v>
          </cell>
          <cell r="B6708" t="str">
            <v>更新用 FC 24x7 1年 2930M 24G Switch用</v>
          </cell>
          <cell r="C6708" t="str">
            <v>【ファウンデーションケア】</v>
          </cell>
        </row>
        <row r="6709">
          <cell r="A6709" t="str">
            <v>H1TY3E</v>
          </cell>
          <cell r="B6709" t="str">
            <v>FC 24x7 1年 2930M 24G PoE Switch用</v>
          </cell>
          <cell r="C6709" t="str">
            <v>【ファウンデーションケア】</v>
          </cell>
        </row>
        <row r="6710">
          <cell r="A6710" t="str">
            <v>H1TZ3E</v>
          </cell>
          <cell r="B6710" t="str">
            <v>FC 9x5 3年 2930M 24G PoE Switch用</v>
          </cell>
          <cell r="C6710" t="str">
            <v>【ファウンデーションケア】</v>
          </cell>
        </row>
        <row r="6711">
          <cell r="A6711" t="str">
            <v>H1TZ8E</v>
          </cell>
          <cell r="B6711" t="str">
            <v>FC 24x7 3年 2930M 24G PoE Switch用</v>
          </cell>
          <cell r="C6711" t="str">
            <v>【ファウンデーションケア】</v>
          </cell>
        </row>
        <row r="6712">
          <cell r="A6712" t="str">
            <v>H1UB6E</v>
          </cell>
          <cell r="B6712" t="str">
            <v>FC 9x5 4年 2930M 24G PoE Switch用</v>
          </cell>
          <cell r="C6712" t="str">
            <v>【ファウンデーションケア】</v>
          </cell>
        </row>
        <row r="6713">
          <cell r="A6713" t="str">
            <v>H1UC1E</v>
          </cell>
          <cell r="B6713" t="str">
            <v>FC 24x7 4年 2930M 24G PoE Switch用</v>
          </cell>
          <cell r="C6713" t="str">
            <v>【ファウンデーションケア】</v>
          </cell>
        </row>
        <row r="6714">
          <cell r="A6714" t="str">
            <v>H1UD9E</v>
          </cell>
          <cell r="B6714" t="str">
            <v>FC 9x5 5年 2930M 24G PoE Switch用</v>
          </cell>
          <cell r="C6714" t="str">
            <v>【ファウンデーションケア】</v>
          </cell>
        </row>
        <row r="6715">
          <cell r="A6715" t="str">
            <v>H1UE4E</v>
          </cell>
          <cell r="B6715" t="str">
            <v>FC 24x7 5年 2930M 24G PoE Switch用</v>
          </cell>
          <cell r="C6715" t="str">
            <v>【ファウンデーションケア】</v>
          </cell>
        </row>
        <row r="6716">
          <cell r="A6716" t="str">
            <v>H1XJ9E</v>
          </cell>
          <cell r="B6716" t="str">
            <v>FC 24x7 1年 2930F-24G 4SFP用</v>
          </cell>
          <cell r="C6716" t="str">
            <v>【ファウンデーションケア】</v>
          </cell>
        </row>
        <row r="6717">
          <cell r="A6717" t="str">
            <v>H1XL0E</v>
          </cell>
          <cell r="B6717" t="str">
            <v>FC 9x5 3年 2930F-24G 4SFP用</v>
          </cell>
          <cell r="C6717" t="str">
            <v>【ファウンデーションケア】</v>
          </cell>
        </row>
        <row r="6718">
          <cell r="A6718" t="str">
            <v>H1XL5E</v>
          </cell>
          <cell r="B6718" t="str">
            <v>FC 24x7 3年 2930F-24G 4SFP用</v>
          </cell>
          <cell r="C6718" t="str">
            <v>【ファウンデーションケア】</v>
          </cell>
        </row>
        <row r="6719">
          <cell r="A6719" t="str">
            <v>H1XN3E</v>
          </cell>
          <cell r="B6719" t="str">
            <v>FC 9x5 4年 2930F-24G 4SFP用</v>
          </cell>
          <cell r="C6719" t="str">
            <v>【ファウンデーションケア】</v>
          </cell>
        </row>
        <row r="6720">
          <cell r="A6720" t="str">
            <v>H1XN8E</v>
          </cell>
          <cell r="B6720" t="str">
            <v>FC 24x7 4年 2930F-24G 4SFP用</v>
          </cell>
          <cell r="C6720" t="str">
            <v>【ファウンデーションケア】</v>
          </cell>
        </row>
        <row r="6721">
          <cell r="A6721" t="str">
            <v>H1XQ6E</v>
          </cell>
          <cell r="B6721" t="str">
            <v>FC 9x5 5年 2930F-24G 4SFP用</v>
          </cell>
          <cell r="C6721" t="str">
            <v>【ファウンデーションケア】</v>
          </cell>
        </row>
        <row r="6722">
          <cell r="A6722" t="str">
            <v>H1XR1E</v>
          </cell>
          <cell r="B6722" t="str">
            <v>FC 24x7 5年 2930F-24G 4SFP用</v>
          </cell>
          <cell r="C6722" t="str">
            <v>【ファウンデーションケア】</v>
          </cell>
        </row>
        <row r="6723">
          <cell r="A6723" t="str">
            <v>H1XS9PE</v>
          </cell>
          <cell r="B6723" t="str">
            <v>更新用 FC 9x5 1年 2930F-24G 4SFP用</v>
          </cell>
          <cell r="C6723" t="str">
            <v>【ファウンデーションケア】</v>
          </cell>
        </row>
        <row r="6724">
          <cell r="A6724" t="str">
            <v>H1XT1PE</v>
          </cell>
          <cell r="B6724" t="str">
            <v>更新用 FC 24x7 1年 2930F-24G 4SFP用</v>
          </cell>
          <cell r="C6724" t="str">
            <v>【ファウンデーションケア】</v>
          </cell>
        </row>
        <row r="6725">
          <cell r="A6725" t="str">
            <v>H1XU1E</v>
          </cell>
          <cell r="B6725" t="str">
            <v>FC 24x7 1年 2930F-24G 4SFP+用</v>
          </cell>
          <cell r="C6725" t="str">
            <v>【ファウンデーションケア】</v>
          </cell>
        </row>
        <row r="6726">
          <cell r="A6726" t="str">
            <v>H1XV2E</v>
          </cell>
          <cell r="B6726" t="str">
            <v>FC 9x5 3年 2930F-24G 4SFP+用</v>
          </cell>
          <cell r="C6726" t="str">
            <v>【ファウンデーションケア】</v>
          </cell>
        </row>
        <row r="6727">
          <cell r="A6727" t="str">
            <v>H1XV7E</v>
          </cell>
          <cell r="B6727" t="str">
            <v>FC 24x7 3年 2930F-24G 4SFP+用</v>
          </cell>
          <cell r="C6727" t="str">
            <v>【ファウンデーションケア】</v>
          </cell>
        </row>
        <row r="6728">
          <cell r="A6728" t="str">
            <v>H1XX5E</v>
          </cell>
          <cell r="B6728" t="str">
            <v>FC 9x5 4年 2930F-24G 4SFP+用</v>
          </cell>
          <cell r="C6728" t="str">
            <v>【ファウンデーションケア】</v>
          </cell>
        </row>
        <row r="6729">
          <cell r="A6729" t="str">
            <v>H1XY0E</v>
          </cell>
          <cell r="B6729" t="str">
            <v>FC 24x7 4年 2930F-24G 4SFP+用</v>
          </cell>
          <cell r="C6729" t="str">
            <v>【ファウンデーションケア】</v>
          </cell>
        </row>
        <row r="6730">
          <cell r="A6730" t="str">
            <v>H1XZ8E</v>
          </cell>
          <cell r="B6730" t="str">
            <v>FC 9x5 5年 2930F-24G 4SFP+用</v>
          </cell>
          <cell r="C6730" t="str">
            <v>【ファウンデーションケア】</v>
          </cell>
        </row>
        <row r="6731">
          <cell r="A6731" t="str">
            <v>H1YA3E</v>
          </cell>
          <cell r="B6731" t="str">
            <v>FC 24x7 5年 2930F-24G 4SFP+用</v>
          </cell>
          <cell r="C6731" t="str">
            <v>【ファウンデーションケア】</v>
          </cell>
        </row>
        <row r="6732">
          <cell r="A6732" t="str">
            <v>H1YC1PE</v>
          </cell>
          <cell r="B6732" t="str">
            <v>更新用 FC 9x5 1年 2930F-24G 4SFP+用</v>
          </cell>
          <cell r="C6732" t="str">
            <v>【ファウンデーションケア】</v>
          </cell>
        </row>
        <row r="6733">
          <cell r="A6733" t="str">
            <v>H1YC3PE</v>
          </cell>
          <cell r="B6733" t="str">
            <v>更新用 FC 24x7 1年 2930F-24G 4SFP+用</v>
          </cell>
          <cell r="C6733" t="str">
            <v>【ファウンデーションケア】</v>
          </cell>
        </row>
        <row r="6734">
          <cell r="A6734" t="str">
            <v>H1YD3E</v>
          </cell>
          <cell r="B6734" t="str">
            <v>FC 24x7 1年 2930F-24G PoE+ 4SFP用</v>
          </cell>
          <cell r="C6734" t="str">
            <v>【ファウンデーションケア】</v>
          </cell>
        </row>
        <row r="6735">
          <cell r="A6735" t="str">
            <v>H1YE4E</v>
          </cell>
          <cell r="B6735" t="str">
            <v>FC 9x5 3年 2930F-24G PoE+ 4SFP用</v>
          </cell>
          <cell r="C6735" t="str">
            <v>【ファウンデーションケア】</v>
          </cell>
        </row>
        <row r="6736">
          <cell r="A6736" t="str">
            <v>H1YE9E</v>
          </cell>
          <cell r="B6736" t="str">
            <v>FC 24x7 3年 2930F-24G PoE+ 4SFP用</v>
          </cell>
          <cell r="C6736" t="str">
            <v>【ファウンデーションケア】</v>
          </cell>
        </row>
        <row r="6737">
          <cell r="A6737" t="str">
            <v>H1YG7E</v>
          </cell>
          <cell r="B6737" t="str">
            <v>FC 9x5 4年 2930F-24G PoE+ 4SFP用</v>
          </cell>
          <cell r="C6737" t="str">
            <v>【ファウンデーションケア】</v>
          </cell>
        </row>
        <row r="6738">
          <cell r="A6738" t="str">
            <v>H1YH2E</v>
          </cell>
          <cell r="B6738" t="str">
            <v>FC 24x7 4年 2930F-24G PoE+ 4SFP用</v>
          </cell>
          <cell r="C6738" t="str">
            <v>【ファウンデーションケア】</v>
          </cell>
        </row>
        <row r="6739">
          <cell r="A6739" t="str">
            <v>H1YK0E</v>
          </cell>
          <cell r="B6739" t="str">
            <v>FC 9x5 5年 2930F-24G PoE+ 4SFP用</v>
          </cell>
          <cell r="C6739" t="str">
            <v>【ファウンデーションケア】</v>
          </cell>
        </row>
        <row r="6740">
          <cell r="A6740" t="str">
            <v>H1YK5E</v>
          </cell>
          <cell r="B6740" t="str">
            <v>FC 24x7 5年 2930F-24G PoE+ 4SFP用</v>
          </cell>
          <cell r="C6740" t="str">
            <v>【ファウンデーションケア】</v>
          </cell>
        </row>
        <row r="6741">
          <cell r="A6741" t="str">
            <v>H1YM3PE</v>
          </cell>
          <cell r="B6741" t="str">
            <v>更新用 FC 9x5 1年 2930F-24G PoE+ 4SFP用</v>
          </cell>
          <cell r="C6741" t="str">
            <v>【ファウンデーションケア】</v>
          </cell>
        </row>
        <row r="6742">
          <cell r="A6742" t="str">
            <v>H1YM5PE</v>
          </cell>
          <cell r="B6742" t="str">
            <v>更新用 FC 24x7 1年 2930F-24G PoE+ 4SFP用</v>
          </cell>
          <cell r="C6742" t="str">
            <v>【ファウンデーションケア】</v>
          </cell>
        </row>
        <row r="6743">
          <cell r="A6743" t="str">
            <v>H1YN5E</v>
          </cell>
          <cell r="B6743" t="str">
            <v>FC 24x7 1年 2930F-24G PoE+ 4SFP+用</v>
          </cell>
          <cell r="C6743" t="str">
            <v>【ファウンデーションケア】</v>
          </cell>
        </row>
        <row r="6744">
          <cell r="A6744" t="str">
            <v>H1YP6E</v>
          </cell>
          <cell r="B6744" t="str">
            <v>FC 9x5 3年 2930F-24G PoE+ 4SFP+用</v>
          </cell>
          <cell r="C6744" t="str">
            <v>【ファウンデーションケア】</v>
          </cell>
        </row>
        <row r="6745">
          <cell r="A6745" t="str">
            <v>H1YQ1E</v>
          </cell>
          <cell r="B6745" t="str">
            <v>FC 24x7 3年 2930F-24G PoE+ 4SFP+用</v>
          </cell>
          <cell r="C6745" t="str">
            <v>【ファウンデーションケア】</v>
          </cell>
        </row>
        <row r="6746">
          <cell r="A6746" t="str">
            <v>H1YR9E</v>
          </cell>
          <cell r="B6746" t="str">
            <v>FC 9x5 4年 2930F-24G PoE+ 4SFP+用</v>
          </cell>
          <cell r="C6746" t="str">
            <v>【ファウンデーションケア】</v>
          </cell>
        </row>
        <row r="6747">
          <cell r="A6747" t="str">
            <v>H1YS4E</v>
          </cell>
          <cell r="B6747" t="str">
            <v>FC 24x7 4年 2930F-24G PoE+ 4SFP+用</v>
          </cell>
          <cell r="C6747" t="str">
            <v>【ファウンデーションケア】</v>
          </cell>
        </row>
        <row r="6748">
          <cell r="A6748" t="str">
            <v>H1YU2E</v>
          </cell>
          <cell r="B6748" t="str">
            <v>FC 9x5 5年 2930F-24G PoE+ 4SFP+用</v>
          </cell>
          <cell r="C6748" t="str">
            <v>【ファウンデーションケア】</v>
          </cell>
        </row>
        <row r="6749">
          <cell r="A6749" t="str">
            <v>H1YU7E</v>
          </cell>
          <cell r="B6749" t="str">
            <v>FC 24x7 5年 2930F-24G PoE+ 4SFP+用</v>
          </cell>
          <cell r="C6749" t="str">
            <v>【ファウンデーションケア】</v>
          </cell>
        </row>
        <row r="6750">
          <cell r="A6750" t="str">
            <v>H1YW5PE</v>
          </cell>
          <cell r="B6750" t="str">
            <v>更新用 FC 9x5 1年 2930F-24G PoE+ 4SFP+用</v>
          </cell>
          <cell r="C6750" t="str">
            <v>【ファウンデーションケア】</v>
          </cell>
        </row>
        <row r="6751">
          <cell r="A6751" t="str">
            <v>H1YW7PE</v>
          </cell>
          <cell r="B6751" t="str">
            <v>更新用 FC 24x7 1年 2930F-24G PoE+ 4SFP+</v>
          </cell>
          <cell r="C6751" t="str">
            <v>【ファウンデーションケア】</v>
          </cell>
        </row>
        <row r="6752">
          <cell r="A6752" t="str">
            <v>H1ZG9E</v>
          </cell>
          <cell r="B6752" t="str">
            <v>FC 24x7 1年 2930F-48G 4SFP用</v>
          </cell>
          <cell r="C6752" t="str">
            <v>【ファウンデーションケア】</v>
          </cell>
        </row>
        <row r="6753">
          <cell r="A6753" t="str">
            <v>H1ZJ0E</v>
          </cell>
          <cell r="B6753" t="str">
            <v>FC 9x5 3年 2930F-48G 4SFP用</v>
          </cell>
          <cell r="C6753" t="str">
            <v>【ファウンデーションケア】</v>
          </cell>
        </row>
        <row r="6754">
          <cell r="A6754" t="str">
            <v>H1ZJ5E</v>
          </cell>
          <cell r="B6754" t="str">
            <v>FC 24x7 3年 2930F-48G 4SFP用</v>
          </cell>
          <cell r="C6754" t="str">
            <v>【ファウンデーションケア】</v>
          </cell>
        </row>
        <row r="6755">
          <cell r="A6755" t="str">
            <v>H1ZL3E</v>
          </cell>
          <cell r="B6755" t="str">
            <v>FC 9x5 4年 2930F-48G 4SFP用</v>
          </cell>
          <cell r="C6755" t="str">
            <v>【ファウンデーションケア】</v>
          </cell>
        </row>
        <row r="6756">
          <cell r="A6756" t="str">
            <v>H1ZL8E</v>
          </cell>
          <cell r="B6756" t="str">
            <v>FC 24x7 4年 2930F-48G 4SFP用</v>
          </cell>
          <cell r="C6756" t="str">
            <v>【ファウンデーションケア】</v>
          </cell>
        </row>
        <row r="6757">
          <cell r="A6757" t="str">
            <v>H1ZN6E</v>
          </cell>
          <cell r="B6757" t="str">
            <v>FC 9x5 5年 2930F-48G 4SFP用</v>
          </cell>
          <cell r="C6757" t="str">
            <v>【ファウンデーションケア】</v>
          </cell>
        </row>
        <row r="6758">
          <cell r="A6758" t="str">
            <v>H1ZP1E</v>
          </cell>
          <cell r="B6758" t="str">
            <v>FC 24x7 5年 2930F-48G 4SFP用</v>
          </cell>
          <cell r="C6758" t="str">
            <v>【ファウンデーションケア】</v>
          </cell>
        </row>
        <row r="6759">
          <cell r="A6759" t="str">
            <v>H1ZQ9PE</v>
          </cell>
          <cell r="B6759" t="str">
            <v>更新用 FC 9x5 1年 2930F-48G 4SFP用</v>
          </cell>
          <cell r="C6759" t="str">
            <v>【ファウンデーションケア】</v>
          </cell>
        </row>
        <row r="6760">
          <cell r="A6760" t="str">
            <v>H1ZR1PE</v>
          </cell>
          <cell r="B6760" t="str">
            <v>更新用 FC 24x7 1年 2930F-48G 4SFP用</v>
          </cell>
          <cell r="C6760" t="str">
            <v>【ファウンデーションケア】</v>
          </cell>
        </row>
        <row r="6761">
          <cell r="A6761" t="str">
            <v>H1ZS1E</v>
          </cell>
          <cell r="B6761" t="str">
            <v>FC 24x7 1年 2930F-48G 4SFP+用</v>
          </cell>
          <cell r="C6761" t="str">
            <v>【ファウンデーションケア】</v>
          </cell>
        </row>
        <row r="6762">
          <cell r="A6762" t="str">
            <v>H1ZT2E</v>
          </cell>
          <cell r="B6762" t="str">
            <v>FC 9x5 3年 2930F-48G 4SFP+用</v>
          </cell>
          <cell r="C6762" t="str">
            <v>【ファウンデーションケア】</v>
          </cell>
        </row>
        <row r="6763">
          <cell r="A6763" t="str">
            <v>H1ZT7E</v>
          </cell>
          <cell r="B6763" t="str">
            <v>FC 24x7 3年 2930F-48G 4SFP+用</v>
          </cell>
          <cell r="C6763" t="str">
            <v>【ファウンデーションケア】</v>
          </cell>
        </row>
        <row r="6764">
          <cell r="A6764" t="str">
            <v>H1ZV5E</v>
          </cell>
          <cell r="B6764" t="str">
            <v>FC 9x5 4年 2930F-48G 4SFP+用</v>
          </cell>
          <cell r="C6764" t="str">
            <v>【ファウンデーションケア】</v>
          </cell>
        </row>
        <row r="6765">
          <cell r="A6765" t="str">
            <v>H1ZW0E</v>
          </cell>
          <cell r="B6765" t="str">
            <v>FC 24x7 4年 2930F-48G 4SFP+用</v>
          </cell>
          <cell r="C6765" t="str">
            <v>【ファウンデーションケア】</v>
          </cell>
        </row>
        <row r="6766">
          <cell r="A6766" t="str">
            <v>H1ZX8E</v>
          </cell>
          <cell r="B6766" t="str">
            <v>FC 9x5 5年 2930F-48G 4SFP+用</v>
          </cell>
          <cell r="C6766" t="str">
            <v>【ファウンデーションケア】</v>
          </cell>
        </row>
        <row r="6767">
          <cell r="A6767" t="str">
            <v>H1ZY3E</v>
          </cell>
          <cell r="B6767" t="str">
            <v>FC 24x7 5年 2930F-48G 4SFP+用</v>
          </cell>
          <cell r="C6767" t="str">
            <v>【ファウンデーションケア】</v>
          </cell>
        </row>
        <row r="6768">
          <cell r="A6768" t="str">
            <v>H2AA1PE</v>
          </cell>
          <cell r="B6768" t="str">
            <v>更新用 FC 9x5 1年 2930F-48G 4SFP+用</v>
          </cell>
          <cell r="C6768" t="str">
            <v>【ファウンデーションケア】</v>
          </cell>
        </row>
        <row r="6769">
          <cell r="A6769" t="str">
            <v>H2AA3PE</v>
          </cell>
          <cell r="B6769" t="str">
            <v>更新用 FC 24x7 1年 2930F-48G 4SFP+用</v>
          </cell>
          <cell r="C6769" t="str">
            <v>【ファウンデーションケア】</v>
          </cell>
        </row>
        <row r="6770">
          <cell r="A6770" t="str">
            <v>H2AB3E</v>
          </cell>
          <cell r="B6770" t="str">
            <v>FC 24x7 1年 2930F-48G PoE+ 4SFP用</v>
          </cell>
          <cell r="C6770" t="str">
            <v>【ファウンデーションケア】</v>
          </cell>
        </row>
        <row r="6771">
          <cell r="A6771" t="str">
            <v>H2AC4E</v>
          </cell>
          <cell r="B6771" t="str">
            <v>FC 9x5 3年 2930F-48G PoE+ 4SFP用</v>
          </cell>
          <cell r="C6771" t="str">
            <v>【ファウンデーションケア】</v>
          </cell>
        </row>
        <row r="6772">
          <cell r="A6772" t="str">
            <v>H2AC9E</v>
          </cell>
          <cell r="B6772" t="str">
            <v>FC 24x7 3年 2930F-48G PoE+ 4SFP用</v>
          </cell>
          <cell r="C6772" t="str">
            <v>【ファウンデーションケア】</v>
          </cell>
        </row>
        <row r="6773">
          <cell r="A6773" t="str">
            <v>H2AE7E</v>
          </cell>
          <cell r="B6773" t="str">
            <v>FC 9x5 4年 2930F-48G PoE+ 4SFP用</v>
          </cell>
          <cell r="C6773" t="str">
            <v>【ファウンデーションケア】</v>
          </cell>
        </row>
        <row r="6774">
          <cell r="A6774" t="str">
            <v>H2AF2E</v>
          </cell>
          <cell r="B6774" t="str">
            <v>FC 24x7 4年 2930F-48G PoE+ 4SFP用</v>
          </cell>
          <cell r="C6774" t="str">
            <v>【ファウンデーションケア】</v>
          </cell>
        </row>
        <row r="6775">
          <cell r="A6775" t="str">
            <v>H2AH0E</v>
          </cell>
          <cell r="B6775" t="str">
            <v>FC 9x5 5年 2930F-48G PoE+ 4SFP用</v>
          </cell>
          <cell r="C6775" t="str">
            <v>【ファウンデーションケア】</v>
          </cell>
        </row>
        <row r="6776">
          <cell r="A6776" t="str">
            <v>H2AH5E</v>
          </cell>
          <cell r="B6776" t="str">
            <v>FC 24x7 5年 2930F-48G PoE+ 4SFP用</v>
          </cell>
          <cell r="C6776" t="str">
            <v>【ファウンデーションケア】</v>
          </cell>
        </row>
        <row r="6777">
          <cell r="A6777" t="str">
            <v>H2AK3PE</v>
          </cell>
          <cell r="B6777" t="str">
            <v>更新用 FC 9x5 1年 2930F-48G PoE+ 4SFP用</v>
          </cell>
          <cell r="C6777" t="str">
            <v>【ファウンデーションケア】</v>
          </cell>
        </row>
        <row r="6778">
          <cell r="A6778" t="str">
            <v>H2AK5PE</v>
          </cell>
          <cell r="B6778" t="str">
            <v>更新用 FC 24x7 1年 2930F-48G PoE+ 4SFP用</v>
          </cell>
          <cell r="C6778" t="str">
            <v>【ファウンデーションケア】</v>
          </cell>
        </row>
        <row r="6779">
          <cell r="A6779" t="str">
            <v>H2AL5E</v>
          </cell>
          <cell r="B6779" t="str">
            <v>FC 24x7 1年 2930F-48G PoE+ 4SFP+用</v>
          </cell>
          <cell r="C6779" t="str">
            <v>【ファウンデーションケア】</v>
          </cell>
        </row>
        <row r="6780">
          <cell r="A6780" t="str">
            <v>H2AM6E</v>
          </cell>
          <cell r="B6780" t="str">
            <v>FC 9x5 3年 2930F-48G PoE+ 4SFP+用</v>
          </cell>
          <cell r="C6780" t="str">
            <v>【ファウンデーションケア】</v>
          </cell>
        </row>
        <row r="6781">
          <cell r="A6781" t="str">
            <v>H2AN1E</v>
          </cell>
          <cell r="B6781" t="str">
            <v>FC 24x7 3年 2930F-48G PoE+ 4SFP+用</v>
          </cell>
          <cell r="C6781" t="str">
            <v>【ファウンデーションケア】</v>
          </cell>
        </row>
        <row r="6782">
          <cell r="A6782" t="str">
            <v>H2AP9E</v>
          </cell>
          <cell r="B6782" t="str">
            <v>FC 9x5 4年 2930F-48G PoE+ 4SFP+用</v>
          </cell>
          <cell r="C6782" t="str">
            <v>【ファウンデーションケア】</v>
          </cell>
        </row>
        <row r="6783">
          <cell r="A6783" t="str">
            <v>H2AQ4E</v>
          </cell>
          <cell r="B6783" t="str">
            <v>FC 24x7 4年 2930F-48G PoE+ 4SFP+用</v>
          </cell>
          <cell r="C6783" t="str">
            <v>【ファウンデーションケア】</v>
          </cell>
        </row>
        <row r="6784">
          <cell r="A6784" t="str">
            <v>H2AS2E</v>
          </cell>
          <cell r="B6784" t="str">
            <v>FC 9x5 5年 2930F-48G PoE+ 4SFP+用</v>
          </cell>
          <cell r="C6784" t="str">
            <v>【ファウンデーションケア】</v>
          </cell>
        </row>
        <row r="6785">
          <cell r="A6785" t="str">
            <v>H2AS7E</v>
          </cell>
          <cell r="B6785" t="str">
            <v>FC 24x7 5年 2930F-48G PoE+ 4SFP+用</v>
          </cell>
          <cell r="C6785" t="str">
            <v>【ファウンデーションケア】</v>
          </cell>
        </row>
        <row r="6786">
          <cell r="A6786" t="str">
            <v>H2AU5PE</v>
          </cell>
          <cell r="B6786" t="str">
            <v>更新用 FC 9x5 1年 2930F-48G PoE+ 4SFP+用</v>
          </cell>
          <cell r="C6786" t="str">
            <v>【ファウンデーションケア】</v>
          </cell>
        </row>
        <row r="6787">
          <cell r="A6787" t="str">
            <v>H2AU7PE</v>
          </cell>
          <cell r="B6787" t="str">
            <v>更新用 FC 24x7 1年 2930F-48G PoE+ 4SFP+</v>
          </cell>
          <cell r="C6787" t="str">
            <v>【ファウンデーションケア】</v>
          </cell>
        </row>
        <row r="6788">
          <cell r="A6788" t="str">
            <v>H2BE9E</v>
          </cell>
          <cell r="B6788" t="str">
            <v>FC 24x7 1年 2930F-8G PoE+ 2SFP+用</v>
          </cell>
          <cell r="C6788" t="str">
            <v>【ファウンデーションケア】</v>
          </cell>
        </row>
        <row r="6789">
          <cell r="A6789" t="str">
            <v>H2BG0E</v>
          </cell>
          <cell r="B6789" t="str">
            <v>FC 9x5 3年 2930F-8G PoE+ 2SFP+用</v>
          </cell>
          <cell r="C6789" t="str">
            <v>【ファウンデーションケア】</v>
          </cell>
        </row>
        <row r="6790">
          <cell r="A6790" t="str">
            <v>H2BG5E</v>
          </cell>
          <cell r="B6790" t="str">
            <v>FC 24x7 3年 2930F-8G PoE+ 2SFP+用</v>
          </cell>
          <cell r="C6790" t="str">
            <v>【ファウンデーションケア】</v>
          </cell>
        </row>
        <row r="6791">
          <cell r="A6791" t="str">
            <v>H2BJ3E</v>
          </cell>
          <cell r="B6791" t="str">
            <v>FC 9x5 4年 2930F-8G PoE+ 2SFP+用</v>
          </cell>
          <cell r="C6791" t="str">
            <v>【ファウンデーションケア】</v>
          </cell>
        </row>
        <row r="6792">
          <cell r="A6792" t="str">
            <v>H2BJ8E</v>
          </cell>
          <cell r="B6792" t="str">
            <v>FC 24x7 4年 2930F-8G PoE+ 2SFP+用</v>
          </cell>
          <cell r="C6792" t="str">
            <v>【ファウンデーションケア】</v>
          </cell>
        </row>
        <row r="6793">
          <cell r="A6793" t="str">
            <v>H2BL6E</v>
          </cell>
          <cell r="B6793" t="str">
            <v>FC 9x5 5年 2930F-8G PoE+ 2SFP+用</v>
          </cell>
          <cell r="C6793" t="str">
            <v>【ファウンデーションケア】</v>
          </cell>
        </row>
        <row r="6794">
          <cell r="A6794" t="str">
            <v>H2BM1E</v>
          </cell>
          <cell r="B6794" t="str">
            <v>FC 24x7 5年 2930F-8G PoE+ 2SFP+用</v>
          </cell>
          <cell r="C6794" t="str">
            <v>【ファウンデーションケア】</v>
          </cell>
        </row>
        <row r="6795">
          <cell r="A6795" t="str">
            <v>H2BN9PE</v>
          </cell>
          <cell r="B6795" t="str">
            <v>更新用 FC 9x5 1年 2930F-8G PoE+ 2SFP+用</v>
          </cell>
          <cell r="C6795" t="str">
            <v>【ファウンデーションケア】</v>
          </cell>
        </row>
        <row r="6796">
          <cell r="A6796" t="str">
            <v>H2BP1PE</v>
          </cell>
          <cell r="B6796" t="str">
            <v>更新用 FC 24x7 1年 2930F-8G PoE+ 2SFP+用</v>
          </cell>
          <cell r="C6796" t="str">
            <v>【ファウンデーションケア】</v>
          </cell>
        </row>
        <row r="6797">
          <cell r="A6797" t="str">
            <v>H2BP8PE</v>
          </cell>
          <cell r="B6797" t="str">
            <v>更新用 FC 9x5 1年 2930M 24G PoE Switch用</v>
          </cell>
          <cell r="C6797" t="str">
            <v>【ファウンデーションケア】</v>
          </cell>
        </row>
        <row r="6798">
          <cell r="A6798" t="str">
            <v>H2BQ0PE</v>
          </cell>
          <cell r="B6798" t="str">
            <v>更新用 FC 24x7 1年 2930M 24G PoE Switch</v>
          </cell>
          <cell r="C6798" t="str">
            <v>【ファウンデーションケア】</v>
          </cell>
        </row>
        <row r="6799">
          <cell r="A6799" t="str">
            <v>H2BR0E</v>
          </cell>
          <cell r="B6799" t="str">
            <v>FC 24x7 1年 2930M 48G Switch用</v>
          </cell>
          <cell r="C6799" t="str">
            <v>【ファウンデーションケア】</v>
          </cell>
        </row>
        <row r="6800">
          <cell r="A6800" t="str">
            <v>H2BS0E</v>
          </cell>
          <cell r="B6800" t="str">
            <v>FC 9x5 3年 2930M 48G Switch用</v>
          </cell>
          <cell r="C6800" t="str">
            <v>【ファウンデーションケア】</v>
          </cell>
        </row>
        <row r="6801">
          <cell r="A6801" t="str">
            <v>H2BS5E</v>
          </cell>
          <cell r="B6801" t="str">
            <v>FC 24x7 3年 2930M 48G Switch用</v>
          </cell>
          <cell r="C6801" t="str">
            <v>【ファウンデーションケア】</v>
          </cell>
        </row>
        <row r="6802">
          <cell r="A6802" t="str">
            <v>H2BU3E</v>
          </cell>
          <cell r="B6802" t="str">
            <v>FC 9x5 4年 2930M 48G Switch用</v>
          </cell>
          <cell r="C6802" t="str">
            <v>【ファウンデーションケア】</v>
          </cell>
        </row>
        <row r="6803">
          <cell r="A6803" t="str">
            <v>H2BU8E</v>
          </cell>
          <cell r="B6803" t="str">
            <v>FC 24x7 4年 2930M 48G Switch用</v>
          </cell>
          <cell r="C6803" t="str">
            <v>【ファウンデーションケア】</v>
          </cell>
        </row>
        <row r="6804">
          <cell r="A6804" t="str">
            <v>H2BW6E</v>
          </cell>
          <cell r="B6804" t="str">
            <v>FC 9x5 5年 2930M 48G Switch用</v>
          </cell>
          <cell r="C6804" t="str">
            <v>【ファウンデーションケア】</v>
          </cell>
        </row>
        <row r="6805">
          <cell r="A6805" t="str">
            <v>H2BX1E</v>
          </cell>
          <cell r="B6805" t="str">
            <v>FC 24x7 5年 2930M 48G Switch用</v>
          </cell>
          <cell r="C6805" t="str">
            <v>【ファウンデーションケア】</v>
          </cell>
        </row>
        <row r="6806">
          <cell r="A6806" t="str">
            <v>H2BY9PE</v>
          </cell>
          <cell r="B6806" t="str">
            <v>更新用 FC 9x5 1年 2930M 48G Switch用</v>
          </cell>
          <cell r="C6806" t="str">
            <v>【ファウンデーションケア】</v>
          </cell>
        </row>
        <row r="6807">
          <cell r="A6807" t="str">
            <v>H2BZ1PE</v>
          </cell>
          <cell r="B6807" t="str">
            <v>更新用 FC 24x7 1年 2930M 48G Switch用</v>
          </cell>
          <cell r="C6807" t="str">
            <v>【ファウンデーションケア】</v>
          </cell>
        </row>
        <row r="6808">
          <cell r="A6808" t="str">
            <v>H2CA1E</v>
          </cell>
          <cell r="B6808" t="str">
            <v>FC 24x7 1年 2930M 48G PoE Switch用</v>
          </cell>
          <cell r="C6808" t="str">
            <v>【ファウンデーションケア】</v>
          </cell>
        </row>
        <row r="6809">
          <cell r="A6809" t="str">
            <v>H2CB1E</v>
          </cell>
          <cell r="B6809" t="str">
            <v>FC 9x5 3年 2930M 48G PoE Switch用</v>
          </cell>
          <cell r="C6809" t="str">
            <v>【ファウンデーションケア】</v>
          </cell>
        </row>
        <row r="6810">
          <cell r="A6810" t="str">
            <v>H2CB6E</v>
          </cell>
          <cell r="B6810" t="str">
            <v>FC 24x7 3年 2930M 48G PoE Switch用</v>
          </cell>
          <cell r="C6810" t="str">
            <v>【ファウンデーションケア】</v>
          </cell>
        </row>
        <row r="6811">
          <cell r="A6811" t="str">
            <v>H2CD4E</v>
          </cell>
          <cell r="B6811" t="str">
            <v>FC 9x5 4年 2930M 48G PoE Switch用</v>
          </cell>
          <cell r="C6811" t="str">
            <v>【ファウンデーションケア】</v>
          </cell>
        </row>
        <row r="6812">
          <cell r="A6812" t="str">
            <v>H2CD9E</v>
          </cell>
          <cell r="B6812" t="str">
            <v>FC 24x7 4年 2930M 48G PoE Switch用</v>
          </cell>
          <cell r="C6812" t="str">
            <v>【ファウンデーションケア】</v>
          </cell>
        </row>
        <row r="6813">
          <cell r="A6813" t="str">
            <v>H2CF7E</v>
          </cell>
          <cell r="B6813" t="str">
            <v>FC 9x5 5年 2930M 48G PoE Switch用</v>
          </cell>
          <cell r="C6813" t="str">
            <v>【ファウンデーションケア】</v>
          </cell>
        </row>
        <row r="6814">
          <cell r="A6814" t="str">
            <v>H2CG2E</v>
          </cell>
          <cell r="B6814" t="str">
            <v>FC 24x7 5年 2930M 48G PoE Switch用</v>
          </cell>
          <cell r="C6814" t="str">
            <v>【ファウンデーションケア】</v>
          </cell>
        </row>
        <row r="6815">
          <cell r="A6815" t="str">
            <v>H2CJ0PE</v>
          </cell>
          <cell r="B6815" t="str">
            <v>更新用 FC 9x5 1年 2930M 48G PoE Switch用</v>
          </cell>
          <cell r="C6815" t="str">
            <v>【ファウンデーションケア】</v>
          </cell>
        </row>
        <row r="6816">
          <cell r="A6816" t="str">
            <v>H2CJ2PE</v>
          </cell>
          <cell r="B6816" t="str">
            <v>更新用 FC 24x7 1年 2930M 48G PoE Switch</v>
          </cell>
          <cell r="C6816" t="str">
            <v>【ファウンデーションケア】</v>
          </cell>
        </row>
        <row r="6817">
          <cell r="A6817" t="str">
            <v>H5XE7E</v>
          </cell>
          <cell r="B6817" t="str">
            <v>FC 24x7 3年 2540-24G-PoE Switch用</v>
          </cell>
          <cell r="C6817" t="str">
            <v>【ファウンデーションケア】</v>
          </cell>
        </row>
        <row r="6818">
          <cell r="A6818" t="str">
            <v>H5XE8E</v>
          </cell>
          <cell r="B6818" t="str">
            <v>FC 24x7 3年 2540-48G-PoE Switch用</v>
          </cell>
          <cell r="C6818" t="str">
            <v>【ファウンデーションケア】</v>
          </cell>
        </row>
        <row r="6819">
          <cell r="A6819" t="str">
            <v>H5XE9E</v>
          </cell>
          <cell r="B6819" t="str">
            <v>FC 24x7 3年 2540-24G Switch用</v>
          </cell>
          <cell r="C6819" t="str">
            <v>【ファウンデーションケア】</v>
          </cell>
        </row>
        <row r="6820">
          <cell r="A6820" t="str">
            <v>H5XF0E</v>
          </cell>
          <cell r="B6820" t="str">
            <v>FC 24x7 3年 2540-48G Switch用</v>
          </cell>
          <cell r="C6820" t="str">
            <v>【ファウンデーションケア】</v>
          </cell>
        </row>
        <row r="6821">
          <cell r="A6821" t="str">
            <v>H5XF1E</v>
          </cell>
          <cell r="B6821" t="str">
            <v>FC 24x7 4年 2540-24G-PoE Switch用</v>
          </cell>
          <cell r="C6821" t="str">
            <v>【ファウンデーションケア】</v>
          </cell>
        </row>
        <row r="6822">
          <cell r="A6822" t="str">
            <v>H5XF2E</v>
          </cell>
          <cell r="B6822" t="str">
            <v>FC 24x7 4年 2540-48G-PoE Switch用</v>
          </cell>
          <cell r="C6822" t="str">
            <v>【ファウンデーションケア】</v>
          </cell>
        </row>
        <row r="6823">
          <cell r="A6823" t="str">
            <v>H5XF3E</v>
          </cell>
          <cell r="B6823" t="str">
            <v>FC 24x7 4年 2540-24G Switch用</v>
          </cell>
          <cell r="C6823" t="str">
            <v>【ファウンデーションケア】</v>
          </cell>
        </row>
        <row r="6824">
          <cell r="A6824" t="str">
            <v>H5XF4E</v>
          </cell>
          <cell r="B6824" t="str">
            <v>FC 24x7 4年 2540-48G Switch用</v>
          </cell>
          <cell r="C6824" t="str">
            <v>【ファウンデーションケア】</v>
          </cell>
        </row>
        <row r="6825">
          <cell r="A6825" t="str">
            <v>H5XF5E</v>
          </cell>
          <cell r="B6825" t="str">
            <v>FC 24x7 5年 2540-24G-PoE Switch用</v>
          </cell>
          <cell r="C6825" t="str">
            <v>【ファウンデーションケア】</v>
          </cell>
        </row>
        <row r="6826">
          <cell r="A6826" t="str">
            <v>H5XF6E</v>
          </cell>
          <cell r="B6826" t="str">
            <v>FC 24x7 5年 2540-48G-PoE Switch用</v>
          </cell>
          <cell r="C6826" t="str">
            <v>【ファウンデーションケア】</v>
          </cell>
        </row>
        <row r="6827">
          <cell r="A6827" t="str">
            <v>H5XF7E</v>
          </cell>
          <cell r="B6827" t="str">
            <v>FC 24x7 5年 2540-24G Switch用</v>
          </cell>
          <cell r="C6827" t="str">
            <v>【ファウンデーションケア】</v>
          </cell>
        </row>
        <row r="6828">
          <cell r="A6828" t="str">
            <v>H5XF8E</v>
          </cell>
          <cell r="B6828" t="str">
            <v>FC 24x7 5年 2540-48G Switch用</v>
          </cell>
          <cell r="C6828" t="str">
            <v>【ファウンデーションケア】</v>
          </cell>
        </row>
        <row r="6829">
          <cell r="A6829" t="str">
            <v>H5XP5E</v>
          </cell>
          <cell r="B6829" t="str">
            <v>FC 24x7 1年 2540-24G-PoE Switch用</v>
          </cell>
          <cell r="C6829" t="str">
            <v>【ファウンデーションケア】</v>
          </cell>
        </row>
        <row r="6830">
          <cell r="A6830" t="str">
            <v>H5XP6E</v>
          </cell>
          <cell r="B6830" t="str">
            <v>FC 24x7 1年 2540-48G-PoE Switch用</v>
          </cell>
          <cell r="C6830" t="str">
            <v>【ファウンデーションケア】</v>
          </cell>
        </row>
        <row r="6831">
          <cell r="A6831" t="str">
            <v>H5XP7E</v>
          </cell>
          <cell r="B6831" t="str">
            <v>FC 24x7 1年 2540-24G Switch用</v>
          </cell>
          <cell r="C6831" t="str">
            <v>【ファウンデーションケア】</v>
          </cell>
        </row>
        <row r="6832">
          <cell r="A6832" t="str">
            <v>H5XP8E</v>
          </cell>
          <cell r="B6832" t="str">
            <v>FC 24x7 1年 2540-48G Switch用</v>
          </cell>
          <cell r="C6832" t="str">
            <v>【ファウンデーションケア】</v>
          </cell>
        </row>
        <row r="6833">
          <cell r="A6833" t="str">
            <v>H5XP9PE</v>
          </cell>
          <cell r="B6833" t="str">
            <v>更新用 FC 24x7 1年 2540-24G-PoE Switch用</v>
          </cell>
          <cell r="C6833" t="str">
            <v>【ファウンデーションケア】</v>
          </cell>
        </row>
        <row r="6834">
          <cell r="A6834" t="str">
            <v>H5XQ0PE</v>
          </cell>
          <cell r="B6834" t="str">
            <v>更新用 FC 24x7 1年 2540-48G-PoE Switch用</v>
          </cell>
          <cell r="C6834" t="str">
            <v>【ファウンデーションケア】</v>
          </cell>
        </row>
        <row r="6835">
          <cell r="A6835" t="str">
            <v>H5XQ1PE</v>
          </cell>
          <cell r="B6835" t="str">
            <v>更新用 FC 24x7 1年 2540-24G Switch用</v>
          </cell>
          <cell r="C6835" t="str">
            <v>【ファウンデーションケア】</v>
          </cell>
        </row>
        <row r="6836">
          <cell r="A6836" t="str">
            <v>H5XQ2PE</v>
          </cell>
          <cell r="B6836" t="str">
            <v>更新用 FC 24x7 1年 2540-48G Switch用</v>
          </cell>
          <cell r="C6836" t="str">
            <v>【ファウンデーションケア】</v>
          </cell>
        </row>
        <row r="6837">
          <cell r="A6837" t="str">
            <v>H5XU3E</v>
          </cell>
          <cell r="B6837" t="str">
            <v>FC 9x5 3年 2540-24G-PoE Switch用</v>
          </cell>
          <cell r="C6837" t="str">
            <v>【ファウンデーションケア】</v>
          </cell>
        </row>
        <row r="6838">
          <cell r="A6838" t="str">
            <v>H5XU4E</v>
          </cell>
          <cell r="B6838" t="str">
            <v>FC 9x5 3年 2540-48G-PoE Switch用</v>
          </cell>
          <cell r="C6838" t="str">
            <v>【ファウンデーションケア】</v>
          </cell>
        </row>
        <row r="6839">
          <cell r="A6839" t="str">
            <v>H5XU5E</v>
          </cell>
          <cell r="B6839" t="str">
            <v>FC 9x5 3年 2540-24G Switch用</v>
          </cell>
          <cell r="C6839" t="str">
            <v>【ファウンデーションケア】</v>
          </cell>
        </row>
        <row r="6840">
          <cell r="A6840" t="str">
            <v>H5XU6E</v>
          </cell>
          <cell r="B6840" t="str">
            <v>FC 9x5 3年 2540-48G Switch用</v>
          </cell>
          <cell r="C6840" t="str">
            <v>【ファウンデーションケア】</v>
          </cell>
        </row>
        <row r="6841">
          <cell r="A6841" t="str">
            <v>H5XU7E</v>
          </cell>
          <cell r="B6841" t="str">
            <v>FC 9x5 4年 2540-24G-PoE Switch用</v>
          </cell>
          <cell r="C6841" t="str">
            <v>【ファウンデーションケア】</v>
          </cell>
        </row>
        <row r="6842">
          <cell r="A6842" t="str">
            <v>H5XU8E</v>
          </cell>
          <cell r="B6842" t="str">
            <v>FC 9x5 4年 2540-48G-PoE Switch用</v>
          </cell>
          <cell r="C6842" t="str">
            <v>【ファウンデーションケア】</v>
          </cell>
        </row>
        <row r="6843">
          <cell r="A6843" t="str">
            <v>H5XU9E</v>
          </cell>
          <cell r="B6843" t="str">
            <v>FC 9x5 4年 2540-24G Switch用</v>
          </cell>
          <cell r="C6843" t="str">
            <v>【ファウンデーションケア】</v>
          </cell>
        </row>
        <row r="6844">
          <cell r="A6844" t="str">
            <v>H5XV0E</v>
          </cell>
          <cell r="B6844" t="str">
            <v>FC 9x5 4年 2540-48G Switch用</v>
          </cell>
          <cell r="C6844" t="str">
            <v>【ファウンデーションケア】</v>
          </cell>
        </row>
        <row r="6845">
          <cell r="A6845" t="str">
            <v>H5XV1E</v>
          </cell>
          <cell r="B6845" t="str">
            <v>FC 9x5 5年 2540-24G-PoE Switch用</v>
          </cell>
          <cell r="C6845" t="str">
            <v>【ファウンデーションケア】</v>
          </cell>
        </row>
        <row r="6846">
          <cell r="A6846" t="str">
            <v>H5XV2E</v>
          </cell>
          <cell r="B6846" t="str">
            <v>FC 9x5 5年 2540-48G-PoE Switch用</v>
          </cell>
          <cell r="C6846" t="str">
            <v>【ファウンデーションケア】</v>
          </cell>
        </row>
        <row r="6847">
          <cell r="A6847" t="str">
            <v>H5XV3E</v>
          </cell>
          <cell r="B6847" t="str">
            <v>FC 9x5 5年 2540-24G Switch用</v>
          </cell>
          <cell r="C6847" t="str">
            <v>【ファウンデーションケア】</v>
          </cell>
        </row>
        <row r="6848">
          <cell r="A6848" t="str">
            <v>H5XV4E</v>
          </cell>
          <cell r="B6848" t="str">
            <v>FC 9x5 5年 2540-48G Switch用</v>
          </cell>
          <cell r="C6848" t="str">
            <v>【ファウンデーションケア】</v>
          </cell>
        </row>
        <row r="6849">
          <cell r="A6849" t="str">
            <v>H5XV5PE</v>
          </cell>
          <cell r="B6849" t="str">
            <v>更新用 FC 9x5 1年 2540-24G-PoE Switch用</v>
          </cell>
          <cell r="C6849" t="str">
            <v>【ファウンデーションケア】</v>
          </cell>
        </row>
        <row r="6850">
          <cell r="A6850" t="str">
            <v>H5XV6PE</v>
          </cell>
          <cell r="B6850" t="str">
            <v>更新用 FC 9x5 1年 2540-48G-PoE Switch用</v>
          </cell>
          <cell r="C6850" t="str">
            <v>【ファウンデーションケア】</v>
          </cell>
        </row>
        <row r="6851">
          <cell r="A6851" t="str">
            <v>H5XV7PE</v>
          </cell>
          <cell r="B6851" t="str">
            <v>更新用 FC 9x5 1年 2540-24G Switch用</v>
          </cell>
          <cell r="C6851" t="str">
            <v>【ファウンデーションケア】</v>
          </cell>
        </row>
        <row r="6852">
          <cell r="A6852" t="str">
            <v>H5XV8PE</v>
          </cell>
          <cell r="B6852" t="str">
            <v>更新用 FC 9x5 1年 2540-48G Switch用</v>
          </cell>
          <cell r="C6852" t="str">
            <v>【ファウンデーションケア】</v>
          </cell>
        </row>
        <row r="6853">
          <cell r="A6853" t="str">
            <v>H6AU8E</v>
          </cell>
          <cell r="B6853" t="str">
            <v>FC 24x7 1年 5940 Switch バンドル製品用</v>
          </cell>
          <cell r="C6853" t="str">
            <v>【ファウンデーションケア】</v>
          </cell>
        </row>
        <row r="6854">
          <cell r="A6854" t="str">
            <v>H6AV8E</v>
          </cell>
          <cell r="B6854" t="str">
            <v>FC 9x5 3年 5940 Switch バンドル製品用</v>
          </cell>
          <cell r="C6854" t="str">
            <v>【ファウンデーションケア】</v>
          </cell>
        </row>
        <row r="6855">
          <cell r="A6855" t="str">
            <v>H6AW3E</v>
          </cell>
          <cell r="B6855" t="str">
            <v>FC 24x7 3年 5940 Switch バンドル製品用</v>
          </cell>
          <cell r="C6855" t="str">
            <v>【ファウンデーションケア】</v>
          </cell>
        </row>
        <row r="6856">
          <cell r="A6856" t="str">
            <v>H6AY1E</v>
          </cell>
          <cell r="B6856" t="str">
            <v>FC 9x5 4年 5940 Switch バンドル製品用</v>
          </cell>
          <cell r="C6856" t="str">
            <v>【ファウンデーションケア】</v>
          </cell>
        </row>
        <row r="6857">
          <cell r="A6857" t="str">
            <v>H6AY6E</v>
          </cell>
          <cell r="B6857" t="str">
            <v>FC 24x7 4年 5940 Switch バンドル製品用</v>
          </cell>
          <cell r="C6857" t="str">
            <v>【ファウンデーションケア】</v>
          </cell>
        </row>
        <row r="6858">
          <cell r="A6858" t="str">
            <v>H6BA4E</v>
          </cell>
          <cell r="B6858" t="str">
            <v>FC 9x5 5年 5940 Switch バンドル製品用</v>
          </cell>
          <cell r="C6858" t="str">
            <v>【ファウンデーションケア】</v>
          </cell>
        </row>
        <row r="6859">
          <cell r="A6859" t="str">
            <v>H6BA9E</v>
          </cell>
          <cell r="B6859" t="str">
            <v>FC 24x7 5年 5940 Switch バンドル製品用</v>
          </cell>
          <cell r="C6859" t="str">
            <v>【ファウンデーションケア】</v>
          </cell>
        </row>
        <row r="6860">
          <cell r="A6860" t="str">
            <v>H6BC7PE</v>
          </cell>
          <cell r="B6860" t="str">
            <v>PW FC 9x5 1年 5940 Switch バンドル製品用</v>
          </cell>
          <cell r="C6860" t="str">
            <v>【ファウンデーションケア】</v>
          </cell>
        </row>
        <row r="6861">
          <cell r="A6861" t="str">
            <v>H6BD0PE</v>
          </cell>
          <cell r="B6861" t="str">
            <v>PW FC 24x7 1年 5940 Switch バンドル製品</v>
          </cell>
          <cell r="C6861" t="str">
            <v>【ファウンデーションケア】</v>
          </cell>
        </row>
        <row r="6862">
          <cell r="A6862" t="str">
            <v>H6BE3E</v>
          </cell>
          <cell r="B6862" t="str">
            <v>FC 24x7 1年 3810-24SFP Switch用</v>
          </cell>
          <cell r="C6862" t="str">
            <v>【ファウンデーションケア】</v>
          </cell>
        </row>
        <row r="6863">
          <cell r="A6863" t="str">
            <v>H6BF3E</v>
          </cell>
          <cell r="B6863" t="str">
            <v>FC 9x5 3年 3810-24SFP Switch用</v>
          </cell>
          <cell r="C6863" t="str">
            <v>【ファウンデーションケア】</v>
          </cell>
        </row>
        <row r="6864">
          <cell r="A6864" t="str">
            <v>H6BF8E</v>
          </cell>
          <cell r="B6864" t="str">
            <v>FC 24x7 3年 3810-24SFP Switch用</v>
          </cell>
          <cell r="C6864" t="str">
            <v>【ファウンデーションケア】</v>
          </cell>
        </row>
        <row r="6865">
          <cell r="A6865" t="str">
            <v>H6BH6E</v>
          </cell>
          <cell r="B6865" t="str">
            <v>FC 9x5 4年 3810-24SFP Switch用</v>
          </cell>
          <cell r="C6865" t="str">
            <v>【ファウンデーションケア】</v>
          </cell>
        </row>
        <row r="6866">
          <cell r="A6866" t="str">
            <v>H6BJ1E</v>
          </cell>
          <cell r="B6866" t="str">
            <v>FC 24x7 4年 3810-24SFP Switch用</v>
          </cell>
          <cell r="C6866" t="str">
            <v>【ファウンデーションケア】</v>
          </cell>
        </row>
        <row r="6867">
          <cell r="A6867" t="str">
            <v>H6BK9E</v>
          </cell>
          <cell r="B6867" t="str">
            <v>FC 9x5 5年 3810-24SFP Switch用</v>
          </cell>
          <cell r="C6867" t="str">
            <v>【ファウンデーションケア】</v>
          </cell>
        </row>
        <row r="6868">
          <cell r="A6868" t="str">
            <v>H6BL4E</v>
          </cell>
          <cell r="B6868" t="str">
            <v>FC 24x7 5年 3810-24SFP Switch用</v>
          </cell>
          <cell r="C6868" t="str">
            <v>【ファウンデーションケア】</v>
          </cell>
        </row>
        <row r="6869">
          <cell r="A6869" t="str">
            <v>H6BN2PE</v>
          </cell>
          <cell r="B6869" t="str">
            <v>更新用 FC 9x5 1年 3810-24SFP Switch用</v>
          </cell>
          <cell r="C6869" t="str">
            <v>【ファウンデーションケア】</v>
          </cell>
        </row>
        <row r="6870">
          <cell r="A6870" t="str">
            <v>H6BN4PE</v>
          </cell>
          <cell r="B6870" t="str">
            <v>更新用 FC 24x7 1年 3810-24SFP Switch用</v>
          </cell>
          <cell r="C6870" t="str">
            <v>【ファウンデーションケア】</v>
          </cell>
        </row>
        <row r="6871">
          <cell r="A6871" t="str">
            <v>H8UT8E</v>
          </cell>
          <cell r="B6871" t="str">
            <v>FC 9x5 4年 2930M-SR PoE Switch用</v>
          </cell>
          <cell r="C6871" t="str">
            <v>【ファウンデーションケア】</v>
          </cell>
        </row>
        <row r="6872">
          <cell r="A6872" t="str">
            <v>H8UU3E</v>
          </cell>
          <cell r="B6872" t="str">
            <v>FC 24x7 4年 2930M-SR PoE Switch用</v>
          </cell>
          <cell r="C6872" t="str">
            <v>【ファウンデーションケア】</v>
          </cell>
        </row>
        <row r="6873">
          <cell r="A6873" t="str">
            <v>H8UW1E</v>
          </cell>
          <cell r="B6873" t="str">
            <v>FC 9x5 5年 2930M-SR PoE Switch用</v>
          </cell>
          <cell r="C6873" t="str">
            <v>【ファウンデーションケア】</v>
          </cell>
        </row>
        <row r="6874">
          <cell r="A6874" t="str">
            <v>H8UW6E</v>
          </cell>
          <cell r="B6874" t="str">
            <v>FC 24x7 5年 2930M-SR PoE Switch用</v>
          </cell>
          <cell r="C6874" t="str">
            <v>【ファウンデーションケア】</v>
          </cell>
        </row>
        <row r="6875">
          <cell r="A6875" t="str">
            <v>H8XJ0E</v>
          </cell>
          <cell r="B6875" t="str">
            <v>FC 24x7 1年 Aruba 8320 Switch Bdl用</v>
          </cell>
          <cell r="C6875" t="str">
            <v>【ファウンデーションケア】</v>
          </cell>
        </row>
        <row r="6876">
          <cell r="A6876" t="str">
            <v>H8XK0E</v>
          </cell>
          <cell r="B6876" t="str">
            <v>FC 9x5 3年 Aruba 8320 Switch Bdl用</v>
          </cell>
          <cell r="C6876" t="str">
            <v>【ファウンデーションケア】</v>
          </cell>
        </row>
        <row r="6877">
          <cell r="A6877" t="str">
            <v>H8XK5E</v>
          </cell>
          <cell r="B6877" t="str">
            <v>FC 24x7 3年 Aruba 8320 Switch Bdl用</v>
          </cell>
          <cell r="C6877" t="str">
            <v>【ファウンデーションケア】</v>
          </cell>
        </row>
        <row r="6878">
          <cell r="A6878" t="str">
            <v>H8XM3E</v>
          </cell>
          <cell r="B6878" t="str">
            <v>FC 9x5 4年 Aruba 8320 Switch Bdl用</v>
          </cell>
          <cell r="C6878" t="str">
            <v>【ファウンデーションケア】</v>
          </cell>
        </row>
        <row r="6879">
          <cell r="A6879" t="str">
            <v>H8XM8E</v>
          </cell>
          <cell r="B6879" t="str">
            <v>FC 24x7 4年 Aruba 8320 Switch Bdl用</v>
          </cell>
          <cell r="C6879" t="str">
            <v>【ファウンデーションケア】</v>
          </cell>
        </row>
        <row r="6880">
          <cell r="A6880" t="str">
            <v>H8XP7E</v>
          </cell>
          <cell r="B6880" t="str">
            <v>FC 9x5 5年 Aruba 8320 Switch Bdl用</v>
          </cell>
          <cell r="C6880" t="str">
            <v>【ファウンデーションケア】</v>
          </cell>
        </row>
        <row r="6881">
          <cell r="A6881" t="str">
            <v>H8XQ2E</v>
          </cell>
          <cell r="B6881" t="str">
            <v>FC 24x7 5年 Aruba 8320 Switch Bdl用</v>
          </cell>
          <cell r="C6881" t="str">
            <v>【ファウンデーションケア】</v>
          </cell>
        </row>
        <row r="6882">
          <cell r="A6882" t="str">
            <v>H8XS0PE</v>
          </cell>
          <cell r="B6882" t="str">
            <v>PWS 9x5 1年 Aruba 8320 Switch Bdl用</v>
          </cell>
          <cell r="C6882" t="str">
            <v>【ファウンデーションケア】</v>
          </cell>
        </row>
        <row r="6883">
          <cell r="A6883" t="str">
            <v>H8XS3PE</v>
          </cell>
          <cell r="B6883" t="str">
            <v>PWS 24x7 1年 Aruba 8320 Switch Bdl用</v>
          </cell>
          <cell r="C6883" t="str">
            <v>【ファウンデーションケア】</v>
          </cell>
        </row>
        <row r="6884">
          <cell r="A6884" t="str">
            <v>HT6H5E</v>
          </cell>
          <cell r="B6884" t="str">
            <v>FC 24x7 1年 Aruba 8400 Switch用</v>
          </cell>
          <cell r="C6884" t="str">
            <v>【ファウンデーションケア】</v>
          </cell>
        </row>
        <row r="6885">
          <cell r="A6885" t="str">
            <v>HT6J3E</v>
          </cell>
          <cell r="B6885" t="str">
            <v>FC 9x5 3年 Aruba 8400 Switch用</v>
          </cell>
          <cell r="C6885" t="str">
            <v>【ファウンデーションケア】</v>
          </cell>
        </row>
        <row r="6886">
          <cell r="A6886" t="str">
            <v>HT6J8E</v>
          </cell>
          <cell r="B6886" t="str">
            <v>FC 24x7 3年 Aruba 8400 Switch用</v>
          </cell>
          <cell r="C6886" t="str">
            <v>【ファウンデーションケア】</v>
          </cell>
        </row>
        <row r="6887">
          <cell r="A6887" t="str">
            <v>HT6L6E</v>
          </cell>
          <cell r="B6887" t="str">
            <v>FC 9x5 4年 Aruba 8400 Switch用</v>
          </cell>
          <cell r="C6887" t="str">
            <v>【ファウンデーションケア】</v>
          </cell>
        </row>
        <row r="6888">
          <cell r="A6888" t="str">
            <v>HT6M1E</v>
          </cell>
          <cell r="B6888" t="str">
            <v>FC 24x7 4年 Aruba 8400 Switch用</v>
          </cell>
          <cell r="C6888" t="str">
            <v>【ファウンデーションケア】</v>
          </cell>
        </row>
        <row r="6889">
          <cell r="A6889" t="str">
            <v>HT6N9E</v>
          </cell>
          <cell r="B6889" t="str">
            <v>FC 9x5 5年 Aruba 8400 Switch用</v>
          </cell>
          <cell r="C6889" t="str">
            <v>【ファウンデーションケア】</v>
          </cell>
        </row>
        <row r="6890">
          <cell r="A6890" t="str">
            <v>HT6P4E</v>
          </cell>
          <cell r="B6890" t="str">
            <v>FC 24x7 5年 Aruba 8400 Switch用</v>
          </cell>
          <cell r="C6890" t="str">
            <v>【ファウンデーションケア】</v>
          </cell>
        </row>
        <row r="6891">
          <cell r="A6891" t="str">
            <v>HT6T6E</v>
          </cell>
          <cell r="B6891" t="str">
            <v>FC 24x7 1年 2930M-SR PoE Switch用</v>
          </cell>
          <cell r="C6891" t="str">
            <v>【ファウンデーションケア】</v>
          </cell>
        </row>
        <row r="6892">
          <cell r="A6892" t="str">
            <v>HT6U6E</v>
          </cell>
          <cell r="B6892" t="str">
            <v>FC 9x5 3年 2930M-SR PoE Switch用</v>
          </cell>
          <cell r="C6892" t="str">
            <v>【ファウンデーションケア】</v>
          </cell>
        </row>
        <row r="6893">
          <cell r="A6893" t="str">
            <v>HT6V1E</v>
          </cell>
          <cell r="B6893" t="str">
            <v>FC 24x7 3年 2930M-SR PoE Switch用</v>
          </cell>
          <cell r="C6893" t="str">
            <v>【ファウンデーションケア】</v>
          </cell>
        </row>
        <row r="6894">
          <cell r="A6894" t="str">
            <v>U0TJ9E</v>
          </cell>
          <cell r="B6894" t="str">
            <v>FC 24x7 1年 5510-24G HI Switch用</v>
          </cell>
          <cell r="C6894" t="str">
            <v>【ファウンデーションケア】</v>
          </cell>
        </row>
        <row r="6895">
          <cell r="A6895" t="str">
            <v>U0TK9E</v>
          </cell>
          <cell r="B6895" t="str">
            <v>FC 9x5 3年 5510-24G HI Switch用</v>
          </cell>
          <cell r="C6895" t="str">
            <v>【ファウンデーションケア】</v>
          </cell>
        </row>
        <row r="6896">
          <cell r="A6896" t="str">
            <v>U0TL4E</v>
          </cell>
          <cell r="B6896" t="str">
            <v>FC 24x7 3年 5510-24G HI Switch用</v>
          </cell>
          <cell r="C6896" t="str">
            <v>【ファウンデーションケア】</v>
          </cell>
        </row>
        <row r="6897">
          <cell r="A6897" t="str">
            <v>U0TN2E</v>
          </cell>
          <cell r="B6897" t="str">
            <v>FC 9x5 4年 5510-24G HI Switch用</v>
          </cell>
          <cell r="C6897" t="str">
            <v>【ファウンデーションケア】</v>
          </cell>
        </row>
        <row r="6898">
          <cell r="A6898" t="str">
            <v>U0TN7E</v>
          </cell>
          <cell r="B6898" t="str">
            <v>FC 24x7 4年 5510-24G HI Switch用</v>
          </cell>
          <cell r="C6898" t="str">
            <v>【ファウンデーションケア】</v>
          </cell>
        </row>
        <row r="6899">
          <cell r="A6899" t="str">
            <v>U0TQ5E</v>
          </cell>
          <cell r="B6899" t="str">
            <v>FC 9x5 5年 5510-24G HI Switch用</v>
          </cell>
          <cell r="C6899" t="str">
            <v>【ファウンデーションケア】</v>
          </cell>
        </row>
        <row r="6900">
          <cell r="A6900" t="str">
            <v>U0TR0E</v>
          </cell>
          <cell r="B6900" t="str">
            <v>FC 24x7 5年 5510-24G HI Switch用</v>
          </cell>
          <cell r="C6900" t="str">
            <v>【ファウンデーションケア】</v>
          </cell>
        </row>
        <row r="6901">
          <cell r="A6901" t="str">
            <v>U0TS8PE</v>
          </cell>
          <cell r="B6901" t="str">
            <v>更新用 FC 9x5 1年 5510-24G HI Switch用</v>
          </cell>
          <cell r="C6901" t="str">
            <v>【ファウンデーションケア】</v>
          </cell>
        </row>
        <row r="6902">
          <cell r="A6902" t="str">
            <v>U0TT0PE</v>
          </cell>
          <cell r="B6902" t="str">
            <v>更新用 FC 24x7 1年 5510-24G HI Switch用</v>
          </cell>
          <cell r="C6902" t="str">
            <v>【ファウンデーションケア】</v>
          </cell>
        </row>
        <row r="6903">
          <cell r="A6903" t="str">
            <v>U0TU0E</v>
          </cell>
          <cell r="B6903" t="str">
            <v>FC 24x7 1年 5510-48G HI Switch用</v>
          </cell>
          <cell r="C6903" t="str">
            <v>【ファウンデーションケア】</v>
          </cell>
        </row>
        <row r="6904">
          <cell r="A6904" t="str">
            <v>U0TV0E</v>
          </cell>
          <cell r="B6904" t="str">
            <v>FC 9x5 3年 5510-48G HI Switch用</v>
          </cell>
          <cell r="C6904" t="str">
            <v>【ファウンデーションケア】</v>
          </cell>
        </row>
        <row r="6905">
          <cell r="A6905" t="str">
            <v>U0TV5E</v>
          </cell>
          <cell r="B6905" t="str">
            <v>FC 24x7 3年 5510-48G HI Switch用</v>
          </cell>
          <cell r="C6905" t="str">
            <v>【ファウンデーションケア】</v>
          </cell>
        </row>
        <row r="6906">
          <cell r="A6906" t="str">
            <v>U0TX3E</v>
          </cell>
          <cell r="B6906" t="str">
            <v>FC 9x5 4年 5510-48G HI Switch用</v>
          </cell>
          <cell r="C6906" t="str">
            <v>【ファウンデーションケア】</v>
          </cell>
        </row>
        <row r="6907">
          <cell r="A6907" t="str">
            <v>U0TX8E</v>
          </cell>
          <cell r="B6907" t="str">
            <v>FC 24x7 4年 5510-48G HI Switch用</v>
          </cell>
          <cell r="C6907" t="str">
            <v>【ファウンデーションケア】</v>
          </cell>
        </row>
        <row r="6908">
          <cell r="A6908" t="str">
            <v>U0TZ6E</v>
          </cell>
          <cell r="B6908" t="str">
            <v>FC 9x5 5年 5510-48G HI Switch用</v>
          </cell>
          <cell r="C6908" t="str">
            <v>【ファウンデーションケア】</v>
          </cell>
        </row>
        <row r="6909">
          <cell r="A6909" t="str">
            <v>U0UA1E</v>
          </cell>
          <cell r="B6909" t="str">
            <v>FC 24x7 5年 5510-48G HI Switch用</v>
          </cell>
          <cell r="C6909" t="str">
            <v>【ファウンデーションケア】</v>
          </cell>
        </row>
        <row r="6910">
          <cell r="A6910" t="str">
            <v>U0UB9PE</v>
          </cell>
          <cell r="B6910" t="str">
            <v>更新用 FC 9x5 1年 5510-48G HI Switch用</v>
          </cell>
          <cell r="C6910" t="str">
            <v>【ファウンデーションケア】</v>
          </cell>
        </row>
        <row r="6911">
          <cell r="A6911" t="str">
            <v>U0UC1PE</v>
          </cell>
          <cell r="B6911" t="str">
            <v>更新用 FC 24x7 1年 5510-48G HI Switch用</v>
          </cell>
          <cell r="C6911" t="str">
            <v>【ファウンデーションケア】</v>
          </cell>
        </row>
        <row r="6912">
          <cell r="A6912" t="str">
            <v>U0UD1E</v>
          </cell>
          <cell r="B6912" t="str">
            <v>FC 24x7 1年 5510-24G-PoE HI Switch</v>
          </cell>
          <cell r="C6912" t="str">
            <v>【ファウンデーションケア】</v>
          </cell>
        </row>
        <row r="6913">
          <cell r="A6913" t="str">
            <v>U0UE1E</v>
          </cell>
          <cell r="B6913" t="str">
            <v>FC 9x5 3年 5510-24G-PoE HI Switch</v>
          </cell>
          <cell r="C6913" t="str">
            <v>【ファウンデーションケア】</v>
          </cell>
        </row>
        <row r="6914">
          <cell r="A6914" t="str">
            <v>U0UE6E</v>
          </cell>
          <cell r="B6914" t="str">
            <v>FC 24x7 3年 5510-24G-PoE HI Switch</v>
          </cell>
          <cell r="C6914" t="str">
            <v>【ファウンデーションケア】</v>
          </cell>
        </row>
        <row r="6915">
          <cell r="A6915" t="str">
            <v>U0UG4E</v>
          </cell>
          <cell r="B6915" t="str">
            <v>FC 9x5 4年 5510-24G-PoE HI Switch</v>
          </cell>
          <cell r="C6915" t="str">
            <v>【ファウンデーションケア】</v>
          </cell>
        </row>
        <row r="6916">
          <cell r="A6916" t="str">
            <v>U0UG9E</v>
          </cell>
          <cell r="B6916" t="str">
            <v>FC 24x7 4年 5510-24G-PoE HI Switch</v>
          </cell>
          <cell r="C6916" t="str">
            <v>【ファウンデーションケア】</v>
          </cell>
        </row>
        <row r="6917">
          <cell r="A6917" t="str">
            <v>U0UJ7E</v>
          </cell>
          <cell r="B6917" t="str">
            <v>FC 9x5 5年 5510-24G-PoE HI Switch</v>
          </cell>
          <cell r="C6917" t="str">
            <v>【ファウンデーションケア】</v>
          </cell>
        </row>
        <row r="6918">
          <cell r="A6918" t="str">
            <v>U0UK2E</v>
          </cell>
          <cell r="B6918" t="str">
            <v>FC 24x7 5年 5510-24G-PoE HI Switch</v>
          </cell>
          <cell r="C6918" t="str">
            <v>【ファウンデーションケア】</v>
          </cell>
        </row>
        <row r="6919">
          <cell r="A6919" t="str">
            <v>U0UM0PE</v>
          </cell>
          <cell r="B6919" t="str">
            <v>更新用 FC 9x5 1年 5510-24G-PoE HI Switch</v>
          </cell>
          <cell r="C6919" t="str">
            <v>【ファウンデーションケア】</v>
          </cell>
        </row>
        <row r="6920">
          <cell r="A6920" t="str">
            <v>U0UM2PE</v>
          </cell>
          <cell r="B6920" t="str">
            <v>更新用FC 24x7 1年 5510-24G-PoE HI Switch</v>
          </cell>
          <cell r="C6920" t="str">
            <v>【ファウンデーションケア】</v>
          </cell>
        </row>
        <row r="6921">
          <cell r="A6921" t="str">
            <v>U0UN2E</v>
          </cell>
          <cell r="B6921" t="str">
            <v>FC 24x7 1年 5510-48G-PoE HI Switch</v>
          </cell>
          <cell r="C6921" t="str">
            <v>【ファウンデーションケア】</v>
          </cell>
        </row>
        <row r="6922">
          <cell r="A6922" t="str">
            <v>U0UP2E</v>
          </cell>
          <cell r="B6922" t="str">
            <v>FC 9x5 3年 5510-48G-PoE HI Switch</v>
          </cell>
          <cell r="C6922" t="str">
            <v>【ファウンデーションケア】</v>
          </cell>
        </row>
        <row r="6923">
          <cell r="A6923" t="str">
            <v>U0UP7E</v>
          </cell>
          <cell r="B6923" t="str">
            <v>FC 24x7 3年 5510-48G-PoE HI Switch</v>
          </cell>
          <cell r="C6923" t="str">
            <v>【ファウンデーションケア】</v>
          </cell>
        </row>
        <row r="6924">
          <cell r="A6924" t="str">
            <v>U0UR5E</v>
          </cell>
          <cell r="B6924" t="str">
            <v>FC 9x5 4年 5510-48G-PoE HI Switch</v>
          </cell>
          <cell r="C6924" t="str">
            <v>【ファウンデーションケア】</v>
          </cell>
        </row>
        <row r="6925">
          <cell r="A6925" t="str">
            <v>U0US0E</v>
          </cell>
          <cell r="B6925" t="str">
            <v>FC 24x7 4年 5510-48G-PoE HI Switch</v>
          </cell>
          <cell r="C6925" t="str">
            <v>【ファウンデーションケア】</v>
          </cell>
        </row>
        <row r="6926">
          <cell r="A6926" t="str">
            <v>U0UT8E</v>
          </cell>
          <cell r="B6926" t="str">
            <v>FC 9x5 5年 5510-48G-PoE HI Switch</v>
          </cell>
          <cell r="C6926" t="str">
            <v>【ファウンデーションケア】</v>
          </cell>
        </row>
        <row r="6927">
          <cell r="A6927" t="str">
            <v>U0UU3E</v>
          </cell>
          <cell r="B6927" t="str">
            <v>FC 24x7 5年 5510-48G-PoE HI Switch</v>
          </cell>
          <cell r="C6927" t="str">
            <v>【ファウンデーションケア】</v>
          </cell>
        </row>
        <row r="6928">
          <cell r="A6928" t="str">
            <v>U0UW1PE</v>
          </cell>
          <cell r="B6928" t="str">
            <v>更新用 FC 9x5 1年 5510-48G-PoE HI Switch</v>
          </cell>
          <cell r="C6928" t="str">
            <v>【ファウンデーションケア】</v>
          </cell>
        </row>
        <row r="6929">
          <cell r="A6929" t="str">
            <v>U0UW3PE</v>
          </cell>
          <cell r="B6929" t="str">
            <v>更新用FC 24x7 1年 5510-48G-PoE HI Switch</v>
          </cell>
          <cell r="C6929" t="str">
            <v>【ファウンデーションケア】</v>
          </cell>
        </row>
        <row r="6930">
          <cell r="A6930" t="str">
            <v>U0UX3E</v>
          </cell>
          <cell r="B6930" t="str">
            <v>FC 24x7 1年 5510-24G-SFP HI Switch</v>
          </cell>
          <cell r="C6930" t="str">
            <v>【ファウンデーションケア】</v>
          </cell>
        </row>
        <row r="6931">
          <cell r="A6931" t="str">
            <v>U0UY3E</v>
          </cell>
          <cell r="B6931" t="str">
            <v>FC 9x5 3年 5510-24G-SFP HI Switch</v>
          </cell>
          <cell r="C6931" t="str">
            <v>【ファウンデーションケア】</v>
          </cell>
        </row>
        <row r="6932">
          <cell r="A6932" t="str">
            <v>U0UY8E</v>
          </cell>
          <cell r="B6932" t="str">
            <v>FC 24x7 3年 5510-24G-SFP HI Switch</v>
          </cell>
          <cell r="C6932" t="str">
            <v>【ファウンデーションケア】</v>
          </cell>
        </row>
        <row r="6933">
          <cell r="A6933" t="str">
            <v>U0VA6E</v>
          </cell>
          <cell r="B6933" t="str">
            <v>FC 9x5 4年 5510-24G-SFP HI Switch</v>
          </cell>
          <cell r="C6933" t="str">
            <v>【ファウンデーションケア】</v>
          </cell>
        </row>
        <row r="6934">
          <cell r="A6934" t="str">
            <v>U0VB1E</v>
          </cell>
          <cell r="B6934" t="str">
            <v>FC 24x7 4年 5510-24G-SFP HI Switch</v>
          </cell>
          <cell r="C6934" t="str">
            <v>【ファウンデーションケア】</v>
          </cell>
        </row>
        <row r="6935">
          <cell r="A6935" t="str">
            <v>U0VC9E</v>
          </cell>
          <cell r="B6935" t="str">
            <v>FC 9x5 5年 5510-24G-SFP HI Switch</v>
          </cell>
          <cell r="C6935" t="str">
            <v>【ファウンデーションケア】</v>
          </cell>
        </row>
        <row r="6936">
          <cell r="A6936" t="str">
            <v>U1SA4PE</v>
          </cell>
          <cell r="B6936" t="str">
            <v>更新用 FC 24x7 1年 64xx Switch用</v>
          </cell>
          <cell r="C6936" t="str">
            <v>【ファウンデーションケア】</v>
          </cell>
        </row>
        <row r="6937">
          <cell r="A6937" t="str">
            <v>U1YW6E</v>
          </cell>
          <cell r="B6937" t="str">
            <v>FC 24x7 3年 2620 Switch用</v>
          </cell>
          <cell r="C6937" t="str">
            <v>【ファウンデーションケア】</v>
          </cell>
        </row>
        <row r="6938">
          <cell r="A6938" t="str">
            <v>U1YX0E</v>
          </cell>
          <cell r="B6938" t="str">
            <v>FC 24x7 3年 MSR20 Router用</v>
          </cell>
          <cell r="C6938" t="str">
            <v>【ファウンデーションケア】</v>
          </cell>
        </row>
        <row r="6939">
          <cell r="A6939" t="str">
            <v>U1ZJ7E</v>
          </cell>
          <cell r="B6939" t="str">
            <v>FC 24x7 3年 5406 Switch(Prem Lic付)用</v>
          </cell>
          <cell r="C6939" t="str">
            <v>【ファウンデーションケア】</v>
          </cell>
        </row>
        <row r="6940">
          <cell r="A6940" t="str">
            <v>U1ZK2E</v>
          </cell>
          <cell r="B6940" t="str">
            <v>FC 24x7 3年 8206 Switch(Prem Lic付)用</v>
          </cell>
          <cell r="C6940" t="str">
            <v>【ファウンデーションケア】</v>
          </cell>
        </row>
        <row r="6941">
          <cell r="A6941" t="str">
            <v>U1ZK3E</v>
          </cell>
          <cell r="B6941" t="str">
            <v>FC 24x7 3年 5412 Switch(Prem Lic付)用</v>
          </cell>
          <cell r="C6941" t="str">
            <v>【ファウンデーションケア】</v>
          </cell>
        </row>
        <row r="6942">
          <cell r="A6942" t="str">
            <v>U1ZK4E</v>
          </cell>
          <cell r="B6942" t="str">
            <v>FC 24x7 3年 8212 Switch(Prem Lic付)用</v>
          </cell>
          <cell r="C6942" t="str">
            <v>【ファウンデーションケア】</v>
          </cell>
        </row>
        <row r="6943">
          <cell r="A6943" t="str">
            <v>U1ZK8E</v>
          </cell>
          <cell r="B6943" t="str">
            <v>FC 24x7 3年 10500/11900 VPN FW Mod用</v>
          </cell>
          <cell r="C6943" t="str">
            <v>【ファウンデーションケア】</v>
          </cell>
        </row>
        <row r="6944">
          <cell r="A6944" t="str">
            <v>U1ZL0E</v>
          </cell>
          <cell r="B6944" t="str">
            <v>FC 24x7 3年 10512 Switch用</v>
          </cell>
          <cell r="C6944" t="str">
            <v>【ファウンデーションケア】</v>
          </cell>
        </row>
        <row r="6945">
          <cell r="A6945" t="str">
            <v>U2AC4E</v>
          </cell>
          <cell r="B6945" t="str">
            <v>FC 24x7 5年 2620 Switch用</v>
          </cell>
          <cell r="C6945" t="str">
            <v>【ファウンデーションケア】</v>
          </cell>
        </row>
        <row r="6946">
          <cell r="A6946" t="str">
            <v>U2AC7E</v>
          </cell>
          <cell r="B6946" t="str">
            <v>FC 24x7 5年 MSR20 Router用</v>
          </cell>
          <cell r="C6946" t="str">
            <v>【ファウンデーションケア】</v>
          </cell>
        </row>
        <row r="6947">
          <cell r="A6947" t="str">
            <v>U2AD3E</v>
          </cell>
          <cell r="B6947" t="str">
            <v>FC 24x7 5年 5406 Switch(Prem Lic付)用</v>
          </cell>
          <cell r="C6947" t="str">
            <v>【ファウンデーションケア】</v>
          </cell>
        </row>
        <row r="6948">
          <cell r="A6948" t="str">
            <v>U2AD8E</v>
          </cell>
          <cell r="B6948" t="str">
            <v>FC 24x7 5年 8206 Switch(Prem Lic付)用</v>
          </cell>
          <cell r="C6948" t="str">
            <v>【ファウンデーションケア】</v>
          </cell>
        </row>
        <row r="6949">
          <cell r="A6949" t="str">
            <v>U2AD9E</v>
          </cell>
          <cell r="B6949" t="str">
            <v>FC 24x7 5年 5412 Switch(Prem Lic付)用</v>
          </cell>
          <cell r="C6949" t="str">
            <v>【ファウンデーションケア】</v>
          </cell>
        </row>
        <row r="6950">
          <cell r="A6950" t="str">
            <v>U2AE0E</v>
          </cell>
          <cell r="B6950" t="str">
            <v>FC 24x7 5年 8212 Switch(Prem Lic付)用</v>
          </cell>
          <cell r="C6950" t="str">
            <v>【ファウンデーションケア】</v>
          </cell>
        </row>
        <row r="6951">
          <cell r="A6951" t="str">
            <v>U2AE4E</v>
          </cell>
          <cell r="B6951" t="str">
            <v>FC 24x7 5年 10500/11900 VPN FW Mod用</v>
          </cell>
          <cell r="C6951" t="str">
            <v>【ファウンデーションケア】</v>
          </cell>
        </row>
        <row r="6952">
          <cell r="A6952" t="str">
            <v>U2AE6E</v>
          </cell>
          <cell r="B6952" t="str">
            <v>FC 24x7 5年 10512 Switch用</v>
          </cell>
          <cell r="C6952" t="str">
            <v>【ファウンデーションケア】</v>
          </cell>
        </row>
        <row r="6953">
          <cell r="A6953" t="str">
            <v>U2AF3E</v>
          </cell>
          <cell r="B6953" t="str">
            <v>FC 24x7 4年 2620 Switch用</v>
          </cell>
          <cell r="C6953" t="str">
            <v>【ファウンデーションケア】</v>
          </cell>
        </row>
        <row r="6954">
          <cell r="A6954" t="str">
            <v>U2AF6E</v>
          </cell>
          <cell r="B6954" t="str">
            <v>FC 24x7 4年 MSR20 Router用</v>
          </cell>
          <cell r="C6954" t="str">
            <v>【ファウンデーションケア】</v>
          </cell>
        </row>
        <row r="6955">
          <cell r="A6955" t="str">
            <v>U2AG2E</v>
          </cell>
          <cell r="B6955" t="str">
            <v>FC 24x7 4年 5406 Switch(Prem Lic付)用</v>
          </cell>
          <cell r="C6955" t="str">
            <v>【ファウンデーションケア】</v>
          </cell>
        </row>
        <row r="6956">
          <cell r="A6956" t="str">
            <v>U2AG7E</v>
          </cell>
          <cell r="B6956" t="str">
            <v>FC 24x7 4年 8206 Switch(Prem Lic付)用</v>
          </cell>
          <cell r="C6956" t="str">
            <v>【ファウンデーションケア】</v>
          </cell>
        </row>
        <row r="6957">
          <cell r="A6957" t="str">
            <v>U2AG8E</v>
          </cell>
          <cell r="B6957" t="str">
            <v>FC 24x7 4年 5412 Switch(Prem Lic付)用</v>
          </cell>
          <cell r="C6957" t="str">
            <v>【ファウンデーションケア】</v>
          </cell>
        </row>
        <row r="6958">
          <cell r="A6958" t="str">
            <v>U2AG9E</v>
          </cell>
          <cell r="B6958" t="str">
            <v>FC 24x7 4年 8212 Switch(Prem Lic付)用</v>
          </cell>
          <cell r="C6958" t="str">
            <v>【ファウンデーションケア】</v>
          </cell>
        </row>
        <row r="6959">
          <cell r="A6959" t="str">
            <v>U2AH3E</v>
          </cell>
          <cell r="B6959" t="str">
            <v>FC 24x7 4年 10500/11900 VPN FW Mod用</v>
          </cell>
          <cell r="C6959" t="str">
            <v>【ファウンデーションケア】</v>
          </cell>
        </row>
        <row r="6960">
          <cell r="A6960" t="str">
            <v>U2AH5E</v>
          </cell>
          <cell r="B6960" t="str">
            <v>FC 24x7 4年 10512 Switch用</v>
          </cell>
          <cell r="C6960" t="str">
            <v>【ファウンデーションケア】</v>
          </cell>
        </row>
        <row r="6961">
          <cell r="A6961" t="str">
            <v>U3FW1E</v>
          </cell>
          <cell r="B6961" t="str">
            <v>FC 24x7 3年 MSR930 Router用</v>
          </cell>
          <cell r="C6961" t="str">
            <v>【ファウンデーションケア】</v>
          </cell>
        </row>
        <row r="6962">
          <cell r="A6962" t="str">
            <v>U3FW3E</v>
          </cell>
          <cell r="B6962" t="str">
            <v>FC 24x7 3年 MSR2003 Router用</v>
          </cell>
          <cell r="C6962" t="str">
            <v>【ファウンデーションケア】</v>
          </cell>
        </row>
        <row r="6963">
          <cell r="A6963" t="str">
            <v>U3FW5E</v>
          </cell>
          <cell r="B6963" t="str">
            <v>FC 24x7 3年 2915/2615 Switch用</v>
          </cell>
          <cell r="C6963" t="str">
            <v>【ファウンデーションケア】</v>
          </cell>
        </row>
        <row r="6964">
          <cell r="A6964" t="str">
            <v>U3FX0E</v>
          </cell>
          <cell r="B6964" t="str">
            <v>FC 24x7 3年 3100 Switch用</v>
          </cell>
          <cell r="C6964" t="str">
            <v>【ファウンデーションケア】</v>
          </cell>
        </row>
        <row r="6965">
          <cell r="A6965" t="str">
            <v>U3FY0E</v>
          </cell>
          <cell r="B6965" t="str">
            <v>FC 24x7 3年 5120-16/24/48 Switch A用</v>
          </cell>
          <cell r="C6965" t="str">
            <v>【ファウンデーションケア】</v>
          </cell>
        </row>
        <row r="6966">
          <cell r="A6966" t="str">
            <v>U3FY2E</v>
          </cell>
          <cell r="B6966" t="str">
            <v>FC 24x7 3年 3600 Switch用</v>
          </cell>
          <cell r="C6966" t="str">
            <v>【ファウンデーションケア】</v>
          </cell>
        </row>
        <row r="6967">
          <cell r="A6967" t="str">
            <v>U3FY9E</v>
          </cell>
          <cell r="B6967" t="str">
            <v>FC 24x7 3年 MSR3012 Router用</v>
          </cell>
          <cell r="C6967" t="str">
            <v>【ファウンデーションケア】</v>
          </cell>
        </row>
        <row r="6968">
          <cell r="A6968" t="str">
            <v>U3FZ8E</v>
          </cell>
          <cell r="B6968" t="str">
            <v>FC 24x7 3年 MSR3024 Router用</v>
          </cell>
          <cell r="C6968" t="str">
            <v>【ファウンデーションケア】</v>
          </cell>
        </row>
        <row r="6969">
          <cell r="A6969" t="str">
            <v>U3GA6E</v>
          </cell>
          <cell r="B6969" t="str">
            <v>FC 24x7 3年 MSR3044 Router用</v>
          </cell>
          <cell r="C6969" t="str">
            <v>【ファウンデーションケア】</v>
          </cell>
        </row>
        <row r="6970">
          <cell r="A6970" t="str">
            <v>U3GA7E</v>
          </cell>
          <cell r="B6970" t="str">
            <v>FC 24x7 3年 3800 Switch用</v>
          </cell>
          <cell r="C6970" t="str">
            <v>【ファウンデーションケア】</v>
          </cell>
        </row>
        <row r="6971">
          <cell r="A6971" t="str">
            <v>U3GA8E</v>
          </cell>
          <cell r="B6971" t="str">
            <v>FC 24x7 3年 5500-24 EI Switch用</v>
          </cell>
          <cell r="C6971" t="str">
            <v>【ファウンデーションケア】</v>
          </cell>
        </row>
        <row r="6972">
          <cell r="A6972" t="str">
            <v>U3GB0E</v>
          </cell>
          <cell r="B6972" t="str">
            <v>FC 24x7 3年 MSR3064 Router用</v>
          </cell>
          <cell r="C6972" t="str">
            <v>【ファウンデーションケア】</v>
          </cell>
        </row>
        <row r="6973">
          <cell r="A6973" t="str">
            <v>U3GB1E</v>
          </cell>
          <cell r="B6973" t="str">
            <v>FC 24x7 3年 5500-24 HI Switch用</v>
          </cell>
          <cell r="C6973" t="str">
            <v>【ファウンデーションケア】</v>
          </cell>
        </row>
        <row r="6974">
          <cell r="A6974" t="str">
            <v>U3GB3E</v>
          </cell>
          <cell r="B6974" t="str">
            <v>FC 24x7 3年 5500-48 EI Switch用</v>
          </cell>
          <cell r="C6974" t="str">
            <v>【ファウンデーションケア】</v>
          </cell>
        </row>
        <row r="6975">
          <cell r="A6975" t="str">
            <v>U3GB4E</v>
          </cell>
          <cell r="B6975" t="str">
            <v>FC 24x7 3年 MSR4060 Router用</v>
          </cell>
          <cell r="C6975" t="str">
            <v>【ファウンデーションケア】</v>
          </cell>
        </row>
        <row r="6976">
          <cell r="A6976" t="str">
            <v>U3GB9E</v>
          </cell>
          <cell r="B6976" t="str">
            <v>FC 24x7 3年 MSR4080 Router用</v>
          </cell>
          <cell r="C6976" t="str">
            <v>【ファウンデーションケア】</v>
          </cell>
        </row>
        <row r="6977">
          <cell r="A6977" t="str">
            <v>U3GC3E</v>
          </cell>
          <cell r="B6977" t="str">
            <v>FC 24x7 3年 HSR6602 Router用</v>
          </cell>
          <cell r="C6977" t="str">
            <v>【ファウンデーションケア】</v>
          </cell>
        </row>
        <row r="6978">
          <cell r="A6978" t="str">
            <v>U3GE0E</v>
          </cell>
          <cell r="B6978" t="str">
            <v>FC 24x7 3年 HSR6802 Router用</v>
          </cell>
          <cell r="C6978" t="str">
            <v>【ファウンデーションケア】</v>
          </cell>
        </row>
        <row r="6979">
          <cell r="A6979" t="str">
            <v>U3GE1E</v>
          </cell>
          <cell r="B6979" t="str">
            <v>FC 24x7 3年 HSR6804 Router用</v>
          </cell>
          <cell r="C6979" t="str">
            <v>【ファウンデーションケア】</v>
          </cell>
        </row>
        <row r="6980">
          <cell r="A6980" t="str">
            <v>U3GE3E</v>
          </cell>
          <cell r="B6980" t="str">
            <v>FC 24x7 3年 HSR6808 Router用</v>
          </cell>
          <cell r="C6980" t="str">
            <v>【ファウンデーションケア】</v>
          </cell>
        </row>
        <row r="6981">
          <cell r="A6981" t="str">
            <v>U3GE5E</v>
          </cell>
          <cell r="B6981" t="str">
            <v>FC 24x7 3年 10504 Switch用</v>
          </cell>
          <cell r="C6981" t="str">
            <v>【ファウンデーションケア】</v>
          </cell>
        </row>
        <row r="6982">
          <cell r="A6982" t="str">
            <v>U3GE7E</v>
          </cell>
          <cell r="B6982" t="str">
            <v>FC 24x7 3年 10508 Switch用</v>
          </cell>
          <cell r="C6982" t="str">
            <v>【ファウンデーションケア】</v>
          </cell>
        </row>
        <row r="6983">
          <cell r="A6983" t="str">
            <v>U3GF3E</v>
          </cell>
          <cell r="B6983" t="str">
            <v>FC 24x7 3年 5500-48 HI Switch用</v>
          </cell>
          <cell r="C6983" t="str">
            <v>【ファウンデーションケア】</v>
          </cell>
        </row>
        <row r="6984">
          <cell r="A6984" t="str">
            <v>U3GH3E</v>
          </cell>
          <cell r="B6984" t="str">
            <v>FC 24x7 4年 MSR2003 Router用</v>
          </cell>
          <cell r="C6984" t="str">
            <v>【ファウンデーションケア】</v>
          </cell>
        </row>
        <row r="6985">
          <cell r="A6985" t="str">
            <v>U3GH4E</v>
          </cell>
          <cell r="B6985" t="str">
            <v>FC 24x7 4年 MSR930 Router用</v>
          </cell>
          <cell r="C6985" t="str">
            <v>【ファウンデーションケア】</v>
          </cell>
        </row>
        <row r="6986">
          <cell r="A6986" t="str">
            <v>U3GH6E</v>
          </cell>
          <cell r="B6986" t="str">
            <v>FC 24x7 4年 2915/2615 Switch用</v>
          </cell>
          <cell r="C6986" t="str">
            <v>【ファウンデーションケア】</v>
          </cell>
        </row>
        <row r="6987">
          <cell r="A6987" t="str">
            <v>U3GJ0E</v>
          </cell>
          <cell r="B6987" t="str">
            <v>FC 24x7 4年 3100 Switch用</v>
          </cell>
          <cell r="C6987" t="str">
            <v>【ファウンデーションケア】</v>
          </cell>
        </row>
        <row r="6988">
          <cell r="A6988" t="str">
            <v>U3GJ8E</v>
          </cell>
          <cell r="B6988" t="str">
            <v>FC 24x7 4年 5120-16/24/48 Switch A用</v>
          </cell>
          <cell r="C6988" t="str">
            <v>【ファウンデーションケア】</v>
          </cell>
        </row>
        <row r="6989">
          <cell r="A6989" t="str">
            <v>U3GK0E</v>
          </cell>
          <cell r="B6989" t="str">
            <v>FC 24x7 4年 3600 Switch用</v>
          </cell>
          <cell r="C6989" t="str">
            <v>【ファウンデーションケア】</v>
          </cell>
        </row>
        <row r="6990">
          <cell r="A6990" t="str">
            <v>U3GK7E</v>
          </cell>
          <cell r="B6990" t="str">
            <v>FC 24x7 4年 MSR3012 Router用</v>
          </cell>
          <cell r="C6990" t="str">
            <v>【ファウンデーションケア】</v>
          </cell>
        </row>
        <row r="6991">
          <cell r="A6991" t="str">
            <v>U3GL5E</v>
          </cell>
          <cell r="B6991" t="str">
            <v>FC 24x7 4年 MSR3024 Router用</v>
          </cell>
          <cell r="C6991" t="str">
            <v>【ファウンデーションケア】</v>
          </cell>
        </row>
        <row r="6992">
          <cell r="A6992" t="str">
            <v>U3GM2E</v>
          </cell>
          <cell r="B6992" t="str">
            <v>FC 24x7 4年 MSR3044 Router用</v>
          </cell>
          <cell r="C6992" t="str">
            <v>【ファウンデーションケア】</v>
          </cell>
        </row>
        <row r="6993">
          <cell r="A6993" t="str">
            <v>U3GM3E</v>
          </cell>
          <cell r="B6993" t="str">
            <v>FC 24x7 4年 3800 Switch用</v>
          </cell>
          <cell r="C6993" t="str">
            <v>【ファウンデーションケア】</v>
          </cell>
        </row>
        <row r="6994">
          <cell r="A6994" t="str">
            <v>U3GM4E</v>
          </cell>
          <cell r="B6994" t="str">
            <v>FC 24x7 4年 5500-24 EI Switch用</v>
          </cell>
          <cell r="C6994" t="str">
            <v>【ファウンデーションケア】</v>
          </cell>
        </row>
        <row r="6995">
          <cell r="A6995" t="str">
            <v>U3GM6E</v>
          </cell>
          <cell r="B6995" t="str">
            <v>FC 24x7 4年 MSR3064 Router用</v>
          </cell>
          <cell r="C6995" t="str">
            <v>【ファウンデーションケア】</v>
          </cell>
        </row>
        <row r="6996">
          <cell r="A6996" t="str">
            <v>U3GM7E</v>
          </cell>
          <cell r="B6996" t="str">
            <v>FC 24x7 4年 5500-24 HI Switch用</v>
          </cell>
          <cell r="C6996" t="str">
            <v>【ファウンデーションケア】</v>
          </cell>
        </row>
        <row r="6997">
          <cell r="A6997" t="str">
            <v>U3GM8E</v>
          </cell>
          <cell r="B6997" t="str">
            <v>FC 24x7 4年 5500-48 EI Switch用</v>
          </cell>
          <cell r="C6997" t="str">
            <v>【ファウンデーションケア】</v>
          </cell>
        </row>
        <row r="6998">
          <cell r="A6998" t="str">
            <v>U3GN0E</v>
          </cell>
          <cell r="B6998" t="str">
            <v>FC 24x7 4年 MSR4060 Router用</v>
          </cell>
          <cell r="C6998" t="str">
            <v>【ファウンデーションケア】</v>
          </cell>
        </row>
        <row r="6999">
          <cell r="A6999" t="str">
            <v>U3GN5E</v>
          </cell>
          <cell r="B6999" t="str">
            <v>FC 24x7 4年 MSR4080 Router用</v>
          </cell>
          <cell r="C6999" t="str">
            <v>【ファウンデーションケア】</v>
          </cell>
        </row>
        <row r="7000">
          <cell r="A7000" t="str">
            <v>U3GN9E</v>
          </cell>
          <cell r="B7000" t="str">
            <v>FC 24x7 4年 HSR6602 Router用</v>
          </cell>
          <cell r="C7000" t="str">
            <v>【ファウンデーションケア】</v>
          </cell>
        </row>
        <row r="7001">
          <cell r="A7001" t="str">
            <v>U3GQ5E</v>
          </cell>
          <cell r="B7001" t="str">
            <v>FC 24x7 4年 HSR6802 Router用</v>
          </cell>
          <cell r="C7001" t="str">
            <v>【ファウンデーションケア】</v>
          </cell>
        </row>
        <row r="7002">
          <cell r="A7002" t="str">
            <v>U3GQ6E</v>
          </cell>
          <cell r="B7002" t="str">
            <v>FC 24x7 4年 HSR6804 Router用</v>
          </cell>
          <cell r="C7002" t="str">
            <v>【ファウンデーションケア】</v>
          </cell>
        </row>
        <row r="7003">
          <cell r="A7003" t="str">
            <v>U3GQ7E</v>
          </cell>
          <cell r="B7003" t="str">
            <v>FC 24x7 4年 HSR6808 Router用</v>
          </cell>
          <cell r="C7003" t="str">
            <v>【ファウンデーションケア】</v>
          </cell>
        </row>
        <row r="7004">
          <cell r="A7004" t="str">
            <v>U3GR0E</v>
          </cell>
          <cell r="B7004" t="str">
            <v>FC 24x7 4年 10504 Switch用</v>
          </cell>
          <cell r="C7004" t="str">
            <v>【ファウンデーションケア】</v>
          </cell>
        </row>
        <row r="7005">
          <cell r="A7005" t="str">
            <v>U3GR2E</v>
          </cell>
          <cell r="B7005" t="str">
            <v>FC 24x7 4年 10508 Switch用</v>
          </cell>
          <cell r="C7005" t="str">
            <v>【ファウンデーションケア】</v>
          </cell>
        </row>
        <row r="7006">
          <cell r="A7006" t="str">
            <v>U3GR9E</v>
          </cell>
          <cell r="B7006" t="str">
            <v>FC 24x7 4年 5500-48 HI Switch用</v>
          </cell>
          <cell r="C7006" t="str">
            <v>【ファウンデーションケア】</v>
          </cell>
        </row>
        <row r="7007">
          <cell r="A7007" t="str">
            <v>U3GT9E</v>
          </cell>
          <cell r="B7007" t="str">
            <v>FC 24x7 5年 MSR2003 Router用</v>
          </cell>
          <cell r="C7007" t="str">
            <v>【ファウンデーションケア】</v>
          </cell>
        </row>
        <row r="7008">
          <cell r="A7008" t="str">
            <v>U3GU0E</v>
          </cell>
          <cell r="B7008" t="str">
            <v>FC 24x7 5年 MSR930 Router用</v>
          </cell>
          <cell r="C7008" t="str">
            <v>【ファウンデーションケア】</v>
          </cell>
        </row>
        <row r="7009">
          <cell r="A7009" t="str">
            <v>U3GU2E</v>
          </cell>
          <cell r="B7009" t="str">
            <v>FC 24x7 5年 2915/2615 Switch用</v>
          </cell>
          <cell r="C7009" t="str">
            <v>【ファウンデーションケア】</v>
          </cell>
        </row>
        <row r="7010">
          <cell r="A7010" t="str">
            <v>U3GU6E</v>
          </cell>
          <cell r="B7010" t="str">
            <v>FC 24x7 5年 3100 Switch用</v>
          </cell>
          <cell r="C7010" t="str">
            <v>【ファウンデーションケア】</v>
          </cell>
        </row>
        <row r="7011">
          <cell r="A7011" t="str">
            <v>U3GV4E</v>
          </cell>
          <cell r="B7011" t="str">
            <v>FC 24x7 5年 5120-16/24/48 Switch A用</v>
          </cell>
          <cell r="C7011" t="str">
            <v>【ファウンデーションケア】</v>
          </cell>
        </row>
        <row r="7012">
          <cell r="A7012" t="str">
            <v>U3GV6E</v>
          </cell>
          <cell r="B7012" t="str">
            <v>FC 24x7 5年 3600 Switch用</v>
          </cell>
          <cell r="C7012" t="str">
            <v>【ファウンデーションケア】</v>
          </cell>
        </row>
        <row r="7013">
          <cell r="A7013" t="str">
            <v>U3GW2E</v>
          </cell>
          <cell r="B7013" t="str">
            <v>FC 24x7 5年 MSR3012 Router用</v>
          </cell>
          <cell r="C7013" t="str">
            <v>【ファウンデーションケア】</v>
          </cell>
        </row>
        <row r="7014">
          <cell r="A7014" t="str">
            <v>U3GX0E</v>
          </cell>
          <cell r="B7014" t="str">
            <v>FC 24x7 5年 MSR3024 Router用</v>
          </cell>
          <cell r="C7014" t="str">
            <v>【ファウンデーションケア】</v>
          </cell>
        </row>
        <row r="7015">
          <cell r="A7015" t="str">
            <v>U3GX7E</v>
          </cell>
          <cell r="B7015" t="str">
            <v>FC 24x7 5年 MSR3044 Router用</v>
          </cell>
          <cell r="C7015" t="str">
            <v>【ファウンデーションケア】</v>
          </cell>
        </row>
        <row r="7016">
          <cell r="A7016" t="str">
            <v>U3GX8E</v>
          </cell>
          <cell r="B7016" t="str">
            <v>FC 24x7 5年 3800 Switch用</v>
          </cell>
          <cell r="C7016" t="str">
            <v>【ファウンデーションケア】</v>
          </cell>
        </row>
        <row r="7017">
          <cell r="A7017" t="str">
            <v>U3GX9E</v>
          </cell>
          <cell r="B7017" t="str">
            <v>FC 24x7 5年 5500-24 EI Switch用</v>
          </cell>
          <cell r="C7017" t="str">
            <v>【ファウンデーションケア】</v>
          </cell>
        </row>
        <row r="7018">
          <cell r="A7018" t="str">
            <v>U3GY1E</v>
          </cell>
          <cell r="B7018" t="str">
            <v>FC 24x7 5年 MSR3064 Router用</v>
          </cell>
          <cell r="C7018" t="str">
            <v>【ファウンデーションケア】</v>
          </cell>
        </row>
        <row r="7019">
          <cell r="A7019" t="str">
            <v>U3GY2E</v>
          </cell>
          <cell r="B7019" t="str">
            <v>FC 24x7 5年 5500-24 HI Switch用</v>
          </cell>
          <cell r="C7019" t="str">
            <v>【ファウンデーションケア】</v>
          </cell>
        </row>
        <row r="7020">
          <cell r="A7020" t="str">
            <v>U3GY3E</v>
          </cell>
          <cell r="B7020" t="str">
            <v>FC 24x7 5年 5500-48 EI Switch用</v>
          </cell>
          <cell r="C7020" t="str">
            <v>【ファウンデーションケア】</v>
          </cell>
        </row>
        <row r="7021">
          <cell r="A7021" t="str">
            <v>U3GY5E</v>
          </cell>
          <cell r="B7021" t="str">
            <v>FC 24x7 5年 MSR4060 Router用</v>
          </cell>
          <cell r="C7021" t="str">
            <v>【ファウンデーションケア】</v>
          </cell>
        </row>
        <row r="7022">
          <cell r="A7022" t="str">
            <v>U3GZ0E</v>
          </cell>
          <cell r="B7022" t="str">
            <v>FC 24x7 5年 MSR4080 Router用</v>
          </cell>
          <cell r="C7022" t="str">
            <v>【ファウンデーションケア】</v>
          </cell>
        </row>
        <row r="7023">
          <cell r="A7023" t="str">
            <v>U3GZ4E</v>
          </cell>
          <cell r="B7023" t="str">
            <v>FC 24x7 5年 HSR6602 Router用</v>
          </cell>
          <cell r="C7023" t="str">
            <v>【ファウンデーションケア】</v>
          </cell>
        </row>
        <row r="7024">
          <cell r="A7024" t="str">
            <v>U3HB0E</v>
          </cell>
          <cell r="B7024" t="str">
            <v>FC 24x7 5年 HSR6802 Router用</v>
          </cell>
          <cell r="C7024" t="str">
            <v>【ファウンデーションケア】</v>
          </cell>
        </row>
        <row r="7025">
          <cell r="A7025" t="str">
            <v>U3HB1E</v>
          </cell>
          <cell r="B7025" t="str">
            <v>FC 24x7 5年 HSR6804 Router用</v>
          </cell>
          <cell r="C7025" t="str">
            <v>【ファウンデーションケア】</v>
          </cell>
        </row>
        <row r="7026">
          <cell r="A7026" t="str">
            <v>U3HB2E</v>
          </cell>
          <cell r="B7026" t="str">
            <v>FC 24x7 5年 HSR6808 Router用</v>
          </cell>
          <cell r="C7026" t="str">
            <v>【ファウンデーションケア】</v>
          </cell>
        </row>
        <row r="7027">
          <cell r="A7027" t="str">
            <v>U3HB5E</v>
          </cell>
          <cell r="B7027" t="str">
            <v>FC 24x7 5年 10504 Switch用</v>
          </cell>
          <cell r="C7027" t="str">
            <v>【ファウンデーションケア】</v>
          </cell>
        </row>
        <row r="7028">
          <cell r="A7028" t="str">
            <v>U3HB7E</v>
          </cell>
          <cell r="B7028" t="str">
            <v>FC 24x7 5年 10508 Switch用</v>
          </cell>
          <cell r="C7028" t="str">
            <v>【ファウンデーションケア】</v>
          </cell>
        </row>
        <row r="7029">
          <cell r="A7029" t="str">
            <v>U3HC5E</v>
          </cell>
          <cell r="B7029" t="str">
            <v>FC 24x7 5年 5500-48 HI Switch用</v>
          </cell>
          <cell r="C7029" t="str">
            <v>【ファウンデーションケア】</v>
          </cell>
        </row>
        <row r="7030">
          <cell r="A7030" t="str">
            <v>U3LJ3E</v>
          </cell>
          <cell r="B7030" t="str">
            <v>FC 24x7 3年 Redundant Power Supply用</v>
          </cell>
          <cell r="C7030" t="str">
            <v>【ファウンデーションケア】</v>
          </cell>
        </row>
        <row r="7031">
          <cell r="A7031" t="str">
            <v>U3LJ7E</v>
          </cell>
          <cell r="B7031" t="str">
            <v>FC 24x7 4年 Redundant Power Supply用</v>
          </cell>
          <cell r="C7031" t="str">
            <v>【ファウンデーションケア】</v>
          </cell>
        </row>
        <row r="7032">
          <cell r="A7032" t="str">
            <v>U3LK0E</v>
          </cell>
          <cell r="B7032" t="str">
            <v>FC 24x7 5年 Redundant Power Supply用</v>
          </cell>
          <cell r="C7032" t="str">
            <v>【ファウンデーションケア】</v>
          </cell>
        </row>
        <row r="7033">
          <cell r="A7033" t="str">
            <v>U3LY4E</v>
          </cell>
          <cell r="B7033" t="str">
            <v>FC Exchange 3年 10504 Switch用</v>
          </cell>
          <cell r="C7033" t="str">
            <v>【ファウンデーションケア】</v>
          </cell>
        </row>
        <row r="7034">
          <cell r="A7034" t="str">
            <v>U3LY6E</v>
          </cell>
          <cell r="B7034" t="str">
            <v>FC Exchange 3年 10508 Switch用</v>
          </cell>
          <cell r="C7034" t="str">
            <v>【ファウンデーションケア】</v>
          </cell>
        </row>
        <row r="7035">
          <cell r="A7035" t="str">
            <v>U3PJ4E</v>
          </cell>
          <cell r="B7035" t="str">
            <v>FC 24x7 1年 Redundant Power Supply用</v>
          </cell>
          <cell r="C7035" t="str">
            <v>【ファウンデーションケア】</v>
          </cell>
        </row>
        <row r="7036">
          <cell r="A7036" t="str">
            <v>U3PL7E</v>
          </cell>
          <cell r="B7036" t="str">
            <v>FC 24x7 1年 MSR930 Router用</v>
          </cell>
          <cell r="C7036" t="str">
            <v>【ファウンデーションケア】</v>
          </cell>
        </row>
        <row r="7037">
          <cell r="A7037" t="str">
            <v>U3PL9E</v>
          </cell>
          <cell r="B7037" t="str">
            <v>FC 24x7 1年 MSR2003 Router用</v>
          </cell>
          <cell r="C7037" t="str">
            <v>【ファウンデーションケア】</v>
          </cell>
        </row>
        <row r="7038">
          <cell r="A7038" t="str">
            <v>U3PM4E</v>
          </cell>
          <cell r="B7038" t="str">
            <v>FC 24x7 1年 2915/2615 Switch用</v>
          </cell>
          <cell r="C7038" t="str">
            <v>【ファウンデーションケア】</v>
          </cell>
        </row>
        <row r="7039">
          <cell r="A7039" t="str">
            <v>U3PM6E</v>
          </cell>
          <cell r="B7039" t="str">
            <v>FC 24x7 1年 3100 Switch用</v>
          </cell>
          <cell r="C7039" t="str">
            <v>【ファウンデーションケア】</v>
          </cell>
        </row>
        <row r="7040">
          <cell r="A7040" t="str">
            <v>U3PN5E</v>
          </cell>
          <cell r="B7040" t="str">
            <v>FC 24x7 1年 5120-16/24/48 Switch A用</v>
          </cell>
          <cell r="C7040" t="str">
            <v>【ファウンデーションケア】</v>
          </cell>
        </row>
        <row r="7041">
          <cell r="A7041" t="str">
            <v>U3PN7E</v>
          </cell>
          <cell r="B7041" t="str">
            <v>FC 24x7 1年 3600 Switch用</v>
          </cell>
          <cell r="C7041" t="str">
            <v>【ファウンデーションケア】</v>
          </cell>
        </row>
        <row r="7042">
          <cell r="A7042" t="str">
            <v>U3PP5E</v>
          </cell>
          <cell r="B7042" t="str">
            <v>FC 24x7 1年 MSR3012 Router用</v>
          </cell>
          <cell r="C7042" t="str">
            <v>【ファウンデーションケア】</v>
          </cell>
        </row>
        <row r="7043">
          <cell r="A7043" t="str">
            <v>U3PQ1E</v>
          </cell>
          <cell r="B7043" t="str">
            <v>FC 24x7 1年 MSR3024 Router用</v>
          </cell>
          <cell r="C7043" t="str">
            <v>【ファウンデーションケア】</v>
          </cell>
        </row>
        <row r="7044">
          <cell r="A7044" t="str">
            <v>U3PR0E</v>
          </cell>
          <cell r="B7044" t="str">
            <v>FC 24x7 1年 MSR3044 Router用</v>
          </cell>
          <cell r="C7044" t="str">
            <v>【ファウンデーションケア】</v>
          </cell>
        </row>
        <row r="7045">
          <cell r="A7045" t="str">
            <v>U3PR2E</v>
          </cell>
          <cell r="B7045" t="str">
            <v>FC 24x7 1年 MSR3064 Router用</v>
          </cell>
          <cell r="C7045" t="str">
            <v>【ファウンデーションケア】</v>
          </cell>
        </row>
        <row r="7046">
          <cell r="A7046" t="str">
            <v>U3PR3E</v>
          </cell>
          <cell r="B7046" t="str">
            <v>FC 24x7 1年 3800 Switch用</v>
          </cell>
          <cell r="C7046" t="str">
            <v>【ファウンデーションケア】</v>
          </cell>
        </row>
        <row r="7047">
          <cell r="A7047" t="str">
            <v>U3PR4E</v>
          </cell>
          <cell r="B7047" t="str">
            <v>FC 24x7 1年 5500-24 EI Switch用</v>
          </cell>
          <cell r="C7047" t="str">
            <v>【ファウンデーションケア】</v>
          </cell>
        </row>
        <row r="7048">
          <cell r="A7048" t="str">
            <v>U3PR7E</v>
          </cell>
          <cell r="B7048" t="str">
            <v>FC 24x7 1年 5500-24 HI Switch用</v>
          </cell>
          <cell r="C7048" t="str">
            <v>【ファウンデーションケア】</v>
          </cell>
        </row>
        <row r="7049">
          <cell r="A7049" t="str">
            <v>U3PR8E</v>
          </cell>
          <cell r="B7049" t="str">
            <v>FC 24x7 1年 5500-48 EI Switch用</v>
          </cell>
          <cell r="C7049" t="str">
            <v>【ファウンデーションケア】</v>
          </cell>
        </row>
        <row r="7050">
          <cell r="A7050" t="str">
            <v>U3PS0E</v>
          </cell>
          <cell r="B7050" t="str">
            <v>FC 24x7 1年 MSR4060 Router用</v>
          </cell>
          <cell r="C7050" t="str">
            <v>【ファウンデーションケア】</v>
          </cell>
        </row>
        <row r="7051">
          <cell r="A7051" t="str">
            <v>U3PS1E</v>
          </cell>
          <cell r="B7051" t="str">
            <v>FC 24x7 1年 5500-48 HI Switch用</v>
          </cell>
          <cell r="C7051" t="str">
            <v>【ファウンデーションケア】</v>
          </cell>
        </row>
        <row r="7052">
          <cell r="A7052" t="str">
            <v>U3PS5E</v>
          </cell>
          <cell r="B7052" t="str">
            <v>FC 24x7 1年 HSR6602 Router用</v>
          </cell>
          <cell r="C7052" t="str">
            <v>【ファウンデーションケア】</v>
          </cell>
        </row>
        <row r="7053">
          <cell r="A7053" t="str">
            <v>U3PS6E</v>
          </cell>
          <cell r="B7053" t="str">
            <v>FC 24x7 1年 MSR4080 Router用</v>
          </cell>
          <cell r="C7053" t="str">
            <v>【ファウンデーションケア】</v>
          </cell>
        </row>
        <row r="7054">
          <cell r="A7054" t="str">
            <v>U3PU6E</v>
          </cell>
          <cell r="B7054" t="str">
            <v>FC 24x7 1年 HSR6802 Router用</v>
          </cell>
          <cell r="C7054" t="str">
            <v>【ファウンデーションケア】</v>
          </cell>
        </row>
        <row r="7055">
          <cell r="A7055" t="str">
            <v>U3PU8E</v>
          </cell>
          <cell r="B7055" t="str">
            <v>FC 24x7 1年 HSR6804 Router用</v>
          </cell>
          <cell r="C7055" t="str">
            <v>【ファウンデーションケア】</v>
          </cell>
        </row>
        <row r="7056">
          <cell r="A7056" t="str">
            <v>U3PU9E</v>
          </cell>
          <cell r="B7056" t="str">
            <v>FC 24x7 1年 HSR6808 Router用</v>
          </cell>
          <cell r="C7056" t="str">
            <v>【ファウンデーションケア】</v>
          </cell>
        </row>
        <row r="7057">
          <cell r="A7057" t="str">
            <v>U3PV1E</v>
          </cell>
          <cell r="B7057" t="str">
            <v>FC 24x7 1年 10504 Switch用</v>
          </cell>
          <cell r="C7057" t="str">
            <v>【ファウンデーションケア】</v>
          </cell>
        </row>
        <row r="7058">
          <cell r="A7058" t="str">
            <v>U3PV2E</v>
          </cell>
          <cell r="B7058" t="str">
            <v>FC 24x7 1年 10508 Switch用</v>
          </cell>
          <cell r="C7058" t="str">
            <v>【ファウンデーションケア】</v>
          </cell>
        </row>
        <row r="7059">
          <cell r="A7059" t="str">
            <v>U3RW6PE</v>
          </cell>
          <cell r="B7059" t="str">
            <v>PW FC 24x7 1年 MSR20 Router用</v>
          </cell>
          <cell r="C7059" t="str">
            <v>【ファウンデーションケア】</v>
          </cell>
        </row>
        <row r="7060">
          <cell r="A7060" t="str">
            <v>U3RX6PE</v>
          </cell>
          <cell r="B7060" t="str">
            <v>PW FC 24x7 1年 7506 Switch用</v>
          </cell>
          <cell r="C7060" t="str">
            <v>【ファウンデーションケア】</v>
          </cell>
        </row>
        <row r="7061">
          <cell r="A7061" t="str">
            <v>U3RX7PE</v>
          </cell>
          <cell r="B7061" t="str">
            <v>PW FC 24x7 1年 10500/11900 VPN FW Mod</v>
          </cell>
          <cell r="C7061" t="str">
            <v>【ファウンデーションケア】</v>
          </cell>
        </row>
        <row r="7062">
          <cell r="A7062" t="str">
            <v>U3RX9PE</v>
          </cell>
          <cell r="B7062" t="str">
            <v>PW FC 24x7 1年 10512 Switch用</v>
          </cell>
          <cell r="C7062" t="str">
            <v>【ファウンデーションケア】</v>
          </cell>
        </row>
        <row r="7063">
          <cell r="A7063" t="str">
            <v>U3SE0E</v>
          </cell>
          <cell r="B7063" t="str">
            <v>FC Exchange 3年 MSR20 Router用</v>
          </cell>
          <cell r="C7063" t="str">
            <v>【ファウンデーションケア】</v>
          </cell>
        </row>
        <row r="7064">
          <cell r="A7064" t="str">
            <v>U3SQ5PE</v>
          </cell>
          <cell r="B7064" t="str">
            <v>PW FC Exchange 1年 MSR20 Router用</v>
          </cell>
          <cell r="C7064" t="str">
            <v>【ファウンデーションケア】</v>
          </cell>
        </row>
        <row r="7065">
          <cell r="A7065" t="str">
            <v>U3SR5PE</v>
          </cell>
          <cell r="B7065" t="str">
            <v>PW FC Exch 1年 7506 Switch用</v>
          </cell>
          <cell r="C7065" t="str">
            <v>【ファウンデーションケア】</v>
          </cell>
        </row>
        <row r="7066">
          <cell r="A7066" t="str">
            <v>U3TL5E</v>
          </cell>
          <cell r="B7066" t="str">
            <v>FC 24x7 1年 2620 Switch用</v>
          </cell>
          <cell r="C7066" t="str">
            <v>【ファウンデーションケア】</v>
          </cell>
        </row>
        <row r="7067">
          <cell r="A7067" t="str">
            <v>U3TL9E</v>
          </cell>
          <cell r="B7067" t="str">
            <v>FC 24x7 1年 MSR20 Router用</v>
          </cell>
          <cell r="C7067" t="str">
            <v>【ファウンデーションケア】</v>
          </cell>
        </row>
        <row r="7068">
          <cell r="A7068" t="str">
            <v>U3TN2E</v>
          </cell>
          <cell r="B7068" t="str">
            <v>FC 24x7 1年 5406 Switch(Prem Lic付)用</v>
          </cell>
          <cell r="C7068" t="str">
            <v>【ファウンデーションケア】</v>
          </cell>
        </row>
        <row r="7069">
          <cell r="A7069" t="str">
            <v>U3TN5E</v>
          </cell>
          <cell r="B7069" t="str">
            <v>FC 24x7 1年 8206 Switch(Prem Lic付)用</v>
          </cell>
          <cell r="C7069" t="str">
            <v>【ファウンデーションケア】</v>
          </cell>
        </row>
        <row r="7070">
          <cell r="A7070" t="str">
            <v>U3TN6E</v>
          </cell>
          <cell r="B7070" t="str">
            <v>FC 24x7 1年 5412 Switch(Prem Lic付)用</v>
          </cell>
          <cell r="C7070" t="str">
            <v>【ファウンデーションケア】</v>
          </cell>
        </row>
        <row r="7071">
          <cell r="A7071" t="str">
            <v>U3TN8E</v>
          </cell>
          <cell r="B7071" t="str">
            <v>FC 24x7 1年 8212 Switch(Prem Lic付)用</v>
          </cell>
          <cell r="C7071" t="str">
            <v>【ファウンデーションケア】</v>
          </cell>
        </row>
        <row r="7072">
          <cell r="A7072" t="str">
            <v>U3TP1E</v>
          </cell>
          <cell r="B7072" t="str">
            <v>FC 24x7 1年 10500/11900 VPN FW Mod用</v>
          </cell>
          <cell r="C7072" t="str">
            <v>【ファウンデーションケア】</v>
          </cell>
        </row>
        <row r="7073">
          <cell r="A7073" t="str">
            <v>U3TP3E</v>
          </cell>
          <cell r="B7073" t="str">
            <v>FC 24x7 1年 10512 Switch用</v>
          </cell>
          <cell r="C7073" t="str">
            <v>【ファウンデーションケア】</v>
          </cell>
        </row>
        <row r="7074">
          <cell r="A7074" t="str">
            <v>U3TP9PE</v>
          </cell>
          <cell r="B7074" t="str">
            <v>更新用 FC 24x7 1年 2620 Switch用</v>
          </cell>
          <cell r="C7074" t="str">
            <v>【ファウンデーションケア】</v>
          </cell>
        </row>
        <row r="7075">
          <cell r="A7075" t="str">
            <v>U3TQ5PE</v>
          </cell>
          <cell r="B7075" t="str">
            <v>更新用 FC 24x7 1年 5500-24 SI Switch</v>
          </cell>
          <cell r="C7075" t="str">
            <v>【ファウンデーションケア】</v>
          </cell>
        </row>
        <row r="7076">
          <cell r="A7076" t="str">
            <v>U3TQ6PE</v>
          </cell>
          <cell r="B7076" t="str">
            <v>更新用 FC 24x7 1年 5500-48 SI Switch</v>
          </cell>
          <cell r="C7076" t="str">
            <v>【ファウンデーションケア】</v>
          </cell>
        </row>
        <row r="7077">
          <cell r="A7077" t="str">
            <v>U3TR1PE</v>
          </cell>
          <cell r="B7077" t="str">
            <v>更新用 FC 24x7 1年 5406(Prem Lic付)用</v>
          </cell>
          <cell r="C7077" t="str">
            <v>【ファウンデーションケア】</v>
          </cell>
        </row>
        <row r="7078">
          <cell r="A7078" t="str">
            <v>U3TR2PE</v>
          </cell>
          <cell r="B7078" t="str">
            <v>更新用 FC 24x7 1年 8206(Prem Lic付)用</v>
          </cell>
          <cell r="C7078" t="str">
            <v>【ファウンデーションケア】</v>
          </cell>
        </row>
        <row r="7079">
          <cell r="A7079" t="str">
            <v>U3TR3PE</v>
          </cell>
          <cell r="B7079" t="str">
            <v>更新用 FC 24x7 1年 5412(Prem Lic付)用</v>
          </cell>
          <cell r="C7079" t="str">
            <v>【ファウンデーションケア】</v>
          </cell>
        </row>
        <row r="7080">
          <cell r="A7080" t="str">
            <v>U3TR4PE</v>
          </cell>
          <cell r="B7080" t="str">
            <v>更新用 FC 24x7 1年 8212(Prem Lic付)用</v>
          </cell>
          <cell r="C7080" t="str">
            <v>【ファウンデーションケア】</v>
          </cell>
        </row>
        <row r="7081">
          <cell r="A7081" t="str">
            <v>U3UD7PE</v>
          </cell>
          <cell r="B7081" t="str">
            <v>PW FC Exch 1年 MSM710 Access Contr</v>
          </cell>
          <cell r="C7081" t="str">
            <v>【ファウンデーションケア】</v>
          </cell>
        </row>
        <row r="7082">
          <cell r="A7082" t="str">
            <v>U3UM8E</v>
          </cell>
          <cell r="B7082" t="str">
            <v>FC 9x5 3年 2620 Switch用</v>
          </cell>
          <cell r="C7082" t="str">
            <v>【ファウンデーションケア】</v>
          </cell>
        </row>
        <row r="7083">
          <cell r="A7083" t="str">
            <v>U3UN1E</v>
          </cell>
          <cell r="B7083" t="str">
            <v>FC 9x5 3年 MSR20 Router用</v>
          </cell>
          <cell r="C7083" t="str">
            <v>【ファウンデーションケア】</v>
          </cell>
        </row>
        <row r="7084">
          <cell r="A7084" t="str">
            <v>U3UP2E</v>
          </cell>
          <cell r="B7084" t="str">
            <v>FC 9x5 3年 5406 Switch(Prem Lic付)用</v>
          </cell>
          <cell r="C7084" t="str">
            <v>【ファウンデーションケア】</v>
          </cell>
        </row>
        <row r="7085">
          <cell r="A7085" t="str">
            <v>U3UP3E</v>
          </cell>
          <cell r="B7085" t="str">
            <v>FC 9x5 3年 8206 Switch(Prem Lic付)用</v>
          </cell>
          <cell r="C7085" t="str">
            <v>【ファウンデーションケア】</v>
          </cell>
        </row>
        <row r="7086">
          <cell r="A7086" t="str">
            <v>U3UP4E</v>
          </cell>
          <cell r="B7086" t="str">
            <v>FC 9x5 3年 5412 Switch(Prem Lic付)用</v>
          </cell>
          <cell r="C7086" t="str">
            <v>【ファウンデーションケア】</v>
          </cell>
        </row>
        <row r="7087">
          <cell r="A7087" t="str">
            <v>U3UP5E</v>
          </cell>
          <cell r="B7087" t="str">
            <v>FC 9x5 3年 8212 Switch(Prem Lic付)用</v>
          </cell>
          <cell r="C7087" t="str">
            <v>【ファウンデーションケア】</v>
          </cell>
        </row>
        <row r="7088">
          <cell r="A7088" t="str">
            <v>U3UP8E</v>
          </cell>
          <cell r="B7088" t="str">
            <v>FC 9x5 3年 10500/11900 VPN FW Mod用</v>
          </cell>
          <cell r="C7088" t="str">
            <v>【ファウンデーションケア】</v>
          </cell>
        </row>
        <row r="7089">
          <cell r="A7089" t="str">
            <v>U3UP9E</v>
          </cell>
          <cell r="B7089" t="str">
            <v>FC 9x5 3年 10512 Switch用</v>
          </cell>
          <cell r="C7089" t="str">
            <v>【ファウンデーションケア】</v>
          </cell>
        </row>
        <row r="7090">
          <cell r="A7090" t="str">
            <v>U3UR0E</v>
          </cell>
          <cell r="B7090" t="str">
            <v>FC 9x5 4年 2620 Switch用</v>
          </cell>
          <cell r="C7090" t="str">
            <v>【ファウンデーションケア】</v>
          </cell>
        </row>
        <row r="7091">
          <cell r="A7091" t="str">
            <v>U3UR3E</v>
          </cell>
          <cell r="B7091" t="str">
            <v>FC 9x5 4年 MSR20 Router用</v>
          </cell>
          <cell r="C7091" t="str">
            <v>【ファウンデーションケア】</v>
          </cell>
        </row>
        <row r="7092">
          <cell r="A7092" t="str">
            <v>U3US3E</v>
          </cell>
          <cell r="B7092" t="str">
            <v>FC 9x5 4年 5406 Switch(Prem Lic付)用</v>
          </cell>
          <cell r="C7092" t="str">
            <v>【ファウンデーションケア】</v>
          </cell>
        </row>
        <row r="7093">
          <cell r="A7093" t="str">
            <v>U3US5E</v>
          </cell>
          <cell r="B7093" t="str">
            <v>FC 9x5 4年 8206 Switch(Prem Lic付)用</v>
          </cell>
          <cell r="C7093" t="str">
            <v>【ファウンデーションケア】</v>
          </cell>
        </row>
        <row r="7094">
          <cell r="A7094" t="str">
            <v>U3US6E</v>
          </cell>
          <cell r="B7094" t="str">
            <v>FC 9x5 4年 5412 Switch(Prem Lic付)用</v>
          </cell>
          <cell r="C7094" t="str">
            <v>【ファウンデーションケア】</v>
          </cell>
        </row>
        <row r="7095">
          <cell r="A7095" t="str">
            <v>U3US7E</v>
          </cell>
          <cell r="B7095" t="str">
            <v>FC 9x5 4年 8212 Switch(Prem Lic付)用</v>
          </cell>
          <cell r="C7095" t="str">
            <v>【ファウンデーションケア】</v>
          </cell>
        </row>
        <row r="7096">
          <cell r="A7096" t="str">
            <v>U3UT0E</v>
          </cell>
          <cell r="B7096" t="str">
            <v>FC 9x5 4年 10500/11900 VPN FW Mod用</v>
          </cell>
          <cell r="C7096" t="str">
            <v>【ファウンデーションケア】</v>
          </cell>
        </row>
        <row r="7097">
          <cell r="A7097" t="str">
            <v>U3UT1E</v>
          </cell>
          <cell r="B7097" t="str">
            <v>FC 9x5 4年 10512 Switch用</v>
          </cell>
          <cell r="C7097" t="str">
            <v>【ファウンデーションケア】</v>
          </cell>
        </row>
        <row r="7098">
          <cell r="A7098" t="str">
            <v>U3UU2E</v>
          </cell>
          <cell r="B7098" t="str">
            <v>FC 9x5 5年 2620 Switch用</v>
          </cell>
          <cell r="C7098" t="str">
            <v>【ファウンデーションケア】</v>
          </cell>
        </row>
        <row r="7099">
          <cell r="A7099" t="str">
            <v>U3UU5E</v>
          </cell>
          <cell r="B7099" t="str">
            <v>FC 9x5 5年 MSR20 Router用</v>
          </cell>
          <cell r="C7099" t="str">
            <v>【ファウンデーションケア】</v>
          </cell>
        </row>
        <row r="7100">
          <cell r="A7100" t="str">
            <v>U3UV5E</v>
          </cell>
          <cell r="B7100" t="str">
            <v>FC 9x5 5年 5406 Switch(Prem Lic付)用</v>
          </cell>
          <cell r="C7100" t="str">
            <v>【ファウンデーションケア】</v>
          </cell>
        </row>
        <row r="7101">
          <cell r="A7101" t="str">
            <v>U3UV7E</v>
          </cell>
          <cell r="B7101" t="str">
            <v>FC 9x5 5年 8206 Switch(Prem Lic付)用</v>
          </cell>
          <cell r="C7101" t="str">
            <v>【ファウンデーションケア】</v>
          </cell>
        </row>
        <row r="7102">
          <cell r="A7102" t="str">
            <v>U3UV8E</v>
          </cell>
          <cell r="B7102" t="str">
            <v>FC 9x5 5年 5412 Switch(Prem Lic付)用</v>
          </cell>
          <cell r="C7102" t="str">
            <v>【ファウンデーションケア】</v>
          </cell>
        </row>
        <row r="7103">
          <cell r="A7103" t="str">
            <v>U3UV9E</v>
          </cell>
          <cell r="B7103" t="str">
            <v>FC 9x5 5年 8212 Switch(Prem Lic付)用</v>
          </cell>
          <cell r="C7103" t="str">
            <v>【ファウンデーションケア】</v>
          </cell>
        </row>
        <row r="7104">
          <cell r="A7104" t="str">
            <v>U3UW2E</v>
          </cell>
          <cell r="B7104" t="str">
            <v>FC 9x5 5年 10500/11900 VPN FW Mod用</v>
          </cell>
          <cell r="C7104" t="str">
            <v>【ファウンデーションケア】</v>
          </cell>
        </row>
        <row r="7105">
          <cell r="A7105" t="str">
            <v>U3UW3E</v>
          </cell>
          <cell r="B7105" t="str">
            <v>FC 9x5 5年 10512 Switch用</v>
          </cell>
          <cell r="C7105" t="str">
            <v>【ファウンデーションケア】</v>
          </cell>
        </row>
        <row r="7106">
          <cell r="A7106" t="str">
            <v>U3UW9PE</v>
          </cell>
          <cell r="B7106" t="str">
            <v>PW FC 9x5 1年 MSR20 Router用</v>
          </cell>
          <cell r="C7106" t="str">
            <v>【ファウンデーションケア】</v>
          </cell>
        </row>
        <row r="7107">
          <cell r="A7107" t="str">
            <v>U3UX4PE</v>
          </cell>
          <cell r="B7107" t="str">
            <v>PW FC 9x5 1年 7506 Switch用</v>
          </cell>
          <cell r="C7107" t="str">
            <v>【ファウンデーションケア】</v>
          </cell>
        </row>
        <row r="7108">
          <cell r="A7108" t="str">
            <v>U3UX5PE</v>
          </cell>
          <cell r="B7108" t="str">
            <v>PW FC 9x5 1年 10500/11900 VPN FW Mod</v>
          </cell>
          <cell r="C7108" t="str">
            <v>【ファウンデーションケア】</v>
          </cell>
        </row>
        <row r="7109">
          <cell r="A7109" t="str">
            <v>U3UX6PE</v>
          </cell>
          <cell r="B7109" t="str">
            <v>PW FC 9x5 1年 10512 Switch用</v>
          </cell>
          <cell r="C7109" t="str">
            <v>【ファウンデーションケア】</v>
          </cell>
        </row>
        <row r="7110">
          <cell r="A7110" t="str">
            <v>U3UY4PE</v>
          </cell>
          <cell r="B7110" t="str">
            <v>更新用 FC 9x5 1年 2620 Switch用</v>
          </cell>
          <cell r="C7110" t="str">
            <v>【ファウンデーションケア】</v>
          </cell>
        </row>
        <row r="7111">
          <cell r="A7111" t="str">
            <v>U3UY7PE</v>
          </cell>
          <cell r="B7111" t="str">
            <v>更新用 FC 9x5 1年 5500-24 SI Switch</v>
          </cell>
          <cell r="C7111" t="str">
            <v>【ファウンデーションケア】</v>
          </cell>
        </row>
        <row r="7112">
          <cell r="A7112" t="str">
            <v>U3UY8PE</v>
          </cell>
          <cell r="B7112" t="str">
            <v>更新用 FC 9x5 1年 5500-48 SI Switch</v>
          </cell>
          <cell r="C7112" t="str">
            <v>【ファウンデーションケア】</v>
          </cell>
        </row>
        <row r="7113">
          <cell r="A7113" t="str">
            <v>U3UZ2PE</v>
          </cell>
          <cell r="B7113" t="str">
            <v>更新用 FC 9x5 1年 5406(Prem Lic付)用</v>
          </cell>
          <cell r="C7113" t="str">
            <v>【ファウンデーションケア】</v>
          </cell>
        </row>
        <row r="7114">
          <cell r="A7114" t="str">
            <v>U3UZ3PE</v>
          </cell>
          <cell r="B7114" t="str">
            <v>更新用 FC 9x5 1年 8206(Prem Lic付)用</v>
          </cell>
          <cell r="C7114" t="str">
            <v>【ファウンデーションケア】</v>
          </cell>
        </row>
        <row r="7115">
          <cell r="A7115" t="str">
            <v>U3UZ4PE</v>
          </cell>
          <cell r="B7115" t="str">
            <v>更新用 FC 9x5 1年 5412(Prem Lic付)用</v>
          </cell>
          <cell r="C7115" t="str">
            <v>【ファウンデーションケア】</v>
          </cell>
        </row>
        <row r="7116">
          <cell r="A7116" t="str">
            <v>U3UZ5PE</v>
          </cell>
          <cell r="B7116" t="str">
            <v>更新用 FC 9x5 1年 8212(Prem Lic付)用</v>
          </cell>
          <cell r="C7116" t="str">
            <v>【ファウンデーションケア】</v>
          </cell>
        </row>
        <row r="7117">
          <cell r="A7117" t="str">
            <v>U3YM2E</v>
          </cell>
          <cell r="B7117" t="str">
            <v>FC 9x5 3年 Redundant Power Supply用</v>
          </cell>
          <cell r="C7117" t="str">
            <v>【ファウンデーションケア】</v>
          </cell>
        </row>
        <row r="7118">
          <cell r="A7118" t="str">
            <v>U3YM4E</v>
          </cell>
          <cell r="B7118" t="str">
            <v>FC 9x5 4年 Redundant Power Supply用</v>
          </cell>
          <cell r="C7118" t="str">
            <v>【ファウンデーションケア】</v>
          </cell>
        </row>
        <row r="7119">
          <cell r="A7119" t="str">
            <v>U3YM6E</v>
          </cell>
          <cell r="B7119" t="str">
            <v>FC 9x5 5年 Redundant Power Supply用</v>
          </cell>
          <cell r="C7119" t="str">
            <v>【ファウンデーションケア】</v>
          </cell>
        </row>
        <row r="7120">
          <cell r="A7120" t="str">
            <v>U3YP4E</v>
          </cell>
          <cell r="B7120" t="str">
            <v>FC 9x5 3年 MSR2003 Router用</v>
          </cell>
          <cell r="C7120" t="str">
            <v>【ファウンデーションケア】</v>
          </cell>
        </row>
        <row r="7121">
          <cell r="A7121" t="str">
            <v>U3YP8E</v>
          </cell>
          <cell r="B7121" t="str">
            <v>FC 9x5 3年 2915/2615 Switch用</v>
          </cell>
          <cell r="C7121" t="str">
            <v>【ファウンデーションケア】</v>
          </cell>
        </row>
        <row r="7122">
          <cell r="A7122" t="str">
            <v>U3YP9E</v>
          </cell>
          <cell r="B7122" t="str">
            <v>FC 9x5 3年 3100 Switch用</v>
          </cell>
          <cell r="C7122" t="str">
            <v>【ファウンデーションケア】</v>
          </cell>
        </row>
        <row r="7123">
          <cell r="A7123" t="str">
            <v>U3YR0E</v>
          </cell>
          <cell r="B7123" t="str">
            <v>FC 9x5 3年 5120-16/24/48 Switch A用</v>
          </cell>
          <cell r="C7123" t="str">
            <v>【ファウンデーションケア】</v>
          </cell>
        </row>
        <row r="7124">
          <cell r="A7124" t="str">
            <v>U3YR2E</v>
          </cell>
          <cell r="B7124" t="str">
            <v>FC 9x5 3年 3600 Switch用</v>
          </cell>
          <cell r="C7124" t="str">
            <v>【ファウンデーションケア】</v>
          </cell>
        </row>
        <row r="7125">
          <cell r="A7125" t="str">
            <v>U3YR7E</v>
          </cell>
          <cell r="B7125" t="str">
            <v>FC 9x5 3年 MSR3012 Router用</v>
          </cell>
          <cell r="C7125" t="str">
            <v>【ファウンデーションケア】</v>
          </cell>
        </row>
        <row r="7126">
          <cell r="A7126" t="str">
            <v>U3YS0E</v>
          </cell>
          <cell r="B7126" t="str">
            <v>FC 9x5 3年 3800 Switch用</v>
          </cell>
          <cell r="C7126" t="str">
            <v>【ファウンデーションケア】</v>
          </cell>
        </row>
        <row r="7127">
          <cell r="A7127" t="str">
            <v>U3YS3E</v>
          </cell>
          <cell r="B7127" t="str">
            <v>FC 9x5 3年 MSR3024 Router用</v>
          </cell>
          <cell r="C7127" t="str">
            <v>【ファウンデーションケア】</v>
          </cell>
        </row>
        <row r="7128">
          <cell r="A7128" t="str">
            <v>U3YT2E</v>
          </cell>
          <cell r="B7128" t="str">
            <v>FC 9x5 3年 MSR3044 Router用</v>
          </cell>
          <cell r="C7128" t="str">
            <v>【ファウンデーションケア】</v>
          </cell>
        </row>
        <row r="7129">
          <cell r="A7129" t="str">
            <v>U3YT3E</v>
          </cell>
          <cell r="B7129" t="str">
            <v>FC 9x5 3年 5500-24 EI Switch用</v>
          </cell>
          <cell r="C7129" t="str">
            <v>【ファウンデーションケア】</v>
          </cell>
        </row>
        <row r="7130">
          <cell r="A7130" t="str">
            <v>U3YT5E</v>
          </cell>
          <cell r="B7130" t="str">
            <v>FC 9x5 3年 MSR3064 Router用</v>
          </cell>
          <cell r="C7130" t="str">
            <v>【ファウンデーションケア】</v>
          </cell>
        </row>
        <row r="7131">
          <cell r="A7131" t="str">
            <v>U3YT7E</v>
          </cell>
          <cell r="B7131" t="str">
            <v>FC 9x5 3年 5500-24 HI Switch用</v>
          </cell>
          <cell r="C7131" t="str">
            <v>【ファウンデーションケア】</v>
          </cell>
        </row>
        <row r="7132">
          <cell r="A7132" t="str">
            <v>U3YT8E</v>
          </cell>
          <cell r="B7132" t="str">
            <v>FC 9x5 3年 5500-48 EI Switch用</v>
          </cell>
          <cell r="C7132" t="str">
            <v>【ファウンデーションケア】</v>
          </cell>
        </row>
        <row r="7133">
          <cell r="A7133" t="str">
            <v>U3YU0E</v>
          </cell>
          <cell r="B7133" t="str">
            <v>FC 9x5 3年 MSR4060 Router用</v>
          </cell>
          <cell r="C7133" t="str">
            <v>【ファウンデーションケア】</v>
          </cell>
        </row>
        <row r="7134">
          <cell r="A7134" t="str">
            <v>U3YU1E</v>
          </cell>
          <cell r="B7134" t="str">
            <v>FC 9x5 3年 5500-48 HI Switch用</v>
          </cell>
          <cell r="C7134" t="str">
            <v>【ファウンデーションケア】</v>
          </cell>
        </row>
        <row r="7135">
          <cell r="A7135" t="str">
            <v>U3YU4E</v>
          </cell>
          <cell r="B7135" t="str">
            <v>FC 9x5 3年 MSR4080 Router用</v>
          </cell>
          <cell r="C7135" t="str">
            <v>【ファウンデーションケア】</v>
          </cell>
        </row>
        <row r="7136">
          <cell r="A7136" t="str">
            <v>U3YU6E</v>
          </cell>
          <cell r="B7136" t="str">
            <v>FC 9x5 3年 HSR6602 Router用</v>
          </cell>
          <cell r="C7136" t="str">
            <v>【ファウンデーションケア】</v>
          </cell>
        </row>
        <row r="7137">
          <cell r="A7137" t="str">
            <v>U3YV8E</v>
          </cell>
          <cell r="B7137" t="str">
            <v>FC 9x5 3年 HSR6802 Router用</v>
          </cell>
          <cell r="C7137" t="str">
            <v>【ファウンデーションケア】</v>
          </cell>
        </row>
        <row r="7138">
          <cell r="A7138" t="str">
            <v>U3YV9E</v>
          </cell>
          <cell r="B7138" t="str">
            <v>FC 9x5 3年 HSR6804 Router用</v>
          </cell>
          <cell r="C7138" t="str">
            <v>【ファウンデーションケア】</v>
          </cell>
        </row>
        <row r="7139">
          <cell r="A7139" t="str">
            <v>U3YW0E</v>
          </cell>
          <cell r="B7139" t="str">
            <v>FC 9x5 3年 HSR6808 Router用</v>
          </cell>
          <cell r="C7139" t="str">
            <v>【ファウンデーションケア】</v>
          </cell>
        </row>
        <row r="7140">
          <cell r="A7140" t="str">
            <v>U3YW3E</v>
          </cell>
          <cell r="B7140" t="str">
            <v>FC 9x5 3年 10504 Switch用</v>
          </cell>
          <cell r="C7140" t="str">
            <v>【ファウンデーションケア】</v>
          </cell>
        </row>
        <row r="7141">
          <cell r="A7141" t="str">
            <v>U3YW5E</v>
          </cell>
          <cell r="B7141" t="str">
            <v>FC 9x5 3年 10508 Switch用</v>
          </cell>
          <cell r="C7141" t="str">
            <v>【ファウンデーションケア】</v>
          </cell>
        </row>
        <row r="7142">
          <cell r="A7142" t="str">
            <v>U3YY7E</v>
          </cell>
          <cell r="B7142" t="str">
            <v>FC 9x5 4年 MSR930 Router用</v>
          </cell>
          <cell r="C7142" t="str">
            <v>【ファウンデーションケア】</v>
          </cell>
        </row>
        <row r="7143">
          <cell r="A7143" t="str">
            <v>U3YY9E</v>
          </cell>
          <cell r="B7143" t="str">
            <v>FC 9x5 4年 MSR2003 Router用</v>
          </cell>
          <cell r="C7143" t="str">
            <v>【ファウンデーションケア】</v>
          </cell>
        </row>
        <row r="7144">
          <cell r="A7144" t="str">
            <v>U3YZ1E</v>
          </cell>
          <cell r="B7144" t="str">
            <v>FC 9x5 4年 2915/2615 Switch用</v>
          </cell>
          <cell r="C7144" t="str">
            <v>【ファウンデーションケア】</v>
          </cell>
        </row>
        <row r="7145">
          <cell r="A7145" t="str">
            <v>U3YZ4E</v>
          </cell>
          <cell r="B7145" t="str">
            <v>FC 9x5 4年 3100 Switch用</v>
          </cell>
          <cell r="C7145" t="str">
            <v>【ファウンデーションケア】</v>
          </cell>
        </row>
        <row r="7146">
          <cell r="A7146" t="str">
            <v>U3ZA0E</v>
          </cell>
          <cell r="B7146" t="str">
            <v>FC 9x5 4年 5120/16/24/48 Switch A用</v>
          </cell>
          <cell r="C7146" t="str">
            <v>【ファウンデーションケア】</v>
          </cell>
        </row>
        <row r="7147">
          <cell r="A7147" t="str">
            <v>U3ZA2E</v>
          </cell>
          <cell r="B7147" t="str">
            <v>FC 9x5 4年 3600 Switch用</v>
          </cell>
          <cell r="C7147" t="str">
            <v>【ファウンデーションケア】</v>
          </cell>
        </row>
        <row r="7148">
          <cell r="A7148" t="str">
            <v>U3ZB1E</v>
          </cell>
          <cell r="B7148" t="str">
            <v>FC 9x5 4年 MSR3012 Router用</v>
          </cell>
          <cell r="C7148" t="str">
            <v>【ファウンデーションケア】</v>
          </cell>
        </row>
        <row r="7149">
          <cell r="A7149" t="str">
            <v>U3ZB4E</v>
          </cell>
          <cell r="B7149" t="str">
            <v>FC 9x5 4年 3800 Switch用</v>
          </cell>
          <cell r="C7149" t="str">
            <v>【ファウンデーションケア】</v>
          </cell>
        </row>
        <row r="7150">
          <cell r="A7150" t="str">
            <v>U3ZB8E</v>
          </cell>
          <cell r="B7150" t="str">
            <v>FC 9x5 4年 MSR3024 Router用</v>
          </cell>
          <cell r="C7150" t="str">
            <v>【ファウンデーションケア】</v>
          </cell>
        </row>
        <row r="7151">
          <cell r="A7151" t="str">
            <v>U3ZC5E</v>
          </cell>
          <cell r="B7151" t="str">
            <v>FC 9x5 4年 MSR3044 Router用</v>
          </cell>
          <cell r="C7151" t="str">
            <v>【ファウンデーションケア】</v>
          </cell>
        </row>
        <row r="7152">
          <cell r="A7152" t="str">
            <v>U3ZC7E</v>
          </cell>
          <cell r="B7152" t="str">
            <v>FC 9x5 4年 5500-24 EI Switch用</v>
          </cell>
          <cell r="C7152" t="str">
            <v>【ファウンデーションケア】</v>
          </cell>
        </row>
        <row r="7153">
          <cell r="A7153" t="str">
            <v>U3ZC9E</v>
          </cell>
          <cell r="B7153" t="str">
            <v>FC 9x5 4年 MSR3064 Router用</v>
          </cell>
          <cell r="C7153" t="str">
            <v>【ファウンデーションケア】</v>
          </cell>
        </row>
        <row r="7154">
          <cell r="A7154" t="str">
            <v>U3ZD1E</v>
          </cell>
          <cell r="B7154" t="str">
            <v>FC 9x5 4年 5500-24 HI Switch用</v>
          </cell>
          <cell r="C7154" t="str">
            <v>【ファウンデーションケア】</v>
          </cell>
        </row>
        <row r="7155">
          <cell r="A7155" t="str">
            <v>U3ZD2E</v>
          </cell>
          <cell r="B7155" t="str">
            <v>FC 9x5 4年 5500-48 EI Switch用</v>
          </cell>
          <cell r="C7155" t="str">
            <v>【ファウンデーションケア】</v>
          </cell>
        </row>
        <row r="7156">
          <cell r="A7156" t="str">
            <v>U3ZD4E</v>
          </cell>
          <cell r="B7156" t="str">
            <v>FC 9x5 4年 MSR4060 Router用</v>
          </cell>
          <cell r="C7156" t="str">
            <v>【ファウンデーションケア】</v>
          </cell>
        </row>
        <row r="7157">
          <cell r="A7157" t="str">
            <v>U3ZD5E</v>
          </cell>
          <cell r="B7157" t="str">
            <v>FC 9x5 4年 5500-48 HI Switch用</v>
          </cell>
          <cell r="C7157" t="str">
            <v>【ファウンデーションケア】</v>
          </cell>
        </row>
        <row r="7158">
          <cell r="A7158" t="str">
            <v>U3ZD8E</v>
          </cell>
          <cell r="B7158" t="str">
            <v>FC 9x5 4年 MSR4080 Router用</v>
          </cell>
          <cell r="C7158" t="str">
            <v>【ファウンデーションケア】</v>
          </cell>
        </row>
        <row r="7159">
          <cell r="A7159" t="str">
            <v>U3ZE0E</v>
          </cell>
          <cell r="B7159" t="str">
            <v>FC 9x5 4年 HSR6602 Router用</v>
          </cell>
          <cell r="C7159" t="str">
            <v>【ファウンデーションケア】</v>
          </cell>
        </row>
        <row r="7160">
          <cell r="A7160" t="str">
            <v>U3ZF3E</v>
          </cell>
          <cell r="B7160" t="str">
            <v>FC 9x5 4年 HSR6802 Router用</v>
          </cell>
          <cell r="C7160" t="str">
            <v>【ファウンデーションケア】</v>
          </cell>
        </row>
        <row r="7161">
          <cell r="A7161" t="str">
            <v>U3ZF4E</v>
          </cell>
          <cell r="B7161" t="str">
            <v>FC 9x5 4年 HSR6804 Router用</v>
          </cell>
          <cell r="C7161" t="str">
            <v>【ファウンデーションケア】</v>
          </cell>
        </row>
        <row r="7162">
          <cell r="A7162" t="str">
            <v>U3ZF5E</v>
          </cell>
          <cell r="B7162" t="str">
            <v>FC 9x5 4年 HSR6808 Router用</v>
          </cell>
          <cell r="C7162" t="str">
            <v>【ファウンデーションケア】</v>
          </cell>
        </row>
        <row r="7163">
          <cell r="A7163" t="str">
            <v>U3ZF8E</v>
          </cell>
          <cell r="B7163" t="str">
            <v>FC 9x5 4年 10504 Switch用</v>
          </cell>
          <cell r="C7163" t="str">
            <v>【ファウンデーションケア】</v>
          </cell>
        </row>
        <row r="7164">
          <cell r="A7164" t="str">
            <v>U3ZG0E</v>
          </cell>
          <cell r="B7164" t="str">
            <v>FC 9x5 4年 10508 Switch用</v>
          </cell>
          <cell r="C7164" t="str">
            <v>【ファウンデーションケア】</v>
          </cell>
        </row>
        <row r="7165">
          <cell r="A7165" t="str">
            <v>U3ZJ2E</v>
          </cell>
          <cell r="B7165" t="str">
            <v>FC 9x5 5年 MSR930 Router用</v>
          </cell>
          <cell r="C7165" t="str">
            <v>【ファウンデーションケア】</v>
          </cell>
        </row>
        <row r="7166">
          <cell r="A7166" t="str">
            <v>U3ZJ4E</v>
          </cell>
          <cell r="B7166" t="str">
            <v>FC 9x5 5年 MSR2003 Router用</v>
          </cell>
          <cell r="C7166" t="str">
            <v>【ファウンデーションケア】</v>
          </cell>
        </row>
        <row r="7167">
          <cell r="A7167" t="str">
            <v>U3ZJ6E</v>
          </cell>
          <cell r="B7167" t="str">
            <v>FC 9x5 5年 2915/2615 Switch用</v>
          </cell>
          <cell r="C7167" t="str">
            <v>【ファウンデーションケア】</v>
          </cell>
        </row>
        <row r="7168">
          <cell r="A7168" t="str">
            <v>U3ZJ9E</v>
          </cell>
          <cell r="B7168" t="str">
            <v>FC 9x5 5年 3100 Switch用</v>
          </cell>
          <cell r="C7168" t="str">
            <v>【ファウンデーションケア】</v>
          </cell>
        </row>
        <row r="7169">
          <cell r="A7169" t="str">
            <v>U3ZK6E</v>
          </cell>
          <cell r="B7169" t="str">
            <v>FC 9x5 5年 5120/16/24/48 Switch A用</v>
          </cell>
          <cell r="C7169" t="str">
            <v>【ファウンデーションケア】</v>
          </cell>
        </row>
        <row r="7170">
          <cell r="A7170" t="str">
            <v>U3ZK8E</v>
          </cell>
          <cell r="B7170" t="str">
            <v>FC 9x5 5年 3600 Switch用</v>
          </cell>
          <cell r="C7170" t="str">
            <v>【ファウンデーションケア】</v>
          </cell>
        </row>
        <row r="7171">
          <cell r="A7171" t="str">
            <v>U3ZL7E</v>
          </cell>
          <cell r="B7171" t="str">
            <v>FC 9x5 5年 MSR3012 Router用</v>
          </cell>
          <cell r="C7171" t="str">
            <v>【ファウンデーションケア】</v>
          </cell>
        </row>
        <row r="7172">
          <cell r="A7172" t="str">
            <v>U3ZM0E</v>
          </cell>
          <cell r="B7172" t="str">
            <v>FC 9x5 5年 3800 Switch用</v>
          </cell>
          <cell r="C7172" t="str">
            <v>【ファウンデーションケア】</v>
          </cell>
        </row>
        <row r="7173">
          <cell r="A7173" t="str">
            <v>U3ZM5E</v>
          </cell>
          <cell r="B7173" t="str">
            <v>FC 9x5 5年 MSR3024 Router用</v>
          </cell>
          <cell r="C7173" t="str">
            <v>【ファウンデーションケア】</v>
          </cell>
        </row>
        <row r="7174">
          <cell r="A7174" t="str">
            <v>U3ZN3E</v>
          </cell>
          <cell r="B7174" t="str">
            <v>FC 9x5 5年 MSR3044 Router用</v>
          </cell>
          <cell r="C7174" t="str">
            <v>【ファウンデーションケア】</v>
          </cell>
        </row>
        <row r="7175">
          <cell r="A7175" t="str">
            <v>U3ZN5E</v>
          </cell>
          <cell r="B7175" t="str">
            <v>FC 9x5 5年 5500-24 EI Switch用</v>
          </cell>
          <cell r="C7175" t="str">
            <v>【ファウンデーションケア】</v>
          </cell>
        </row>
        <row r="7176">
          <cell r="A7176" t="str">
            <v>U3ZN7E</v>
          </cell>
          <cell r="B7176" t="str">
            <v>FC 9x5 5年 MSR3064 Router用</v>
          </cell>
          <cell r="C7176" t="str">
            <v>【ファウンデーションケア】</v>
          </cell>
        </row>
        <row r="7177">
          <cell r="A7177" t="str">
            <v>U3ZN9E</v>
          </cell>
          <cell r="B7177" t="str">
            <v>FC 9x5 5年 5500-24 HI Switch用</v>
          </cell>
          <cell r="C7177" t="str">
            <v>【ファウンデーションケア】</v>
          </cell>
        </row>
        <row r="7178">
          <cell r="A7178" t="str">
            <v>U3ZP0E</v>
          </cell>
          <cell r="B7178" t="str">
            <v>FC 9x5 5年 5500-48 EI Switch用</v>
          </cell>
          <cell r="C7178" t="str">
            <v>【ファウンデーションケア】</v>
          </cell>
        </row>
        <row r="7179">
          <cell r="A7179" t="str">
            <v>U3ZP2E</v>
          </cell>
          <cell r="B7179" t="str">
            <v>FC 9x5 5年 MSR4060 Router用</v>
          </cell>
          <cell r="C7179" t="str">
            <v>【ファウンデーションケア】</v>
          </cell>
        </row>
        <row r="7180">
          <cell r="A7180" t="str">
            <v>U3ZP3E</v>
          </cell>
          <cell r="B7180" t="str">
            <v>FC 9x5 5年 5500-48 HI Switch用</v>
          </cell>
          <cell r="C7180" t="str">
            <v>【ファウンデーションケア】</v>
          </cell>
        </row>
        <row r="7181">
          <cell r="A7181" t="str">
            <v>U3ZP6E</v>
          </cell>
          <cell r="B7181" t="str">
            <v>FC 9x5 5年 MSR4080 Router用</v>
          </cell>
          <cell r="C7181" t="str">
            <v>【ファウンデーションケア】</v>
          </cell>
        </row>
        <row r="7182">
          <cell r="A7182" t="str">
            <v>U3ZP8E</v>
          </cell>
          <cell r="B7182" t="str">
            <v>FC 9x5 5年 HSR6602 Router用</v>
          </cell>
          <cell r="C7182" t="str">
            <v>【ファウンデーションケア】</v>
          </cell>
        </row>
        <row r="7183">
          <cell r="A7183" t="str">
            <v>U3ZR0E</v>
          </cell>
          <cell r="B7183" t="str">
            <v>FC 9x5 5年 HSR6802 Router用</v>
          </cell>
          <cell r="C7183" t="str">
            <v>【ファウンデーションケア】</v>
          </cell>
        </row>
        <row r="7184">
          <cell r="A7184" t="str">
            <v>U3ZR1E</v>
          </cell>
          <cell r="B7184" t="str">
            <v>FC 9x5 5年 HSR6804 Router用</v>
          </cell>
          <cell r="C7184" t="str">
            <v>【ファウンデーションケア】</v>
          </cell>
        </row>
        <row r="7185">
          <cell r="A7185" t="str">
            <v>U3ZR2E</v>
          </cell>
          <cell r="B7185" t="str">
            <v>FC 9x5 5年 HSR6808 Router用</v>
          </cell>
          <cell r="C7185" t="str">
            <v>【ファウンデーションケア】</v>
          </cell>
        </row>
        <row r="7186">
          <cell r="A7186" t="str">
            <v>U3ZR5E</v>
          </cell>
          <cell r="B7186" t="str">
            <v>FC 9x5 5年 10504 Switch用</v>
          </cell>
          <cell r="C7186" t="str">
            <v>【ファウンデーションケア】</v>
          </cell>
        </row>
        <row r="7187">
          <cell r="A7187" t="str">
            <v>U3ZR7E</v>
          </cell>
          <cell r="B7187" t="str">
            <v>FC 9x5 5年 10508 Switch用</v>
          </cell>
          <cell r="C7187" t="str">
            <v>【ファウンデーションケア】</v>
          </cell>
        </row>
        <row r="7188">
          <cell r="A7188" t="str">
            <v>U4BS6PE</v>
          </cell>
          <cell r="B7188" t="str">
            <v>PW FC 24x7 1年 MSR930 Router用</v>
          </cell>
          <cell r="C7188" t="str">
            <v>【ファウンデーションケア】</v>
          </cell>
        </row>
        <row r="7189">
          <cell r="A7189" t="str">
            <v>U4BS8PE</v>
          </cell>
          <cell r="B7189" t="str">
            <v>PW FC 24x7 1年 MSR2003 Router用</v>
          </cell>
          <cell r="C7189" t="str">
            <v>【ファウンデーションケア】</v>
          </cell>
        </row>
        <row r="7190">
          <cell r="A7190" t="str">
            <v>U4BT5PE</v>
          </cell>
          <cell r="B7190" t="str">
            <v>PW FC 24x7 1年 MSR3012 Router用</v>
          </cell>
          <cell r="C7190" t="str">
            <v>【ファウンデーションケア】</v>
          </cell>
        </row>
        <row r="7191">
          <cell r="A7191" t="str">
            <v>U4BT7PE</v>
          </cell>
          <cell r="B7191" t="str">
            <v>PW FC 24x7 1年 MSR3024 Router用</v>
          </cell>
          <cell r="C7191" t="str">
            <v>【ファウンデーションケア】</v>
          </cell>
        </row>
        <row r="7192">
          <cell r="A7192" t="str">
            <v>U4BT9PE</v>
          </cell>
          <cell r="B7192" t="str">
            <v>PW FC 24x7 1年 MSR3044 Router用</v>
          </cell>
          <cell r="C7192" t="str">
            <v>【ファウンデーションケア】</v>
          </cell>
        </row>
        <row r="7193">
          <cell r="A7193" t="str">
            <v>U4BV7PE</v>
          </cell>
          <cell r="B7193" t="str">
            <v>PW FC 24x7 1年 7510 Switch用</v>
          </cell>
          <cell r="C7193" t="str">
            <v>【ファウンデーションケア】</v>
          </cell>
        </row>
        <row r="7194">
          <cell r="A7194" t="str">
            <v>U4BV8PE</v>
          </cell>
          <cell r="B7194" t="str">
            <v>PW FC 24x7 1年 7502/7503 Switch用</v>
          </cell>
          <cell r="C7194" t="str">
            <v>【ファウンデーションケア】</v>
          </cell>
        </row>
        <row r="7195">
          <cell r="A7195" t="str">
            <v>U4BW1PE</v>
          </cell>
          <cell r="B7195" t="str">
            <v>PW FC 24x7 1年 10508 Switch用</v>
          </cell>
          <cell r="C7195" t="str">
            <v>【ファウンデーションケア】</v>
          </cell>
        </row>
        <row r="7196">
          <cell r="A7196" t="str">
            <v>U4BW2PE</v>
          </cell>
          <cell r="B7196" t="str">
            <v>PW FC 24x7 1年 10504 Switch用</v>
          </cell>
          <cell r="C7196" t="str">
            <v>【ファウンデーションケア】</v>
          </cell>
        </row>
        <row r="7197">
          <cell r="A7197" t="str">
            <v>U4BW5PE</v>
          </cell>
          <cell r="B7197" t="str">
            <v>PW FC 24x7 1年 HSR6602 Router用</v>
          </cell>
          <cell r="C7197" t="str">
            <v>【ファウンデーションケア】</v>
          </cell>
        </row>
        <row r="7198">
          <cell r="A7198" t="str">
            <v>U4BW6PE</v>
          </cell>
          <cell r="B7198" t="str">
            <v>PW FC 24x7 1年 HSR6802 Router用</v>
          </cell>
          <cell r="C7198" t="str">
            <v>【ファウンデーションケア】</v>
          </cell>
        </row>
        <row r="7199">
          <cell r="A7199" t="str">
            <v>U4BW7PE</v>
          </cell>
          <cell r="B7199" t="str">
            <v>PW FC 24x7 1年 HSR6804 Router用</v>
          </cell>
          <cell r="C7199" t="str">
            <v>【ファウンデーションケア】</v>
          </cell>
        </row>
        <row r="7200">
          <cell r="A7200" t="str">
            <v>U4BW8PE</v>
          </cell>
          <cell r="B7200" t="str">
            <v>PW FC 24x7 1年 HSR6808 Router用</v>
          </cell>
          <cell r="C7200" t="str">
            <v>【ファウンデーションケア】</v>
          </cell>
        </row>
        <row r="7201">
          <cell r="A7201" t="str">
            <v>U4BX2PE</v>
          </cell>
          <cell r="B7201" t="str">
            <v>PW FC 24x7 1年 MSR4080 Router用</v>
          </cell>
          <cell r="C7201" t="str">
            <v>【ファウンデーションケア】</v>
          </cell>
        </row>
        <row r="7202">
          <cell r="A7202" t="str">
            <v>U4BX3PE</v>
          </cell>
          <cell r="B7202" t="str">
            <v>PW FC 24x7 1年 MSR4060 Router用</v>
          </cell>
          <cell r="C7202" t="str">
            <v>【ファウンデーションケア】</v>
          </cell>
        </row>
        <row r="7203">
          <cell r="A7203" t="str">
            <v>U4BX4PE</v>
          </cell>
          <cell r="B7203" t="str">
            <v>PW FC 24x7 1年 MSR3064 Router用</v>
          </cell>
          <cell r="C7203" t="str">
            <v>【ファウンデーションケア】</v>
          </cell>
        </row>
        <row r="7204">
          <cell r="A7204" t="str">
            <v>U4CS5PE</v>
          </cell>
          <cell r="B7204" t="str">
            <v>PW FC Exch 1年 7502/7503 Switch用</v>
          </cell>
          <cell r="C7204" t="str">
            <v>【ファウンデーションケア】</v>
          </cell>
        </row>
        <row r="7205">
          <cell r="A7205" t="str">
            <v>U4CT8PE</v>
          </cell>
          <cell r="B7205" t="str">
            <v>PW FC Exch 1年 7510 Switch用</v>
          </cell>
          <cell r="C7205" t="str">
            <v>【ファウンデーションケア】</v>
          </cell>
        </row>
        <row r="7206">
          <cell r="A7206" t="str">
            <v>U4DC7PE</v>
          </cell>
          <cell r="B7206" t="str">
            <v>更新用 FC 24x7 1年 25xx/2610 Switch用</v>
          </cell>
          <cell r="C7206" t="str">
            <v>【ファウンデーションケア】</v>
          </cell>
        </row>
        <row r="7207">
          <cell r="A7207" t="str">
            <v>U4DC8PE</v>
          </cell>
          <cell r="B7207" t="str">
            <v>更新用 FC 24x7 1年 2915/2615 Switch用</v>
          </cell>
          <cell r="C7207" t="str">
            <v>【ファウンデーションケア】</v>
          </cell>
        </row>
        <row r="7208">
          <cell r="A7208" t="str">
            <v>U4DD0PE</v>
          </cell>
          <cell r="B7208" t="str">
            <v>更新用 FC 24x7 1年 3100 Switch用</v>
          </cell>
          <cell r="C7208" t="str">
            <v>【ファウンデーションケア】</v>
          </cell>
        </row>
        <row r="7209">
          <cell r="A7209" t="str">
            <v>U4DD2PE</v>
          </cell>
          <cell r="B7209" t="str">
            <v>更新用 FC 24x7 1年 4202 Switch用</v>
          </cell>
          <cell r="C7209" t="str">
            <v>【ファウンデーションケア】</v>
          </cell>
        </row>
        <row r="7210">
          <cell r="A7210" t="str">
            <v>U4DD5PE</v>
          </cell>
          <cell r="B7210" t="str">
            <v>更新用 FC 24x7 1年5120-16/24/48 Switch A</v>
          </cell>
          <cell r="C7210" t="str">
            <v>【ファウンデーションケア】</v>
          </cell>
        </row>
        <row r="7211">
          <cell r="A7211" t="str">
            <v>U4DD6PE</v>
          </cell>
          <cell r="B7211" t="str">
            <v>更新用 FC 24x7 1年 3600 Switch用</v>
          </cell>
          <cell r="C7211" t="str">
            <v>【ファウンデーションケア】</v>
          </cell>
        </row>
        <row r="7212">
          <cell r="A7212" t="str">
            <v>U4DD7PE</v>
          </cell>
          <cell r="B7212" t="str">
            <v>更新用 FC 24x7 1年 4204 Switch用</v>
          </cell>
          <cell r="C7212" t="str">
            <v>【ファウンデーションケア】</v>
          </cell>
        </row>
        <row r="7213">
          <cell r="A7213" t="str">
            <v>U4DD8PE</v>
          </cell>
          <cell r="B7213" t="str">
            <v>更新用 FC 24x7 1年 3500-24 Switch用</v>
          </cell>
          <cell r="C7213" t="str">
            <v>【ファウンデーションケア】</v>
          </cell>
        </row>
        <row r="7214">
          <cell r="A7214" t="str">
            <v>U4DD9PE</v>
          </cell>
          <cell r="B7214" t="str">
            <v>更新用 FC 24x7 1年 6200-24 Switch用</v>
          </cell>
          <cell r="C7214" t="str">
            <v>【ファウンデーションケア】</v>
          </cell>
        </row>
        <row r="7215">
          <cell r="A7215" t="str">
            <v>U4DE0PE</v>
          </cell>
          <cell r="B7215" t="str">
            <v>更新用 FC 24x7 1年 2810-24 Switch用</v>
          </cell>
          <cell r="C7215" t="str">
            <v>【ファウンデーションケア】</v>
          </cell>
        </row>
        <row r="7216">
          <cell r="A7216" t="str">
            <v>U4DE1PE</v>
          </cell>
          <cell r="B7216" t="str">
            <v>更新用 FC 24x7 1年 2910-24/2920-24</v>
          </cell>
          <cell r="C7216" t="str">
            <v>【ファウンデーションケア】</v>
          </cell>
        </row>
        <row r="7217">
          <cell r="A7217" t="str">
            <v>U4DE6PE</v>
          </cell>
          <cell r="B7217" t="str">
            <v>更新用 FC 24x7 1年 4208 Switch用</v>
          </cell>
          <cell r="C7217" t="str">
            <v>【ファウンデーションケア】</v>
          </cell>
        </row>
        <row r="7218">
          <cell r="A7218" t="str">
            <v>U4DE8PE</v>
          </cell>
          <cell r="B7218" t="str">
            <v>更新用 FC 24x7 1年 5412 Switch用</v>
          </cell>
          <cell r="C7218" t="str">
            <v>【ファウンデーションケア】</v>
          </cell>
        </row>
        <row r="7219">
          <cell r="A7219" t="str">
            <v>U4DE9PE</v>
          </cell>
          <cell r="B7219" t="str">
            <v>更新用 FC 24x7 1年 5500-48 EI Switch</v>
          </cell>
          <cell r="C7219" t="str">
            <v>【ファウンデーションケア】</v>
          </cell>
        </row>
        <row r="7220">
          <cell r="A7220" t="str">
            <v>U4DF1PE</v>
          </cell>
          <cell r="B7220" t="str">
            <v>更新用 FC 24x7 1年 5500-48 HI Switch</v>
          </cell>
          <cell r="C7220" t="str">
            <v>【ファウンデーションケア】</v>
          </cell>
        </row>
        <row r="7221">
          <cell r="A7221" t="str">
            <v>U4DF3PE</v>
          </cell>
          <cell r="B7221" t="str">
            <v>更新用 FC 24x7 1年 8212 Switch用</v>
          </cell>
          <cell r="C7221" t="str">
            <v>【ファウンデーションケア】</v>
          </cell>
        </row>
        <row r="7222">
          <cell r="A7222" t="str">
            <v>U4DF5PE</v>
          </cell>
          <cell r="B7222" t="str">
            <v>更新用 FC 24x7 1年 5406 Switch用</v>
          </cell>
          <cell r="C7222" t="str">
            <v>【ファウンデーションケア】</v>
          </cell>
        </row>
        <row r="7223">
          <cell r="A7223" t="str">
            <v>U4DF6PE</v>
          </cell>
          <cell r="B7223" t="str">
            <v>更新用 FC 24x7 1年 3500-48 Switch用</v>
          </cell>
          <cell r="C7223" t="str">
            <v>【ファウンデーションケア】</v>
          </cell>
        </row>
        <row r="7224">
          <cell r="A7224" t="str">
            <v>U4DF7PE</v>
          </cell>
          <cell r="B7224" t="str">
            <v>更新用 FC 24x7 1年 2810-48 Switch用</v>
          </cell>
          <cell r="C7224" t="str">
            <v>【ファウンデーションケア】</v>
          </cell>
        </row>
        <row r="7225">
          <cell r="A7225" t="str">
            <v>U4DF8PE</v>
          </cell>
          <cell r="B7225" t="str">
            <v>更新用 FC 24x7 1年 2910-48/2920-48</v>
          </cell>
          <cell r="C7225" t="str">
            <v>【ファウンデーションケア】</v>
          </cell>
        </row>
        <row r="7226">
          <cell r="A7226" t="str">
            <v>U4DG3PE</v>
          </cell>
          <cell r="B7226" t="str">
            <v>更新用 FC 24x7 1年 3800 Switch用</v>
          </cell>
          <cell r="C7226" t="str">
            <v>【ファウンデーションケア】</v>
          </cell>
        </row>
        <row r="7227">
          <cell r="A7227" t="str">
            <v>U4DG4PE</v>
          </cell>
          <cell r="B7227" t="str">
            <v>更新用 FC 24x7 1年 5500-24 EI Switch</v>
          </cell>
          <cell r="C7227" t="str">
            <v>【ファウンデーションケア】</v>
          </cell>
        </row>
        <row r="7228">
          <cell r="A7228" t="str">
            <v>U4DG6PE</v>
          </cell>
          <cell r="B7228" t="str">
            <v>更新用 FC 24x7 1年 5500-24 HI Switch</v>
          </cell>
          <cell r="C7228" t="str">
            <v>【ファウンデーションケア】</v>
          </cell>
        </row>
        <row r="7229">
          <cell r="A7229" t="str">
            <v>U4EK5PE</v>
          </cell>
          <cell r="B7229" t="str">
            <v>PW FC 9x5 1年 MSR930 Router用</v>
          </cell>
          <cell r="C7229" t="str">
            <v>【ファウンデーションケア】</v>
          </cell>
        </row>
        <row r="7230">
          <cell r="A7230" t="str">
            <v>U4EK7PE</v>
          </cell>
          <cell r="B7230" t="str">
            <v>PW FC 9x5 1年 MSR2003 Router用</v>
          </cell>
          <cell r="C7230" t="str">
            <v>【ファウンデーションケア】</v>
          </cell>
        </row>
        <row r="7231">
          <cell r="A7231" t="str">
            <v>U4EL2PE</v>
          </cell>
          <cell r="B7231" t="str">
            <v>PW FC 9x5 1年 MSR3012 Router用</v>
          </cell>
          <cell r="C7231" t="str">
            <v>【ファウンデーションケア】</v>
          </cell>
        </row>
        <row r="7232">
          <cell r="A7232" t="str">
            <v>U4EL5PE</v>
          </cell>
          <cell r="B7232" t="str">
            <v>PW FC 9x5 1年 MSR3024 Router用</v>
          </cell>
          <cell r="C7232" t="str">
            <v>【ファウンデーションケア】</v>
          </cell>
        </row>
        <row r="7233">
          <cell r="A7233" t="str">
            <v>U4EL7PE</v>
          </cell>
          <cell r="B7233" t="str">
            <v>PW FC 9x5 1年 MSR3044 Router用</v>
          </cell>
          <cell r="C7233" t="str">
            <v>【ファウンデーションケア】</v>
          </cell>
        </row>
        <row r="7234">
          <cell r="A7234" t="str">
            <v>U4EL8PE</v>
          </cell>
          <cell r="B7234" t="str">
            <v>PW FC 9x5 1年 MSR3064 Router用</v>
          </cell>
          <cell r="C7234" t="str">
            <v>【ファウンデーションケア】</v>
          </cell>
        </row>
        <row r="7235">
          <cell r="A7235" t="str">
            <v>U4EM0PE</v>
          </cell>
          <cell r="B7235" t="str">
            <v>PW FC 9x5 1年 MSR4080 Router用</v>
          </cell>
          <cell r="C7235" t="str">
            <v>【ファウンデーションケア】</v>
          </cell>
        </row>
        <row r="7236">
          <cell r="A7236" t="str">
            <v>U4EM3PE</v>
          </cell>
          <cell r="B7236" t="str">
            <v>PW FC 9x5 1年 7502/7503 Switch用</v>
          </cell>
          <cell r="C7236" t="str">
            <v>【ファウンデーションケア】</v>
          </cell>
        </row>
        <row r="7237">
          <cell r="A7237" t="str">
            <v>U4EM7PE</v>
          </cell>
          <cell r="B7237" t="str">
            <v>PW FC 9x5 1年 HSR6802 Router用</v>
          </cell>
          <cell r="C7237" t="str">
            <v>【ファウンデーションケア】</v>
          </cell>
        </row>
        <row r="7238">
          <cell r="A7238" t="str">
            <v>U4EN0PE</v>
          </cell>
          <cell r="B7238" t="str">
            <v>PW FC 9x5 1年 HSR6602 Router用</v>
          </cell>
          <cell r="C7238" t="str">
            <v>【ファウンデーションケア】</v>
          </cell>
        </row>
        <row r="7239">
          <cell r="A7239" t="str">
            <v>U4EP1PE</v>
          </cell>
          <cell r="B7239" t="str">
            <v>PW FC 9x5 1年 7510 Switch用</v>
          </cell>
          <cell r="C7239" t="str">
            <v>【ファウンデーションケア】</v>
          </cell>
        </row>
        <row r="7240">
          <cell r="A7240" t="str">
            <v>U4EP5PE</v>
          </cell>
          <cell r="B7240" t="str">
            <v>PW FC 9x5 1年 10508 Switch用</v>
          </cell>
          <cell r="C7240" t="str">
            <v>【ファウンデーションケア】</v>
          </cell>
        </row>
        <row r="7241">
          <cell r="A7241" t="str">
            <v>U4EP6PE</v>
          </cell>
          <cell r="B7241" t="str">
            <v>PW FC 9x5 1年 10504 Switch用</v>
          </cell>
          <cell r="C7241" t="str">
            <v>【ファウンデーションケア】</v>
          </cell>
        </row>
        <row r="7242">
          <cell r="A7242" t="str">
            <v>U4EP9PE</v>
          </cell>
          <cell r="B7242" t="str">
            <v>PW FC 9x5 1年 HSR6804 Router用</v>
          </cell>
          <cell r="C7242" t="str">
            <v>【ファウンデーションケア】</v>
          </cell>
        </row>
        <row r="7243">
          <cell r="A7243" t="str">
            <v>U4EQ0PE</v>
          </cell>
          <cell r="B7243" t="str">
            <v>PW FC 9x5 1年 HSR6808 Router用</v>
          </cell>
          <cell r="C7243" t="str">
            <v>【ファウンデーションケア】</v>
          </cell>
        </row>
        <row r="7244">
          <cell r="A7244" t="str">
            <v>U4EQ3PE</v>
          </cell>
          <cell r="B7244" t="str">
            <v>PW FC 9x5 1年 MSR4060 Router用</v>
          </cell>
          <cell r="C7244" t="str">
            <v>【ファウンデーションケア】</v>
          </cell>
        </row>
        <row r="7245">
          <cell r="A7245" t="str">
            <v>U4ES4PE</v>
          </cell>
          <cell r="B7245" t="str">
            <v>更新用 FC 9x5 1年 25xx/2610 Switch用</v>
          </cell>
          <cell r="C7245" t="str">
            <v>【ファウンデーションケア】</v>
          </cell>
        </row>
        <row r="7246">
          <cell r="A7246" t="str">
            <v>U4ES5PE</v>
          </cell>
          <cell r="B7246" t="str">
            <v>更新用 FC 9x5 1年 2915/2615 Switch用</v>
          </cell>
          <cell r="C7246" t="str">
            <v>【ファウンデーションケア】</v>
          </cell>
        </row>
        <row r="7247">
          <cell r="A7247" t="str">
            <v>U4ES8PE</v>
          </cell>
          <cell r="B7247" t="str">
            <v>更新用 FC 9x5 1年 4202 Switch用</v>
          </cell>
          <cell r="C7247" t="str">
            <v>【ファウンデーションケア】</v>
          </cell>
        </row>
        <row r="7248">
          <cell r="A7248" t="str">
            <v>U4ET2PE</v>
          </cell>
          <cell r="B7248" t="str">
            <v>更新用 FC 9x5 1年5120-16/24/48 Switch A</v>
          </cell>
          <cell r="C7248" t="str">
            <v>【ファウンデーションケア】</v>
          </cell>
        </row>
        <row r="7249">
          <cell r="A7249" t="str">
            <v>U4ET3PE</v>
          </cell>
          <cell r="B7249" t="str">
            <v>更新用 FC 9x5 1年 3600 Switch用</v>
          </cell>
          <cell r="C7249" t="str">
            <v>【ファウンデーションケア】</v>
          </cell>
        </row>
        <row r="7250">
          <cell r="A7250" t="str">
            <v>U4ET4PE</v>
          </cell>
          <cell r="B7250" t="str">
            <v>更新用 FC 9x5 1年 4204 Switch用</v>
          </cell>
          <cell r="C7250" t="str">
            <v>【ファウンデーションケア】</v>
          </cell>
        </row>
        <row r="7251">
          <cell r="A7251" t="str">
            <v>U4ET5PE</v>
          </cell>
          <cell r="B7251" t="str">
            <v>更新用 FC 9x5 1年 3500-24 Switch用</v>
          </cell>
          <cell r="C7251" t="str">
            <v>【ファウンデーションケア】</v>
          </cell>
        </row>
        <row r="7252">
          <cell r="A7252" t="str">
            <v>U4ET6PE</v>
          </cell>
          <cell r="B7252" t="str">
            <v>更新用 FC 9x5 1年 6200-24 Switch用</v>
          </cell>
          <cell r="C7252" t="str">
            <v>【ファウンデーションケア】</v>
          </cell>
        </row>
        <row r="7253">
          <cell r="A7253" t="str">
            <v>U4ET7PE</v>
          </cell>
          <cell r="B7253" t="str">
            <v>更新用 FC 9x5 1年 2810-24 Switch用</v>
          </cell>
          <cell r="C7253" t="str">
            <v>【ファウンデーションケア】</v>
          </cell>
        </row>
        <row r="7254">
          <cell r="A7254" t="str">
            <v>U4ET8PE</v>
          </cell>
          <cell r="B7254" t="str">
            <v>更新用 FC 9x5 1年 2910-24/2920-24</v>
          </cell>
          <cell r="C7254" t="str">
            <v>【ファウンデーションケア】</v>
          </cell>
        </row>
        <row r="7255">
          <cell r="A7255" t="str">
            <v>U4EU2PE</v>
          </cell>
          <cell r="B7255" t="str">
            <v>更新用 FC 9x5 1年 4208 Switch用</v>
          </cell>
          <cell r="C7255" t="str">
            <v>【ファウンデーションケア】</v>
          </cell>
        </row>
        <row r="7256">
          <cell r="A7256" t="str">
            <v>U4EU5PE</v>
          </cell>
          <cell r="B7256" t="str">
            <v>更新用 FC 9x5 1年 5412 Switch用</v>
          </cell>
          <cell r="C7256" t="str">
            <v>【ファウンデーションケア】</v>
          </cell>
        </row>
        <row r="7257">
          <cell r="A7257" t="str">
            <v>U4EU6PE</v>
          </cell>
          <cell r="B7257" t="str">
            <v>更新用 FC 9x5 1年 5500-24 HI Switch</v>
          </cell>
          <cell r="C7257" t="str">
            <v>【ファウンデーションケア】</v>
          </cell>
        </row>
        <row r="7258">
          <cell r="A7258" t="str">
            <v>U4EU7PE</v>
          </cell>
          <cell r="B7258" t="str">
            <v>更新用 FC 9x5 1年 5500-48 HI Switch</v>
          </cell>
          <cell r="C7258" t="str">
            <v>【ファウンデーションケア】</v>
          </cell>
        </row>
        <row r="7259">
          <cell r="A7259" t="str">
            <v>U4EU9PE</v>
          </cell>
          <cell r="B7259" t="str">
            <v>更新用 FC 9x5 1年 5406 Switch用</v>
          </cell>
          <cell r="C7259" t="str">
            <v>【ファウンデーションケア】</v>
          </cell>
        </row>
        <row r="7260">
          <cell r="A7260" t="str">
            <v>U4EV0PE</v>
          </cell>
          <cell r="B7260" t="str">
            <v>更新用 FC 9x5 1年 3500-48 Switch用</v>
          </cell>
          <cell r="C7260" t="str">
            <v>【ファウンデーションケア】</v>
          </cell>
        </row>
        <row r="7261">
          <cell r="A7261" t="str">
            <v>U4EV1PE</v>
          </cell>
          <cell r="B7261" t="str">
            <v>更新用 FC 9x5 1年 2810-48 Switch用</v>
          </cell>
          <cell r="C7261" t="str">
            <v>【ファウンデーションケア】</v>
          </cell>
        </row>
        <row r="7262">
          <cell r="A7262" t="str">
            <v>U4EV2PE</v>
          </cell>
          <cell r="B7262" t="str">
            <v>更新用 FC 9x5 1年 2910-48/2920-48</v>
          </cell>
          <cell r="C7262" t="str">
            <v>【ファウンデーションケア】</v>
          </cell>
        </row>
        <row r="7263">
          <cell r="A7263" t="str">
            <v>U4EV5PE</v>
          </cell>
          <cell r="B7263" t="str">
            <v>更新用 FC 9x5 1年 8212 Switch用</v>
          </cell>
          <cell r="C7263" t="str">
            <v>【ファウンデーションケア】</v>
          </cell>
        </row>
        <row r="7264">
          <cell r="A7264" t="str">
            <v>U4EV8PE</v>
          </cell>
          <cell r="B7264" t="str">
            <v>更新用 FC 9x5 1年 3100 Switch用</v>
          </cell>
          <cell r="C7264" t="str">
            <v>【ファウンデーションケア】</v>
          </cell>
        </row>
        <row r="7265">
          <cell r="A7265" t="str">
            <v>U4EW1PE</v>
          </cell>
          <cell r="B7265" t="str">
            <v>更新用 FC 9x5 1年 3800 Switch用</v>
          </cell>
          <cell r="C7265" t="str">
            <v>【ファウンデーションケア】</v>
          </cell>
        </row>
        <row r="7266">
          <cell r="A7266" t="str">
            <v>U4EW2PE</v>
          </cell>
          <cell r="B7266" t="str">
            <v>更新用 FC 9x5 1年 5500-24 EI Switch</v>
          </cell>
          <cell r="C7266" t="str">
            <v>【ファウンデーションケア】</v>
          </cell>
        </row>
        <row r="7267">
          <cell r="A7267" t="str">
            <v>U4EW3PE</v>
          </cell>
          <cell r="B7267" t="str">
            <v>更新用 FC 9x5 1年 5500-48 EI Switch</v>
          </cell>
          <cell r="C7267" t="str">
            <v>【ファウンデーションケア】</v>
          </cell>
        </row>
        <row r="7268">
          <cell r="A7268" t="str">
            <v>U4FN7PE</v>
          </cell>
          <cell r="B7268" t="str">
            <v>PW FC 24x7 1年 Redundant PowerSupply</v>
          </cell>
          <cell r="C7268" t="str">
            <v>【ファウンデーションケア】</v>
          </cell>
        </row>
        <row r="7269">
          <cell r="A7269" t="str">
            <v>U4FN9PE</v>
          </cell>
          <cell r="B7269" t="str">
            <v>PW FC 9x5 1年 Redundant PowerSupply</v>
          </cell>
          <cell r="C7269" t="str">
            <v>【ファウンデーションケア】</v>
          </cell>
        </row>
        <row r="7270">
          <cell r="A7270" t="str">
            <v>U4FP6PE</v>
          </cell>
          <cell r="B7270" t="str">
            <v>更新用 FC 9x5 1年 64xx Switch用</v>
          </cell>
          <cell r="C7270" t="str">
            <v>【ファウンデーションケア】</v>
          </cell>
        </row>
        <row r="7271">
          <cell r="A7271" t="str">
            <v>U4GJ8E</v>
          </cell>
          <cell r="B7271" t="str">
            <v>FC Exchange 3年 41xx IP Phone用</v>
          </cell>
          <cell r="C7271" t="str">
            <v>【ファウンデーションケア】</v>
          </cell>
        </row>
        <row r="7272">
          <cell r="A7272" t="str">
            <v>U4JK6E</v>
          </cell>
          <cell r="B7272" t="str">
            <v>FC 9x5 3年 MSR930 Router用</v>
          </cell>
          <cell r="C7272" t="str">
            <v>【ファウンデーションケア】</v>
          </cell>
        </row>
        <row r="7273">
          <cell r="A7273" t="str">
            <v>U4QM3E</v>
          </cell>
          <cell r="B7273" t="str">
            <v>FC 9x5 3年 MSR1003 Router用</v>
          </cell>
          <cell r="C7273" t="str">
            <v>【ファウンデーションケア】</v>
          </cell>
        </row>
        <row r="7274">
          <cell r="A7274" t="str">
            <v>U4QM4E</v>
          </cell>
          <cell r="B7274" t="str">
            <v>FC 24x7 3年 MSR1003 Router用</v>
          </cell>
          <cell r="C7274" t="str">
            <v>【ファウンデーションケア】</v>
          </cell>
        </row>
        <row r="7275">
          <cell r="A7275" t="str">
            <v>U4QN2E</v>
          </cell>
          <cell r="B7275" t="str">
            <v>FC 9x5 4年 MSR1003 Router用</v>
          </cell>
          <cell r="C7275" t="str">
            <v>【ファウンデーションケア】</v>
          </cell>
        </row>
        <row r="7276">
          <cell r="A7276" t="str">
            <v>U4QQ5E</v>
          </cell>
          <cell r="B7276" t="str">
            <v>FC 24x7 4年 MSR1003 Router用</v>
          </cell>
          <cell r="C7276" t="str">
            <v>【ファウンデーションケア】</v>
          </cell>
        </row>
        <row r="7277">
          <cell r="A7277" t="str">
            <v>U4QR3E</v>
          </cell>
          <cell r="B7277" t="str">
            <v>FC 9x5 5年 MSR1003 Router用</v>
          </cell>
          <cell r="C7277" t="str">
            <v>【ファウンデーションケア】</v>
          </cell>
        </row>
        <row r="7278">
          <cell r="A7278" t="str">
            <v>U4QR4E</v>
          </cell>
          <cell r="B7278" t="str">
            <v>FC 24x7 5年 MSR1003 Router用</v>
          </cell>
          <cell r="C7278" t="str">
            <v>【ファウンデーションケア】</v>
          </cell>
        </row>
        <row r="7279">
          <cell r="A7279" t="str">
            <v>U4QS3PE</v>
          </cell>
          <cell r="B7279" t="str">
            <v>PW FC 24x7 1年 MSR1003 Router用</v>
          </cell>
          <cell r="C7279" t="str">
            <v>【ファウンデーションケア】</v>
          </cell>
        </row>
        <row r="7280">
          <cell r="A7280" t="str">
            <v>U4UL3PE</v>
          </cell>
          <cell r="B7280" t="str">
            <v>更新用 FC 9x5 1年 5406R Switch用</v>
          </cell>
          <cell r="C7280" t="str">
            <v>【ファウンデーションケア】</v>
          </cell>
        </row>
        <row r="7281">
          <cell r="A7281" t="str">
            <v>U4UL5PE</v>
          </cell>
          <cell r="B7281" t="str">
            <v>更新用 FC 24x7 1年 5406R Switch用</v>
          </cell>
          <cell r="C7281" t="str">
            <v>【ファウンデーションケア】</v>
          </cell>
        </row>
        <row r="7282">
          <cell r="A7282" t="str">
            <v>U4US8PE</v>
          </cell>
          <cell r="B7282" t="str">
            <v>更新用 FC 9x5 1年 5412R Switch用</v>
          </cell>
          <cell r="C7282" t="str">
            <v>【ファウンデーションケア】</v>
          </cell>
        </row>
        <row r="7283">
          <cell r="A7283" t="str">
            <v>U4UT0PE</v>
          </cell>
          <cell r="B7283" t="str">
            <v>更新用 FC 24x7 1年 5412R Switch用</v>
          </cell>
          <cell r="C7283" t="str">
            <v>【ファウンデーションケア】</v>
          </cell>
        </row>
        <row r="7284">
          <cell r="A7284" t="str">
            <v>U6KF2E</v>
          </cell>
          <cell r="B7284" t="str">
            <v>FC 24x7 1年 5120-48G SI Switch B用</v>
          </cell>
          <cell r="C7284" t="str">
            <v>【ファウンデーションケア】</v>
          </cell>
        </row>
        <row r="7285">
          <cell r="A7285" t="str">
            <v>U6KG2E</v>
          </cell>
          <cell r="B7285" t="str">
            <v>FC 9x5 3年 5120-48G SI Switch B用</v>
          </cell>
          <cell r="C7285" t="str">
            <v>【ファウンデーションケア】</v>
          </cell>
        </row>
        <row r="7286">
          <cell r="A7286" t="str">
            <v>U6KG7E</v>
          </cell>
          <cell r="B7286" t="str">
            <v>FC 24x7 3年 5120-48G SI Switch B用</v>
          </cell>
          <cell r="C7286" t="str">
            <v>【ファウンデーションケア】</v>
          </cell>
        </row>
        <row r="7287">
          <cell r="A7287" t="str">
            <v>U6KJ5E</v>
          </cell>
          <cell r="B7287" t="str">
            <v>FC 9x5 4年 5120-48G SI Switch B用</v>
          </cell>
          <cell r="C7287" t="str">
            <v>【ファウンデーションケア】</v>
          </cell>
        </row>
        <row r="7288">
          <cell r="A7288" t="str">
            <v>U6KK0E</v>
          </cell>
          <cell r="B7288" t="str">
            <v>FC 24x7 4年 5120-48G SI Switch B用</v>
          </cell>
          <cell r="C7288" t="str">
            <v>【ファウンデーションケア】</v>
          </cell>
        </row>
        <row r="7289">
          <cell r="A7289" t="str">
            <v>U6KL8E</v>
          </cell>
          <cell r="B7289" t="str">
            <v>FC 9x5 5年 5120-48G SI Switch B用</v>
          </cell>
          <cell r="C7289" t="str">
            <v>【ファウンデーションケア】</v>
          </cell>
        </row>
        <row r="7290">
          <cell r="A7290" t="str">
            <v>U6KM3E</v>
          </cell>
          <cell r="B7290" t="str">
            <v>FC 24x7 5年 5120-48G SI Switch B用</v>
          </cell>
          <cell r="C7290" t="str">
            <v>【ファウンデーションケア】</v>
          </cell>
        </row>
        <row r="7291">
          <cell r="A7291" t="str">
            <v>U6KP1PE</v>
          </cell>
          <cell r="B7291" t="str">
            <v>更新用 FC 9x5 1年 5120-48G SI Switch B</v>
          </cell>
          <cell r="C7291" t="str">
            <v>【ファウンデーションケア】</v>
          </cell>
        </row>
        <row r="7292">
          <cell r="A7292" t="str">
            <v>U6KP3PE</v>
          </cell>
          <cell r="B7292" t="str">
            <v>更新用 FC 24x7 1年 5120-48G SI Switch B</v>
          </cell>
          <cell r="C7292" t="str">
            <v>【ファウンデーションケア】</v>
          </cell>
        </row>
        <row r="7293">
          <cell r="A7293" t="str">
            <v>U6KQ3E</v>
          </cell>
          <cell r="B7293" t="str">
            <v>FC 24x7 1年 5120-16G SI Switch B用</v>
          </cell>
          <cell r="C7293" t="str">
            <v>【ファウンデーションケア】</v>
          </cell>
        </row>
        <row r="7294">
          <cell r="A7294" t="str">
            <v>U6KR3E</v>
          </cell>
          <cell r="B7294" t="str">
            <v>FC 9x5 3年 5120-16G SI Switch B用</v>
          </cell>
          <cell r="C7294" t="str">
            <v>【ファウンデーションケア】</v>
          </cell>
        </row>
        <row r="7295">
          <cell r="A7295" t="str">
            <v>U6KR8E</v>
          </cell>
          <cell r="B7295" t="str">
            <v>FC 24x7 3年 5120-16G SI Switch B用</v>
          </cell>
          <cell r="C7295" t="str">
            <v>【ファウンデーションケア】</v>
          </cell>
        </row>
        <row r="7296">
          <cell r="A7296" t="str">
            <v>U6KT6E</v>
          </cell>
          <cell r="B7296" t="str">
            <v>FC 9x5 4年 5120-16G SI Switch B用</v>
          </cell>
          <cell r="C7296" t="str">
            <v>【ファウンデーションケア】</v>
          </cell>
        </row>
        <row r="7297">
          <cell r="A7297" t="str">
            <v>U6KU1E</v>
          </cell>
          <cell r="B7297" t="str">
            <v>FC 24x7 4年 5120-16G SI Switch B用</v>
          </cell>
          <cell r="C7297" t="str">
            <v>【ファウンデーションケア】</v>
          </cell>
        </row>
        <row r="7298">
          <cell r="A7298" t="str">
            <v>U6KV9E</v>
          </cell>
          <cell r="B7298" t="str">
            <v>FC 9x5 5年 5120-16G SI Switch B用</v>
          </cell>
          <cell r="C7298" t="str">
            <v>【ファウンデーションケア】</v>
          </cell>
        </row>
        <row r="7299">
          <cell r="A7299" t="str">
            <v>U6KW4E</v>
          </cell>
          <cell r="B7299" t="str">
            <v>FC 24x7 5年 5120-16G SI Switch B用</v>
          </cell>
          <cell r="C7299" t="str">
            <v>【ファウンデーションケア】</v>
          </cell>
        </row>
        <row r="7300">
          <cell r="A7300" t="str">
            <v>U6KY2PE</v>
          </cell>
          <cell r="B7300" t="str">
            <v>更新用 FC 9x5 1年 5120-16G SI Switch B</v>
          </cell>
          <cell r="C7300" t="str">
            <v>【ファウンデーションケア】</v>
          </cell>
        </row>
        <row r="7301">
          <cell r="A7301" t="str">
            <v>U6KY4PE</v>
          </cell>
          <cell r="B7301" t="str">
            <v>更新用 FC 24x7 1年 5120-16G SI Switch B</v>
          </cell>
          <cell r="C7301" t="str">
            <v>【ファウンデーションケア】</v>
          </cell>
        </row>
        <row r="7302">
          <cell r="A7302" t="str">
            <v>U6KZ4E</v>
          </cell>
          <cell r="B7302" t="str">
            <v>FC 24x7 1年 5120-24G SI Switch B用</v>
          </cell>
          <cell r="C7302" t="str">
            <v>【ファウンデーションケア】</v>
          </cell>
        </row>
        <row r="7303">
          <cell r="A7303" t="str">
            <v>U6LA4E</v>
          </cell>
          <cell r="B7303" t="str">
            <v>FC 9x5 3年 5120-24G SI Switch B用</v>
          </cell>
          <cell r="C7303" t="str">
            <v>【ファウンデーションケア】</v>
          </cell>
        </row>
        <row r="7304">
          <cell r="A7304" t="str">
            <v>U6LA9E</v>
          </cell>
          <cell r="B7304" t="str">
            <v>FC 24x7 3年 5120-24G SI Switch B用</v>
          </cell>
          <cell r="C7304" t="str">
            <v>【ファウンデーションケア】</v>
          </cell>
        </row>
        <row r="7305">
          <cell r="A7305" t="str">
            <v>U6LC7E</v>
          </cell>
          <cell r="B7305" t="str">
            <v>FC 9x5 4年 5120-24G SI Switch B用</v>
          </cell>
          <cell r="C7305" t="str">
            <v>【ファウンデーションケア】</v>
          </cell>
        </row>
        <row r="7306">
          <cell r="A7306" t="str">
            <v>U6LD2E</v>
          </cell>
          <cell r="B7306" t="str">
            <v>FC 24x7 4年 5120-24G SI Switch B用</v>
          </cell>
          <cell r="C7306" t="str">
            <v>【ファウンデーションケア】</v>
          </cell>
        </row>
        <row r="7307">
          <cell r="A7307" t="str">
            <v>U6LF0E</v>
          </cell>
          <cell r="B7307" t="str">
            <v>FC 9x5 5年 5120-24G SI Switch B用</v>
          </cell>
          <cell r="C7307" t="str">
            <v>【ファウンデーションケア】</v>
          </cell>
        </row>
        <row r="7308">
          <cell r="A7308" t="str">
            <v>U6LF5E</v>
          </cell>
          <cell r="B7308" t="str">
            <v>FC 24x7 5年 5120-24G SI Switch B用</v>
          </cell>
          <cell r="C7308" t="str">
            <v>【ファウンデーションケア】</v>
          </cell>
        </row>
        <row r="7309">
          <cell r="A7309" t="str">
            <v>U6LH3PE</v>
          </cell>
          <cell r="B7309" t="str">
            <v>更新用 FC 9x5 1年 5120-24G SI Switch B</v>
          </cell>
          <cell r="C7309" t="str">
            <v>【ファウンデーションケア】</v>
          </cell>
        </row>
        <row r="7310">
          <cell r="A7310" t="str">
            <v>U6LH5PE</v>
          </cell>
          <cell r="B7310" t="str">
            <v>更新用 FC 24x7 1年 5120-24G SI Switch B</v>
          </cell>
          <cell r="C7310" t="str">
            <v>【ファウンデーションケア】</v>
          </cell>
        </row>
        <row r="7311">
          <cell r="A7311" t="str">
            <v>U6LJ5E</v>
          </cell>
          <cell r="B7311" t="str">
            <v>FC 24x7 1年 5120-24G-PoE SI Switch B</v>
          </cell>
          <cell r="C7311" t="str">
            <v>【ファウンデーションケア】</v>
          </cell>
        </row>
        <row r="7312">
          <cell r="A7312" t="str">
            <v>U6LK5E</v>
          </cell>
          <cell r="B7312" t="str">
            <v>FC 9x5 3年 5120-24G-PoE SI Switch B</v>
          </cell>
          <cell r="C7312" t="str">
            <v>【ファウンデーションケア】</v>
          </cell>
        </row>
        <row r="7313">
          <cell r="A7313" t="str">
            <v>U6LL0E</v>
          </cell>
          <cell r="B7313" t="str">
            <v>FC 24x7 3年 5120-24G-PoE SI Switch B</v>
          </cell>
          <cell r="C7313" t="str">
            <v>【ファウンデーションケア】</v>
          </cell>
        </row>
        <row r="7314">
          <cell r="A7314" t="str">
            <v>U6LM8E</v>
          </cell>
          <cell r="B7314" t="str">
            <v>FC 9x5 4年 5120-24G-PoE SI Switch B</v>
          </cell>
          <cell r="C7314" t="str">
            <v>【ファウンデーションケア】</v>
          </cell>
        </row>
        <row r="7315">
          <cell r="A7315" t="str">
            <v>U6LN3E</v>
          </cell>
          <cell r="B7315" t="str">
            <v>FC 24x7 4年 5120-24G-PoE SI Switch B</v>
          </cell>
          <cell r="C7315" t="str">
            <v>【ファウンデーションケア】</v>
          </cell>
        </row>
        <row r="7316">
          <cell r="A7316" t="str">
            <v>U6SP7E</v>
          </cell>
          <cell r="B7316" t="str">
            <v>FC 9x5 5年 5120-8G-PoE SI Switch用</v>
          </cell>
          <cell r="C7316" t="str">
            <v>【ファウンデーションケア】</v>
          </cell>
        </row>
        <row r="7317">
          <cell r="A7317" t="str">
            <v>U6SQ2E</v>
          </cell>
          <cell r="B7317" t="str">
            <v>FC 24x7 5年 5120-8G-PoE SI Switch用</v>
          </cell>
          <cell r="C7317" t="str">
            <v>【ファウンデーションケア】</v>
          </cell>
        </row>
        <row r="7318">
          <cell r="A7318" t="str">
            <v>U6SS0PE</v>
          </cell>
          <cell r="B7318" t="str">
            <v>更新用 FC 9x5 1年 5120-8G-PoE SI Switch</v>
          </cell>
          <cell r="C7318" t="str">
            <v>【ファウンデーションケア】</v>
          </cell>
        </row>
        <row r="7319">
          <cell r="A7319" t="str">
            <v>U6SS2PE</v>
          </cell>
          <cell r="B7319" t="str">
            <v>更新用 FC 24x7 1年 5120-8G-PoE SI Switch</v>
          </cell>
          <cell r="C7319" t="str">
            <v>【ファウンデーションケア】</v>
          </cell>
        </row>
        <row r="7320">
          <cell r="A7320" t="str">
            <v>U6SS9E</v>
          </cell>
          <cell r="B7320" t="str">
            <v>FC 24x7 5年 5510-24G-SFP HI Switch</v>
          </cell>
          <cell r="C7320" t="str">
            <v>【ファウンデーションケア】</v>
          </cell>
        </row>
        <row r="7321">
          <cell r="A7321" t="str">
            <v>U6SU0PE</v>
          </cell>
          <cell r="B7321" t="str">
            <v>更新用FC 24x7 1年 5510-24G-SFP HI Switch</v>
          </cell>
          <cell r="C7321" t="str">
            <v>【ファウンデーションケア】</v>
          </cell>
        </row>
        <row r="7322">
          <cell r="A7322" t="str">
            <v>U6SU7E</v>
          </cell>
          <cell r="B7322" t="str">
            <v>FC 9x5 5年 5120-24G-PoE SI Switch B</v>
          </cell>
          <cell r="C7322" t="str">
            <v>【ファウンデーションケア】</v>
          </cell>
        </row>
        <row r="7323">
          <cell r="A7323" t="str">
            <v>U6SV0E</v>
          </cell>
          <cell r="B7323" t="str">
            <v>FC 24x7 5年 5120-24G-PoE SI Switch B</v>
          </cell>
          <cell r="C7323" t="str">
            <v>【ファウンデーションケア】</v>
          </cell>
        </row>
        <row r="7324">
          <cell r="A7324" t="str">
            <v>U6SW6E</v>
          </cell>
          <cell r="B7324" t="str">
            <v>FC 24x7 1年 5120-8G-PoE SI Switch用</v>
          </cell>
          <cell r="C7324" t="str">
            <v>【ファウンデーションケア】</v>
          </cell>
        </row>
        <row r="7325">
          <cell r="A7325" t="str">
            <v>U6SX6E</v>
          </cell>
          <cell r="B7325" t="str">
            <v>FC 9x5 3年 5120-8G-PoE SI Switch用</v>
          </cell>
          <cell r="C7325" t="str">
            <v>【ファウンデーションケア】</v>
          </cell>
        </row>
        <row r="7326">
          <cell r="A7326" t="str">
            <v>U6SY1E</v>
          </cell>
          <cell r="B7326" t="str">
            <v>FC 24x7 3年 5120-8G-PoE SI Switch用</v>
          </cell>
          <cell r="C7326" t="str">
            <v>【ファウンデーションケア】</v>
          </cell>
        </row>
        <row r="7327">
          <cell r="A7327" t="str">
            <v>U6TA5E</v>
          </cell>
          <cell r="B7327" t="str">
            <v>FC 9x5 4年 5130-24G-PoE HI Switch</v>
          </cell>
          <cell r="C7327" t="str">
            <v>【ファウンデーションケア】</v>
          </cell>
        </row>
        <row r="7328">
          <cell r="A7328" t="str">
            <v>U6TC3E</v>
          </cell>
          <cell r="B7328" t="str">
            <v>FC 24x7 1年 3810-16SFP Switch用</v>
          </cell>
          <cell r="C7328" t="str">
            <v>【ファウンデーションケア】</v>
          </cell>
        </row>
        <row r="7329">
          <cell r="A7329" t="str">
            <v>U6TD3E</v>
          </cell>
          <cell r="B7329" t="str">
            <v>FC 9x5 3年 3810-16SFP Switch用</v>
          </cell>
          <cell r="C7329" t="str">
            <v>【ファウンデーションケア】</v>
          </cell>
        </row>
        <row r="7330">
          <cell r="A7330" t="str">
            <v>U6TD8E</v>
          </cell>
          <cell r="B7330" t="str">
            <v>FC 24x7 3年 3810-16SFP Switch用</v>
          </cell>
          <cell r="C7330" t="str">
            <v>【ファウンデーションケア】</v>
          </cell>
        </row>
        <row r="7331">
          <cell r="A7331" t="str">
            <v>U6TF6E</v>
          </cell>
          <cell r="B7331" t="str">
            <v>FC 9x5 4年 3810-16SFP Switch用</v>
          </cell>
          <cell r="C7331" t="str">
            <v>【ファウンデーションケア】</v>
          </cell>
        </row>
        <row r="7332">
          <cell r="A7332" t="str">
            <v>U6TG1E</v>
          </cell>
          <cell r="B7332" t="str">
            <v>FC 24x7 4年 3810-16SFP Switch用</v>
          </cell>
          <cell r="C7332" t="str">
            <v>【ファウンデーションケア】</v>
          </cell>
        </row>
        <row r="7333">
          <cell r="A7333" t="str">
            <v>U6TH9E</v>
          </cell>
          <cell r="B7333" t="str">
            <v>FC 9x5 5年 3810-16SFP Switch用</v>
          </cell>
          <cell r="C7333" t="str">
            <v>【ファウンデーションケア】</v>
          </cell>
        </row>
        <row r="7334">
          <cell r="A7334" t="str">
            <v>U6TJ4E</v>
          </cell>
          <cell r="B7334" t="str">
            <v>FC 24x7 5年 3810-16SFP Switch用</v>
          </cell>
          <cell r="C7334" t="str">
            <v>【ファウンデーションケア】</v>
          </cell>
        </row>
        <row r="7335">
          <cell r="A7335" t="str">
            <v>U6TL2PE</v>
          </cell>
          <cell r="B7335" t="str">
            <v>更新用 FC 9x5 1年 3810-16SFP Switch用</v>
          </cell>
          <cell r="C7335" t="str">
            <v>【ファウンデーションケア】</v>
          </cell>
        </row>
        <row r="7336">
          <cell r="A7336" t="str">
            <v>U6TL4PE</v>
          </cell>
          <cell r="B7336" t="str">
            <v>更新用 FC 24x7 1年 3810-16SFP Switch用</v>
          </cell>
          <cell r="C7336" t="str">
            <v>【ファウンデーションケア】</v>
          </cell>
        </row>
        <row r="7337">
          <cell r="A7337" t="str">
            <v>U6TM4E</v>
          </cell>
          <cell r="B7337" t="str">
            <v>FC 24x7 1年 3810-40G Switch用</v>
          </cell>
          <cell r="C7337" t="str">
            <v>【ファウンデーションケア】</v>
          </cell>
        </row>
        <row r="7338">
          <cell r="A7338" t="str">
            <v>U6TN4E</v>
          </cell>
          <cell r="B7338" t="str">
            <v>FC 9x5 3年 3810-40G Switch用</v>
          </cell>
          <cell r="C7338" t="str">
            <v>【ファウンデーションケア】</v>
          </cell>
        </row>
        <row r="7339">
          <cell r="A7339" t="str">
            <v>U6TN9E</v>
          </cell>
          <cell r="B7339" t="str">
            <v>FC 24x7 3年 3810-40G Switch用</v>
          </cell>
          <cell r="C7339" t="str">
            <v>【ファウンデーションケア】</v>
          </cell>
        </row>
        <row r="7340">
          <cell r="A7340" t="str">
            <v>U6TQ7E</v>
          </cell>
          <cell r="B7340" t="str">
            <v>FC 9x5 4年 3810-40G Switch用</v>
          </cell>
          <cell r="C7340" t="str">
            <v>【ファウンデーションケア】</v>
          </cell>
        </row>
        <row r="7341">
          <cell r="A7341" t="str">
            <v>U6TR2E</v>
          </cell>
          <cell r="B7341" t="str">
            <v>FC 24x7 4年 3810-40G Switch用</v>
          </cell>
          <cell r="C7341" t="str">
            <v>【ファウンデーションケア】</v>
          </cell>
        </row>
        <row r="7342">
          <cell r="A7342" t="str">
            <v>U6TT0E</v>
          </cell>
          <cell r="B7342" t="str">
            <v>FC 9x5 5年 3810-40G Switch用</v>
          </cell>
          <cell r="C7342" t="str">
            <v>【ファウンデーションケア】</v>
          </cell>
        </row>
        <row r="7343">
          <cell r="A7343" t="str">
            <v>U6TT5E</v>
          </cell>
          <cell r="B7343" t="str">
            <v>FC 24x7 5年 3810-40G Switch用</v>
          </cell>
          <cell r="C7343" t="str">
            <v>【ファウンデーションケア】</v>
          </cell>
        </row>
        <row r="7344">
          <cell r="A7344" t="str">
            <v>U6TV3PE</v>
          </cell>
          <cell r="B7344" t="str">
            <v>更新用 FC 9x5 1年 3810-40G Switch用</v>
          </cell>
          <cell r="C7344" t="str">
            <v>【ファウンデーションケア】</v>
          </cell>
        </row>
        <row r="7345">
          <cell r="A7345" t="str">
            <v>U6TV5PE</v>
          </cell>
          <cell r="B7345" t="str">
            <v>更新用 FC 24x7 1年 3810-40G Switch用</v>
          </cell>
          <cell r="C7345" t="str">
            <v>【ファウンデーションケア】</v>
          </cell>
        </row>
        <row r="7346">
          <cell r="A7346" t="str">
            <v>U6TW5E</v>
          </cell>
          <cell r="B7346" t="str">
            <v>FC 24x7 1年 3810-24G Switch用</v>
          </cell>
          <cell r="C7346" t="str">
            <v>【ファウンデーションケア】</v>
          </cell>
        </row>
        <row r="7347">
          <cell r="A7347" t="str">
            <v>U6TX5E</v>
          </cell>
          <cell r="B7347" t="str">
            <v>FC 9x5 3年 3810-24G Switch用</v>
          </cell>
          <cell r="C7347" t="str">
            <v>【ファウンデーションケア】</v>
          </cell>
        </row>
        <row r="7348">
          <cell r="A7348" t="str">
            <v>U6TY0E</v>
          </cell>
          <cell r="B7348" t="str">
            <v>FC 24x7 3年 3810-24G Switch用</v>
          </cell>
          <cell r="C7348" t="str">
            <v>【ファウンデーションケア】</v>
          </cell>
        </row>
        <row r="7349">
          <cell r="A7349" t="str">
            <v>U7CG3E</v>
          </cell>
          <cell r="B7349" t="str">
            <v>FC 9x5 4年 3810-24G Switch用</v>
          </cell>
          <cell r="C7349" t="str">
            <v>【ファウンデーションケア】</v>
          </cell>
        </row>
        <row r="7350">
          <cell r="A7350" t="str">
            <v>U7CG8E</v>
          </cell>
          <cell r="B7350" t="str">
            <v>FC 24x7 4年 3810-24G Switch用</v>
          </cell>
          <cell r="C7350" t="str">
            <v>【ファウンデーションケア】</v>
          </cell>
        </row>
        <row r="7351">
          <cell r="A7351" t="str">
            <v>U7CJ6E</v>
          </cell>
          <cell r="B7351" t="str">
            <v>FC 9x5 5年 3810-24G Switch用</v>
          </cell>
          <cell r="C7351" t="str">
            <v>【ファウンデーションケア】</v>
          </cell>
        </row>
        <row r="7352">
          <cell r="A7352" t="str">
            <v>U7CK1E</v>
          </cell>
          <cell r="B7352" t="str">
            <v>FC 24x7 5年 3810-24G Switch用</v>
          </cell>
          <cell r="C7352" t="str">
            <v>【ファウンデーションケア】</v>
          </cell>
        </row>
        <row r="7353">
          <cell r="A7353" t="str">
            <v>U7CL9PE</v>
          </cell>
          <cell r="B7353" t="str">
            <v>更新用 FC 9x5 1年 3810-24G Switch用</v>
          </cell>
          <cell r="C7353" t="str">
            <v>【ファウンデーションケア】</v>
          </cell>
        </row>
        <row r="7354">
          <cell r="A7354" t="str">
            <v>U7CM1PE</v>
          </cell>
          <cell r="B7354" t="str">
            <v>更新用 FC 24x7 1年 3810-24G Switch用</v>
          </cell>
          <cell r="C7354" t="str">
            <v>【ファウンデーションケア】</v>
          </cell>
        </row>
        <row r="7355">
          <cell r="A7355" t="str">
            <v>U7CN1E</v>
          </cell>
          <cell r="B7355" t="str">
            <v>FC 24x7 1年 3810-48G Switch用</v>
          </cell>
          <cell r="C7355" t="str">
            <v>【ファウンデーションケア】</v>
          </cell>
        </row>
        <row r="7356">
          <cell r="A7356" t="str">
            <v>U7CP1E</v>
          </cell>
          <cell r="B7356" t="str">
            <v>FC 9x5 3年 3810-48G Switch用</v>
          </cell>
          <cell r="C7356" t="str">
            <v>【ファウンデーションケア】</v>
          </cell>
        </row>
        <row r="7357">
          <cell r="A7357" t="str">
            <v>U7CP6E</v>
          </cell>
          <cell r="B7357" t="str">
            <v>FC 24x7 3年 3810-48G Switch用</v>
          </cell>
          <cell r="C7357" t="str">
            <v>【ファウンデーションケア】</v>
          </cell>
        </row>
        <row r="7358">
          <cell r="A7358" t="str">
            <v>U7CR4E</v>
          </cell>
          <cell r="B7358" t="str">
            <v>FC 9x5 4年 3810-48G Switch用</v>
          </cell>
          <cell r="C7358" t="str">
            <v>【ファウンデーションケア】</v>
          </cell>
        </row>
        <row r="7359">
          <cell r="A7359" t="str">
            <v>U7CR9E</v>
          </cell>
          <cell r="B7359" t="str">
            <v>FC 24x7 4年 3810-48G Switch用</v>
          </cell>
          <cell r="C7359" t="str">
            <v>【ファウンデーションケア】</v>
          </cell>
        </row>
        <row r="7360">
          <cell r="A7360" t="str">
            <v>U7CT7E</v>
          </cell>
          <cell r="B7360" t="str">
            <v>FC 9x5 5年 3810-48G Switch用</v>
          </cell>
          <cell r="C7360" t="str">
            <v>【ファウンデーションケア】</v>
          </cell>
        </row>
        <row r="7361">
          <cell r="A7361" t="str">
            <v>U7CU2E</v>
          </cell>
          <cell r="B7361" t="str">
            <v>FC 24x7 5年 3810-48G Switch用</v>
          </cell>
          <cell r="C7361" t="str">
            <v>【ファウンデーションケア】</v>
          </cell>
        </row>
        <row r="7362">
          <cell r="A7362" t="str">
            <v>U7CW0PE</v>
          </cell>
          <cell r="B7362" t="str">
            <v>更新用 FC 9x5 1年 3810-48G Switch用</v>
          </cell>
          <cell r="C7362" t="str">
            <v>【ファウンデーションケア】</v>
          </cell>
        </row>
        <row r="7363">
          <cell r="A7363" t="str">
            <v>U7CW2PE</v>
          </cell>
          <cell r="B7363" t="str">
            <v>更新用 FC 24x7 1年 3810-48G Switch用</v>
          </cell>
          <cell r="C7363" t="str">
            <v>【ファウンデーションケア】</v>
          </cell>
        </row>
        <row r="7364">
          <cell r="A7364" t="str">
            <v>U7CX2E</v>
          </cell>
          <cell r="B7364" t="str">
            <v>FC 24x7 1年 3810-24G-PoE Switch用</v>
          </cell>
          <cell r="C7364" t="str">
            <v>【ファウンデーションケア】</v>
          </cell>
        </row>
        <row r="7365">
          <cell r="A7365" t="str">
            <v>U7CY2E</v>
          </cell>
          <cell r="B7365" t="str">
            <v>FC 9x5 3年 3810-24G-PoE Switch用</v>
          </cell>
          <cell r="C7365" t="str">
            <v>【ファウンデーションケア】</v>
          </cell>
        </row>
        <row r="7366">
          <cell r="A7366" t="str">
            <v>U7CY7E</v>
          </cell>
          <cell r="B7366" t="str">
            <v>FC 24x7 3年 3810-24G-PoE Switch用</v>
          </cell>
          <cell r="C7366" t="str">
            <v>【ファウンデーションケア】</v>
          </cell>
        </row>
        <row r="7367">
          <cell r="A7367" t="str">
            <v>U7DA5E</v>
          </cell>
          <cell r="B7367" t="str">
            <v>FC 9x5 4年 3810-24G-PoE Switch用</v>
          </cell>
          <cell r="C7367" t="str">
            <v>【ファウンデーションケア】</v>
          </cell>
        </row>
        <row r="7368">
          <cell r="A7368" t="str">
            <v>U7DB0E</v>
          </cell>
          <cell r="B7368" t="str">
            <v>FC 24x7 4年 3810-24G-PoE Switch用</v>
          </cell>
          <cell r="C7368" t="str">
            <v>【ファウンデーションケア】</v>
          </cell>
        </row>
        <row r="7369">
          <cell r="A7369" t="str">
            <v>U7DC8E</v>
          </cell>
          <cell r="B7369" t="str">
            <v>FC 9x5 5年 3810-24G-PoE Switch用</v>
          </cell>
          <cell r="C7369" t="str">
            <v>【ファウンデーションケア】</v>
          </cell>
        </row>
        <row r="7370">
          <cell r="A7370" t="str">
            <v>U7DD3E</v>
          </cell>
          <cell r="B7370" t="str">
            <v>FC 24x7 5年 3810-24G-PoE Switch用</v>
          </cell>
          <cell r="C7370" t="str">
            <v>【ファウンデーションケア】</v>
          </cell>
        </row>
        <row r="7371">
          <cell r="A7371" t="str">
            <v>U7DF1PE</v>
          </cell>
          <cell r="B7371" t="str">
            <v>更新用 FC 9x5 1年 3810-24G-PoE Switch用</v>
          </cell>
          <cell r="C7371" t="str">
            <v>【ファウンデーションケア】</v>
          </cell>
        </row>
        <row r="7372">
          <cell r="A7372" t="str">
            <v>U7DF3PE</v>
          </cell>
          <cell r="B7372" t="str">
            <v>更新用 FC 24x7 1年 3810-24G-PoE Switch用</v>
          </cell>
          <cell r="C7372" t="str">
            <v>【ファウンデーションケア】</v>
          </cell>
        </row>
        <row r="7373">
          <cell r="A7373" t="str">
            <v>U7DG3E</v>
          </cell>
          <cell r="B7373" t="str">
            <v>FC 24x7 1年 3810-48G-PoE Switch用</v>
          </cell>
          <cell r="C7373" t="str">
            <v>【ファウンデーションケア】</v>
          </cell>
        </row>
        <row r="7374">
          <cell r="A7374" t="str">
            <v>U7DH3E</v>
          </cell>
          <cell r="B7374" t="str">
            <v>FC 9x5 3年 3810-48G-PoE Switch用</v>
          </cell>
          <cell r="C7374" t="str">
            <v>【ファウンデーションケア】</v>
          </cell>
        </row>
        <row r="7375">
          <cell r="A7375" t="str">
            <v>U7DH8E</v>
          </cell>
          <cell r="B7375" t="str">
            <v>FC 24x7 3年 3810-48G-PoE Switch用</v>
          </cell>
          <cell r="C7375" t="str">
            <v>【ファウンデーションケア】</v>
          </cell>
        </row>
        <row r="7376">
          <cell r="A7376" t="str">
            <v>U7DK6E</v>
          </cell>
          <cell r="B7376" t="str">
            <v>FC 9x5 4年 3810-48G-PoE Switch用</v>
          </cell>
          <cell r="C7376" t="str">
            <v>【ファウンデーションケア】</v>
          </cell>
        </row>
        <row r="7377">
          <cell r="A7377" t="str">
            <v>U7DL1E</v>
          </cell>
          <cell r="B7377" t="str">
            <v>FC 24x7 4年 3810-48G-PoE Switch用</v>
          </cell>
          <cell r="C7377" t="str">
            <v>【ファウンデーションケア】</v>
          </cell>
        </row>
        <row r="7378">
          <cell r="A7378" t="str">
            <v>U7DM9E</v>
          </cell>
          <cell r="B7378" t="str">
            <v>FC 9x5 5年 3810-48G-PoE Switch用</v>
          </cell>
          <cell r="C7378" t="str">
            <v>【ファウンデーションケア】</v>
          </cell>
        </row>
        <row r="7379">
          <cell r="A7379" t="str">
            <v>U7DN4E</v>
          </cell>
          <cell r="B7379" t="str">
            <v>FC 24x7 5年 3810-48G-PoE Switch用</v>
          </cell>
          <cell r="C7379" t="str">
            <v>【ファウンデーションケア】</v>
          </cell>
        </row>
        <row r="7380">
          <cell r="A7380" t="str">
            <v>U7DQ2PE</v>
          </cell>
          <cell r="B7380" t="str">
            <v>更新用 FC 9x5 1年 3810-48G-PoE Switch用</v>
          </cell>
          <cell r="C7380" t="str">
            <v>【ファウンデーションケア】</v>
          </cell>
        </row>
        <row r="7381">
          <cell r="A7381" t="str">
            <v>U7DQ4PE</v>
          </cell>
          <cell r="B7381" t="str">
            <v>更新用 FC 24x7 1年 3810-48G-PoE Switch用</v>
          </cell>
          <cell r="C7381" t="str">
            <v>【ファウンデーションケア】</v>
          </cell>
        </row>
        <row r="7382">
          <cell r="A7382" t="str">
            <v>U7DR4E</v>
          </cell>
          <cell r="B7382" t="str">
            <v>FC 24x7 1年 5130-24G HI Switch用</v>
          </cell>
          <cell r="C7382" t="str">
            <v>【ファウンデーションケア】</v>
          </cell>
        </row>
        <row r="7383">
          <cell r="A7383" t="str">
            <v>U7DS4E</v>
          </cell>
          <cell r="B7383" t="str">
            <v>FC 9x5 3年 5130-24G HI Switch用</v>
          </cell>
          <cell r="C7383" t="str">
            <v>【ファウンデーションケア】</v>
          </cell>
        </row>
        <row r="7384">
          <cell r="A7384" t="str">
            <v>U7DS9E</v>
          </cell>
          <cell r="B7384" t="str">
            <v>FC 24x7 3年 5130-24G HI Switch用</v>
          </cell>
          <cell r="C7384" t="str">
            <v>【ファウンデーションケア】</v>
          </cell>
        </row>
        <row r="7385">
          <cell r="A7385" t="str">
            <v>U7DU7E</v>
          </cell>
          <cell r="B7385" t="str">
            <v>FC 9x5 4年 5130-24G HI Switch用</v>
          </cell>
          <cell r="C7385" t="str">
            <v>【ファウンデーションケア】</v>
          </cell>
        </row>
        <row r="7386">
          <cell r="A7386" t="str">
            <v>U7DV2E</v>
          </cell>
          <cell r="B7386" t="str">
            <v>FC 24x7 4年 5130-24G HI Switch用</v>
          </cell>
          <cell r="C7386" t="str">
            <v>【ファウンデーションケア】</v>
          </cell>
        </row>
        <row r="7387">
          <cell r="A7387" t="str">
            <v>U7DX0E</v>
          </cell>
          <cell r="B7387" t="str">
            <v>FC 9x5 5年 5130-24G HI Switch用</v>
          </cell>
          <cell r="C7387" t="str">
            <v>【ファウンデーションケア】</v>
          </cell>
        </row>
        <row r="7388">
          <cell r="A7388" t="str">
            <v>U7DX5E</v>
          </cell>
          <cell r="B7388" t="str">
            <v>FC 24x7 5年 5130-24G HI Switch用</v>
          </cell>
          <cell r="C7388" t="str">
            <v>【ファウンデーションケア】</v>
          </cell>
        </row>
        <row r="7389">
          <cell r="A7389" t="str">
            <v>U7DZ3PE</v>
          </cell>
          <cell r="B7389" t="str">
            <v>更新用 FC 9x5 1年 5130-24G HI Switch用</v>
          </cell>
          <cell r="C7389" t="str">
            <v>【ファウンデーションケア】</v>
          </cell>
        </row>
        <row r="7390">
          <cell r="A7390" t="str">
            <v>U7DZ5PE</v>
          </cell>
          <cell r="B7390" t="str">
            <v>更新用 FC 24x7 1年 5130-24G HI Switch用</v>
          </cell>
          <cell r="C7390" t="str">
            <v>【ファウンデーションケア】</v>
          </cell>
        </row>
        <row r="7391">
          <cell r="A7391" t="str">
            <v>U7EA5E</v>
          </cell>
          <cell r="B7391" t="str">
            <v>FC 24x7 1年 5130-48G HI Switch用</v>
          </cell>
          <cell r="C7391" t="str">
            <v>【ファウンデーションケア】</v>
          </cell>
        </row>
        <row r="7392">
          <cell r="A7392" t="str">
            <v>U7EB5E</v>
          </cell>
          <cell r="B7392" t="str">
            <v>FC 9x5 3年 5130-48G HI Switch用</v>
          </cell>
          <cell r="C7392" t="str">
            <v>【ファウンデーションケア】</v>
          </cell>
        </row>
        <row r="7393">
          <cell r="A7393" t="str">
            <v>U7EC0E</v>
          </cell>
          <cell r="B7393" t="str">
            <v>FC 24x7 3年 5130-48G HI Switch用</v>
          </cell>
          <cell r="C7393" t="str">
            <v>【ファウンデーションケア】</v>
          </cell>
        </row>
        <row r="7394">
          <cell r="A7394" t="str">
            <v>U7ED8E</v>
          </cell>
          <cell r="B7394" t="str">
            <v>FC 9x5 4年 5130-48G HI Switch用</v>
          </cell>
          <cell r="C7394" t="str">
            <v>【ファウンデーションケア】</v>
          </cell>
        </row>
        <row r="7395">
          <cell r="A7395" t="str">
            <v>U7EE3E</v>
          </cell>
          <cell r="B7395" t="str">
            <v>FC 24x7 4年 5130-48G HI Switch用</v>
          </cell>
          <cell r="C7395" t="str">
            <v>【ファウンデーションケア】</v>
          </cell>
        </row>
        <row r="7396">
          <cell r="A7396" t="str">
            <v>U7EG1E</v>
          </cell>
          <cell r="B7396" t="str">
            <v>FC 9x5 5年 5130-48G HI Switch用</v>
          </cell>
          <cell r="C7396" t="str">
            <v>【ファウンデーションケア】</v>
          </cell>
        </row>
        <row r="7397">
          <cell r="A7397" t="str">
            <v>U7EG6E</v>
          </cell>
          <cell r="B7397" t="str">
            <v>FC 24x7 5年 5130-48G HI Switch用</v>
          </cell>
          <cell r="C7397" t="str">
            <v>【ファウンデーションケア】</v>
          </cell>
        </row>
        <row r="7398">
          <cell r="A7398" t="str">
            <v>U7EJ4PE</v>
          </cell>
          <cell r="B7398" t="str">
            <v>更新用 FC 9x5 1年 5130-48G HI Switch用</v>
          </cell>
          <cell r="C7398" t="str">
            <v>【ファウンデーションケア】</v>
          </cell>
        </row>
        <row r="7399">
          <cell r="A7399" t="str">
            <v>U7EJ6PE</v>
          </cell>
          <cell r="B7399" t="str">
            <v>更新用 FC 24x7 1年 5130-48G HI Switch用</v>
          </cell>
          <cell r="C7399" t="str">
            <v>【ファウンデーションケア】</v>
          </cell>
        </row>
        <row r="7400">
          <cell r="A7400" t="str">
            <v>U7EK6E</v>
          </cell>
          <cell r="B7400" t="str">
            <v>FC 24x7 1年 5130-24G-PoE HI Switch</v>
          </cell>
          <cell r="C7400" t="str">
            <v>【ファウンデーションケア】</v>
          </cell>
        </row>
        <row r="7401">
          <cell r="A7401" t="str">
            <v>U7EL6E</v>
          </cell>
          <cell r="B7401" t="str">
            <v>FC 9x5 3年 5130-24G-PoE HI Switch</v>
          </cell>
          <cell r="C7401" t="str">
            <v>【ファウンデーションケア】</v>
          </cell>
        </row>
        <row r="7402">
          <cell r="A7402" t="str">
            <v>U7EM1E</v>
          </cell>
          <cell r="B7402" t="str">
            <v>FC 24x7 3年 5130-24G-PoE HI Switch</v>
          </cell>
          <cell r="C7402" t="str">
            <v>【ファウンデーションケア】</v>
          </cell>
        </row>
        <row r="7403">
          <cell r="A7403" t="str">
            <v>U7PM3E</v>
          </cell>
          <cell r="B7403" t="str">
            <v>FC 24x7 1年 5130-24G-PoE Switch用</v>
          </cell>
          <cell r="C7403" t="str">
            <v>【ファウンデーションケア】</v>
          </cell>
        </row>
        <row r="7404">
          <cell r="A7404" t="str">
            <v>U7PN1E</v>
          </cell>
          <cell r="B7404" t="str">
            <v>FC 9x5 3年 5130-24G-PoE Switch用</v>
          </cell>
          <cell r="C7404" t="str">
            <v>【ファウンデーションケア】</v>
          </cell>
        </row>
        <row r="7405">
          <cell r="A7405" t="str">
            <v>U7PN6E</v>
          </cell>
          <cell r="B7405" t="str">
            <v>FC 24x7 3年 5130-24G-PoE Switch用</v>
          </cell>
          <cell r="C7405" t="str">
            <v>【ファウンデーションケア】</v>
          </cell>
        </row>
        <row r="7406">
          <cell r="A7406" t="str">
            <v>U7PQ2E</v>
          </cell>
          <cell r="B7406" t="str">
            <v>FC 9x5 4年 5130-24G-PoE Switch用</v>
          </cell>
          <cell r="C7406" t="str">
            <v>【ファウンデーションケア】</v>
          </cell>
        </row>
        <row r="7407">
          <cell r="A7407" t="str">
            <v>U7PQ7E</v>
          </cell>
          <cell r="B7407" t="str">
            <v>FC 24x7 4年 5130-24G-PoE Switch用</v>
          </cell>
          <cell r="C7407" t="str">
            <v>【ファウンデーションケア】</v>
          </cell>
        </row>
        <row r="7408">
          <cell r="A7408" t="str">
            <v>U7PS3E</v>
          </cell>
          <cell r="B7408" t="str">
            <v>FC 9x5 5年 5130-24G-PoE Switch用</v>
          </cell>
          <cell r="C7408" t="str">
            <v>【ファウンデーションケア】</v>
          </cell>
        </row>
        <row r="7409">
          <cell r="A7409" t="str">
            <v>U7PS8E</v>
          </cell>
          <cell r="B7409" t="str">
            <v>FC 24x7 5年 5130-24G-PoE Switch用</v>
          </cell>
          <cell r="C7409" t="str">
            <v>【ファウンデーションケア】</v>
          </cell>
        </row>
        <row r="7410">
          <cell r="A7410" t="str">
            <v>U7PU4PE</v>
          </cell>
          <cell r="B7410" t="str">
            <v>更新用 FC 9x5 1年 5130-24G-PoE Switch</v>
          </cell>
          <cell r="C7410" t="str">
            <v>【ファウンデーションケア】</v>
          </cell>
        </row>
        <row r="7411">
          <cell r="A7411" t="str">
            <v>U7PU6PE</v>
          </cell>
          <cell r="B7411" t="str">
            <v>更新用 FC 24x7 1年 5130-24G-PoE Switch</v>
          </cell>
          <cell r="C7411" t="str">
            <v>【ファウンデーションケア】</v>
          </cell>
        </row>
        <row r="7412">
          <cell r="A7412" t="str">
            <v>U7PV6E</v>
          </cell>
          <cell r="B7412" t="str">
            <v>FC 24x7 1年 5130-24G Switch用</v>
          </cell>
          <cell r="C7412" t="str">
            <v>【ファウンデーションケア】</v>
          </cell>
        </row>
        <row r="7413">
          <cell r="A7413" t="str">
            <v>U7PW4E</v>
          </cell>
          <cell r="B7413" t="str">
            <v>FC 9x5 3年 5130-24G Switch用</v>
          </cell>
          <cell r="C7413" t="str">
            <v>【ファウンデーションケア】</v>
          </cell>
        </row>
        <row r="7414">
          <cell r="A7414" t="str">
            <v>U7PW9E</v>
          </cell>
          <cell r="B7414" t="str">
            <v>FC 24x7 3年 5130-24G Switch用</v>
          </cell>
          <cell r="C7414" t="str">
            <v>【ファウンデーションケア】</v>
          </cell>
        </row>
        <row r="7415">
          <cell r="A7415" t="str">
            <v>U7PY5E</v>
          </cell>
          <cell r="B7415" t="str">
            <v>FC 9x5 4年 5130-24G Switch用</v>
          </cell>
          <cell r="C7415" t="str">
            <v>【ファウンデーションケア】</v>
          </cell>
        </row>
        <row r="7416">
          <cell r="A7416" t="str">
            <v>U7PZ0E</v>
          </cell>
          <cell r="B7416" t="str">
            <v>FC 24x7 4年 5130-24G Switch用</v>
          </cell>
          <cell r="C7416" t="str">
            <v>【ファウンデーションケア】</v>
          </cell>
        </row>
        <row r="7417">
          <cell r="A7417" t="str">
            <v>U7QA6E</v>
          </cell>
          <cell r="B7417" t="str">
            <v>FC 9x5 5年 5130-24G Switch用</v>
          </cell>
          <cell r="C7417" t="str">
            <v>【ファウンデーションケア】</v>
          </cell>
        </row>
        <row r="7418">
          <cell r="A7418" t="str">
            <v>U7QB1E</v>
          </cell>
          <cell r="B7418" t="str">
            <v>FC 24x7 5年 5130-24G Switch用</v>
          </cell>
          <cell r="C7418" t="str">
            <v>【ファウンデーションケア】</v>
          </cell>
        </row>
        <row r="7419">
          <cell r="A7419" t="str">
            <v>U7QC7PE</v>
          </cell>
          <cell r="B7419" t="str">
            <v>更新用 FC 9x5 1年 5130-24G Switch用</v>
          </cell>
          <cell r="C7419" t="str">
            <v>【ファウンデーションケア】</v>
          </cell>
        </row>
        <row r="7420">
          <cell r="A7420" t="str">
            <v>U7QC9PE</v>
          </cell>
          <cell r="B7420" t="str">
            <v>更新用 FC 24x7 1年 5130-24G Switch用</v>
          </cell>
          <cell r="C7420" t="str">
            <v>【ファウンデーションケア】</v>
          </cell>
        </row>
        <row r="7421">
          <cell r="A7421" t="str">
            <v>U7QD9E</v>
          </cell>
          <cell r="B7421" t="str">
            <v>FC 24x7 1年 5130-48G-PoE Switch用</v>
          </cell>
          <cell r="C7421" t="str">
            <v>【ファウンデーションケア】</v>
          </cell>
        </row>
        <row r="7422">
          <cell r="A7422" t="str">
            <v>U7QE7E</v>
          </cell>
          <cell r="B7422" t="str">
            <v>FC 9x5 3年 5130-48G-PoE Switch用</v>
          </cell>
          <cell r="C7422" t="str">
            <v>【ファウンデーションケア】</v>
          </cell>
        </row>
        <row r="7423">
          <cell r="A7423" t="str">
            <v>U7QF2E</v>
          </cell>
          <cell r="B7423" t="str">
            <v>FC 24x7 3年 5130-48G-PoE Switch用</v>
          </cell>
          <cell r="C7423" t="str">
            <v>【ファウンデーションケア】</v>
          </cell>
        </row>
        <row r="7424">
          <cell r="A7424" t="str">
            <v>U7QG8E</v>
          </cell>
          <cell r="B7424" t="str">
            <v>FC 9x5 4年 5130-48G-PoE Switch用</v>
          </cell>
          <cell r="C7424" t="str">
            <v>【ファウンデーションケア】</v>
          </cell>
        </row>
        <row r="7425">
          <cell r="A7425" t="str">
            <v>U7QH3E</v>
          </cell>
          <cell r="B7425" t="str">
            <v>FC 24x7 4年 5130-48G-PoE Switch用</v>
          </cell>
          <cell r="C7425" t="str">
            <v>【ファウンデーションケア】</v>
          </cell>
        </row>
        <row r="7426">
          <cell r="A7426" t="str">
            <v>U7QJ9E</v>
          </cell>
          <cell r="B7426" t="str">
            <v>FC 9x5 5年 5130-48G-PoE Switch用</v>
          </cell>
          <cell r="C7426" t="str">
            <v>【ファウンデーションケア】</v>
          </cell>
        </row>
        <row r="7427">
          <cell r="A7427" t="str">
            <v>U7QK4E</v>
          </cell>
          <cell r="B7427" t="str">
            <v>FC 24x7 5年 5130-48G-PoE Switch用</v>
          </cell>
          <cell r="C7427" t="str">
            <v>【ファウンデーションケア】</v>
          </cell>
        </row>
        <row r="7428">
          <cell r="A7428" t="str">
            <v>U7QM0PE</v>
          </cell>
          <cell r="B7428" t="str">
            <v>更新用 FC 9x5 1年 5130-48G-PoE Switch</v>
          </cell>
          <cell r="C7428" t="str">
            <v>【ファウンデーションケア】</v>
          </cell>
        </row>
        <row r="7429">
          <cell r="A7429" t="str">
            <v>U7QM2PE</v>
          </cell>
          <cell r="B7429" t="str">
            <v>更新用 FC 24x7 1年 5130-48G-PoE Switch</v>
          </cell>
          <cell r="C7429" t="str">
            <v>【ファウンデーションケア】</v>
          </cell>
        </row>
        <row r="7430">
          <cell r="A7430" t="str">
            <v>U7QN2E</v>
          </cell>
          <cell r="B7430" t="str">
            <v>FC 24x7 1年 5130-48G Switch用</v>
          </cell>
          <cell r="C7430" t="str">
            <v>【ファウンデーションケア】</v>
          </cell>
        </row>
        <row r="7431">
          <cell r="A7431" t="str">
            <v>U7QP0E</v>
          </cell>
          <cell r="B7431" t="str">
            <v>FC 9x5 3年 5130-48G Switch用</v>
          </cell>
          <cell r="C7431" t="str">
            <v>【ファウンデーションケア】</v>
          </cell>
        </row>
        <row r="7432">
          <cell r="A7432" t="str">
            <v>U7QP5E</v>
          </cell>
          <cell r="B7432" t="str">
            <v>FC 24x7 3年 5130-48G Switch用</v>
          </cell>
          <cell r="C7432" t="str">
            <v>【ファウンデーションケア】</v>
          </cell>
        </row>
        <row r="7433">
          <cell r="A7433" t="str">
            <v>U7QR1E</v>
          </cell>
          <cell r="B7433" t="str">
            <v>FC 9x5 4年 5130-48G Switch用</v>
          </cell>
          <cell r="C7433" t="str">
            <v>【ファウンデーションケア】</v>
          </cell>
        </row>
        <row r="7434">
          <cell r="A7434" t="str">
            <v>U7QR6E</v>
          </cell>
          <cell r="B7434" t="str">
            <v>FC 24x7 4年 5130-48G Switch用</v>
          </cell>
          <cell r="C7434" t="str">
            <v>【ファウンデーションケア】</v>
          </cell>
        </row>
        <row r="7435">
          <cell r="A7435" t="str">
            <v>U7QT2E</v>
          </cell>
          <cell r="B7435" t="str">
            <v>FC 9x5 5年 5130-48G Switch用</v>
          </cell>
          <cell r="C7435" t="str">
            <v>【ファウンデーションケア】</v>
          </cell>
        </row>
        <row r="7436">
          <cell r="A7436" t="str">
            <v>U7QT7E</v>
          </cell>
          <cell r="B7436" t="str">
            <v>FC 24x7 5年 5130-48G Switch用</v>
          </cell>
          <cell r="C7436" t="str">
            <v>【ファウンデーションケア】</v>
          </cell>
        </row>
        <row r="7437">
          <cell r="A7437" t="str">
            <v>U7QV3PE</v>
          </cell>
          <cell r="B7437" t="str">
            <v>更新用 FC 9x5 1年 5130-48G Switch用</v>
          </cell>
          <cell r="C7437" t="str">
            <v>【ファウンデーションケア】</v>
          </cell>
        </row>
        <row r="7438">
          <cell r="A7438" t="str">
            <v>U7QV5PE</v>
          </cell>
          <cell r="B7438" t="str">
            <v>更新用 FC 24x7 1年 5130-48G Switch用</v>
          </cell>
          <cell r="C7438" t="str">
            <v>【ファウンデーションケア】</v>
          </cell>
        </row>
        <row r="7439">
          <cell r="A7439" t="str">
            <v>U7RD2PE</v>
          </cell>
          <cell r="B7439" t="str">
            <v>PW FC 9x5 1年 MSR1003 Router用</v>
          </cell>
          <cell r="C7439" t="str">
            <v>【ファウンデーションケア】</v>
          </cell>
        </row>
        <row r="7440">
          <cell r="A7440" t="str">
            <v>U7RM1E</v>
          </cell>
          <cell r="B7440" t="str">
            <v>FC 9x5 4年 5120-8G-PoE SI Switch用</v>
          </cell>
          <cell r="C7440" t="str">
            <v>【ファウンデーションケア】</v>
          </cell>
        </row>
        <row r="7441">
          <cell r="A7441" t="str">
            <v>U7RM6E</v>
          </cell>
          <cell r="B7441" t="str">
            <v>FC 24x7 4年 5120-8G-PoE SI Switch用</v>
          </cell>
          <cell r="C7441" t="str">
            <v>【ファウンデーションケア】</v>
          </cell>
        </row>
        <row r="7442">
          <cell r="A7442" t="str">
            <v>U7RU0E</v>
          </cell>
          <cell r="B7442" t="str">
            <v>FC 24x7 1年 MSR1002 Router用</v>
          </cell>
          <cell r="C7442" t="str">
            <v>【ファウンデーションケア】</v>
          </cell>
        </row>
        <row r="7443">
          <cell r="A7443" t="str">
            <v>U7RU8E</v>
          </cell>
          <cell r="B7443" t="str">
            <v>FC 9x5 3年 MSR1002 Router用</v>
          </cell>
          <cell r="C7443" t="str">
            <v>【ファウンデーションケア】</v>
          </cell>
        </row>
        <row r="7444">
          <cell r="A7444" t="str">
            <v>U7RV3E</v>
          </cell>
          <cell r="B7444" t="str">
            <v>FC 24x7 3年 MSR1002 Router用</v>
          </cell>
          <cell r="C7444" t="str">
            <v>【ファウンデーションケア】</v>
          </cell>
        </row>
        <row r="7445">
          <cell r="A7445" t="str">
            <v>U7RW9E</v>
          </cell>
          <cell r="B7445" t="str">
            <v>FC 9x5 4年 MSR1002 Router用</v>
          </cell>
          <cell r="C7445" t="str">
            <v>【ファウンデーションケア】</v>
          </cell>
        </row>
        <row r="7446">
          <cell r="A7446" t="str">
            <v>U7RX4E</v>
          </cell>
          <cell r="B7446" t="str">
            <v>FC 24x7 4年 MSR1002 Router用</v>
          </cell>
          <cell r="C7446" t="str">
            <v>【ファウンデーションケア】</v>
          </cell>
        </row>
        <row r="7447">
          <cell r="A7447" t="str">
            <v>U7RZ0E</v>
          </cell>
          <cell r="B7447" t="str">
            <v>FC 9x5 5年 MSR1002 Router用</v>
          </cell>
          <cell r="C7447" t="str">
            <v>【ファウンデーションケア】</v>
          </cell>
        </row>
        <row r="7448">
          <cell r="A7448" t="str">
            <v>U7RZ5E</v>
          </cell>
          <cell r="B7448" t="str">
            <v>FC 24x7 5年 MSR1002 Router用</v>
          </cell>
          <cell r="C7448" t="str">
            <v>【ファウンデーションケア】</v>
          </cell>
        </row>
        <row r="7449">
          <cell r="A7449" t="str">
            <v>U7SB1PE</v>
          </cell>
          <cell r="B7449" t="str">
            <v>PW FC 9x5 1年 MSR1002 Router用</v>
          </cell>
          <cell r="C7449" t="str">
            <v>【ファウンデーションケア】</v>
          </cell>
        </row>
        <row r="7450">
          <cell r="A7450" t="str">
            <v>U7SB4PE</v>
          </cell>
          <cell r="B7450" t="str">
            <v>PW FC 24x7 1年 MSR1002 Router用</v>
          </cell>
          <cell r="C7450" t="str">
            <v>【ファウンデーションケア】</v>
          </cell>
        </row>
        <row r="7451">
          <cell r="A7451" t="str">
            <v>U7SC6E</v>
          </cell>
          <cell r="B7451" t="str">
            <v>FC 24x7 1年 MSR2004-24 Router用</v>
          </cell>
          <cell r="C7451" t="str">
            <v>【ファウンデーションケア】</v>
          </cell>
        </row>
        <row r="7452">
          <cell r="A7452" t="str">
            <v>U7SD4E</v>
          </cell>
          <cell r="B7452" t="str">
            <v>FC 9x5 3年 MSR2004-24 Router用</v>
          </cell>
          <cell r="C7452" t="str">
            <v>【ファウンデーションケア】</v>
          </cell>
        </row>
        <row r="7453">
          <cell r="A7453" t="str">
            <v>U7SD9E</v>
          </cell>
          <cell r="B7453" t="str">
            <v>FC 24x7 3年 MSR2004-24 Router用</v>
          </cell>
          <cell r="C7453" t="str">
            <v>【ファウンデーションケア】</v>
          </cell>
        </row>
        <row r="7454">
          <cell r="A7454" t="str">
            <v>U7SF5E</v>
          </cell>
          <cell r="B7454" t="str">
            <v>FC 9x5 4年 MSR2004-24 Router用</v>
          </cell>
          <cell r="C7454" t="str">
            <v>【ファウンデーションケア】</v>
          </cell>
        </row>
        <row r="7455">
          <cell r="A7455" t="str">
            <v>U7SG0E</v>
          </cell>
          <cell r="B7455" t="str">
            <v>FC 24x7 4年 MSR2004-24 Router用</v>
          </cell>
          <cell r="C7455" t="str">
            <v>【ファウンデーションケア】</v>
          </cell>
        </row>
        <row r="7456">
          <cell r="A7456" t="str">
            <v>U7SH6E</v>
          </cell>
          <cell r="B7456" t="str">
            <v>FC 9x5 5年 MSR2004-24 Router用</v>
          </cell>
          <cell r="C7456" t="str">
            <v>【ファウンデーションケア】</v>
          </cell>
        </row>
        <row r="7457">
          <cell r="A7457" t="str">
            <v>U7SJ1E</v>
          </cell>
          <cell r="B7457" t="str">
            <v>FC 24x7 5年 MSR2004-24 Router用</v>
          </cell>
          <cell r="C7457" t="str">
            <v>【ファウンデーションケア】</v>
          </cell>
        </row>
        <row r="7458">
          <cell r="A7458" t="str">
            <v>U7SK7PE</v>
          </cell>
          <cell r="B7458" t="str">
            <v>PW FC 9x5 1年 MSR2004-24 Router用</v>
          </cell>
          <cell r="C7458" t="str">
            <v>【ファウンデーションケア】</v>
          </cell>
        </row>
        <row r="7459">
          <cell r="A7459" t="str">
            <v>U7SL0PE</v>
          </cell>
          <cell r="B7459" t="str">
            <v>PW FC 24x7 1年 MSR2004-24 Router用</v>
          </cell>
          <cell r="C7459" t="str">
            <v>【ファウンデーションケア】</v>
          </cell>
        </row>
        <row r="7460">
          <cell r="A7460" t="str">
            <v>U7SM2E</v>
          </cell>
          <cell r="B7460" t="str">
            <v>FC 24x7 1年 MSR2004-48 Router用</v>
          </cell>
          <cell r="C7460" t="str">
            <v>【ファウンデーションケア】</v>
          </cell>
        </row>
        <row r="7461">
          <cell r="A7461" t="str">
            <v>U7SN0E</v>
          </cell>
          <cell r="B7461" t="str">
            <v>FC 9x5 3年 MSR2004-48 Router用</v>
          </cell>
          <cell r="C7461" t="str">
            <v>【ファウンデーションケア】</v>
          </cell>
        </row>
        <row r="7462">
          <cell r="A7462" t="str">
            <v>U7SN5E</v>
          </cell>
          <cell r="B7462" t="str">
            <v>FC 24x7 3年 MSR2004-48 Router用</v>
          </cell>
          <cell r="C7462" t="str">
            <v>【ファウンデーションケア】</v>
          </cell>
        </row>
        <row r="7463">
          <cell r="A7463" t="str">
            <v>U7SQ1E</v>
          </cell>
          <cell r="B7463" t="str">
            <v>FC 9x5 4年 MSR2004-48 Router用</v>
          </cell>
          <cell r="C7463" t="str">
            <v>【ファウンデーションケア】</v>
          </cell>
        </row>
        <row r="7464">
          <cell r="A7464" t="str">
            <v>U7SQ6E</v>
          </cell>
          <cell r="B7464" t="str">
            <v>FC 24x7 4年 MSR2004-48 Router用</v>
          </cell>
          <cell r="C7464" t="str">
            <v>【ファウンデーションケア】</v>
          </cell>
        </row>
        <row r="7465">
          <cell r="A7465" t="str">
            <v>U7SS2E</v>
          </cell>
          <cell r="B7465" t="str">
            <v>FC 9x5 5年 MSR2004-48 Router用</v>
          </cell>
          <cell r="C7465" t="str">
            <v>【ファウンデーションケア】</v>
          </cell>
        </row>
        <row r="7466">
          <cell r="A7466" t="str">
            <v>U7SS7E</v>
          </cell>
          <cell r="B7466" t="str">
            <v>FC 24x7 5年 MSR2004-48 Router用</v>
          </cell>
          <cell r="C7466" t="str">
            <v>【ファウンデーションケア】</v>
          </cell>
        </row>
        <row r="7467">
          <cell r="A7467" t="str">
            <v>U7SU3PE</v>
          </cell>
          <cell r="B7467" t="str">
            <v>PW FC 9x5 1年 MSR2004-48 Router用</v>
          </cell>
          <cell r="C7467" t="str">
            <v>【ファウンデーションケア】</v>
          </cell>
        </row>
        <row r="7468">
          <cell r="A7468" t="str">
            <v>U7SU6PE</v>
          </cell>
          <cell r="B7468" t="str">
            <v>PW FC 24x7 1年 MSR2004-48 Router用</v>
          </cell>
          <cell r="C7468" t="str">
            <v>【ファウンデーションケア】</v>
          </cell>
        </row>
        <row r="7469">
          <cell r="A7469" t="str">
            <v>UU988PE</v>
          </cell>
          <cell r="B7469" t="str">
            <v>更新用 FC 9x5 1年 5510-24G-SFP HI Switch</v>
          </cell>
          <cell r="C7469" t="str">
            <v>【ファウンデーションケア】</v>
          </cell>
        </row>
        <row r="7470">
          <cell r="A7470" t="str">
            <v>UV026PE</v>
          </cell>
          <cell r="B7470" t="str">
            <v>更新用FC 9x5 1年5120-24G-PoE SI Switch B</v>
          </cell>
          <cell r="C7470" t="str">
            <v>【ファウンデーションケア】</v>
          </cell>
        </row>
        <row r="7471">
          <cell r="A7471" t="str">
            <v>UV028PE</v>
          </cell>
          <cell r="B7471" t="str">
            <v>更新用FC24x7 1年5120-24G-PoE SI Switch B</v>
          </cell>
          <cell r="C7471" t="str">
            <v>【ファウンデーションケア】</v>
          </cell>
        </row>
        <row r="7472">
          <cell r="A7472" t="str">
            <v>H0QM9E</v>
          </cell>
          <cell r="B7472" t="str">
            <v>PC24x7 5年 SO3500 12TB BU用</v>
          </cell>
          <cell r="C7472" t="str">
            <v>【HPEプロアクティブケア】メーカー推奨／低価格で国内専用窓口の高品質な保守により、システム運用における安心を提供します。</v>
          </cell>
        </row>
        <row r="7473">
          <cell r="A7473" t="str">
            <v>H0QN0E</v>
          </cell>
          <cell r="B7473" t="str">
            <v>PC24x7DMR5年 SO3500 12TB BU用</v>
          </cell>
          <cell r="C7473" t="str">
            <v>【HPEプロアクティブケア】メーカー推奨／低価格で国内専用窓口の高品質な保守により、システム運用における安心を提供します。</v>
          </cell>
        </row>
        <row r="7474">
          <cell r="A7474" t="str">
            <v>H0QN1E</v>
          </cell>
          <cell r="B7474" t="str">
            <v>FC24x7 3年 SO3500 24TB BU用</v>
          </cell>
          <cell r="C7474" t="str">
            <v>【ファウンデーションケア】</v>
          </cell>
        </row>
        <row r="7475">
          <cell r="A7475" t="str">
            <v>H0QN2E</v>
          </cell>
          <cell r="B7475" t="str">
            <v>FC24x7DMR3年 SO3500 24TB BU用</v>
          </cell>
          <cell r="C7475" t="str">
            <v>【ファウンデーションケア】</v>
          </cell>
        </row>
        <row r="7476">
          <cell r="A7476" t="str">
            <v>H0QN3E</v>
          </cell>
          <cell r="B7476" t="str">
            <v>PC24x7 3年 SO3500 24TB BU用</v>
          </cell>
          <cell r="C7476" t="str">
            <v>【HPEプロアクティブケア】メーカー推奨／低価格で国内専用窓口の高品質な保守により、システム運用における安心を提供します。</v>
          </cell>
        </row>
        <row r="7477">
          <cell r="A7477" t="str">
            <v>H0QN4E</v>
          </cell>
          <cell r="B7477" t="str">
            <v>PC24x7DMR3年 SO3500 24TB BU用</v>
          </cell>
          <cell r="C7477" t="str">
            <v>【HPEプロアクティブケア】メーカー推奨／低価格で国内専用窓口の高品質な保守により、システム運用における安心を提供します。</v>
          </cell>
        </row>
        <row r="7478">
          <cell r="A7478" t="str">
            <v>H0QN5E</v>
          </cell>
          <cell r="B7478" t="str">
            <v>FC24x7 4年 SO3500 24TB BU用</v>
          </cell>
          <cell r="C7478" t="str">
            <v>【ファウンデーションケア】</v>
          </cell>
        </row>
        <row r="7479">
          <cell r="A7479" t="str">
            <v>H0QN6E</v>
          </cell>
          <cell r="B7479" t="str">
            <v>FC24x7DMR4年 SO3500 24TB BU用</v>
          </cell>
          <cell r="C7479" t="str">
            <v>【ファウンデーションケア】</v>
          </cell>
        </row>
        <row r="7480">
          <cell r="A7480" t="str">
            <v>H0QN7E</v>
          </cell>
          <cell r="B7480" t="str">
            <v>PC24x7 4年 SO3500 24TB BU用</v>
          </cell>
          <cell r="C7480" t="str">
            <v>【HPEプロアクティブケア】メーカー推奨／低価格で国内専用窓口の高品質な保守により、システム運用における安心を提供します。</v>
          </cell>
        </row>
        <row r="7481">
          <cell r="A7481" t="str">
            <v>H0QN8E</v>
          </cell>
          <cell r="B7481" t="str">
            <v>PC24x7DMR4年 SO3500 24TB BU用</v>
          </cell>
          <cell r="C7481" t="str">
            <v>【HPEプロアクティブケア】メーカー推奨／低価格で国内専用窓口の高品質な保守により、システム運用における安心を提供します。</v>
          </cell>
        </row>
        <row r="7482">
          <cell r="A7482" t="str">
            <v>H0QN9E</v>
          </cell>
          <cell r="B7482" t="str">
            <v>FC24x7 5年 SO3500 24TB BU用</v>
          </cell>
          <cell r="C7482" t="str">
            <v>【ファウンデーションケア】</v>
          </cell>
        </row>
        <row r="7483">
          <cell r="A7483" t="str">
            <v>H0QP0E</v>
          </cell>
          <cell r="B7483" t="str">
            <v>FC24x7DMR5年 SO3500 24TB BU用</v>
          </cell>
          <cell r="C7483" t="str">
            <v>【ファウンデーションケア】</v>
          </cell>
        </row>
        <row r="7484">
          <cell r="A7484" t="str">
            <v>H0QP1E</v>
          </cell>
          <cell r="B7484" t="str">
            <v>PC24x7 5年 SO3500 24TB BU用</v>
          </cell>
          <cell r="C7484" t="str">
            <v>【HPEプロアクティブケア】メーカー推奨／低価格で国内専用窓口の高品質な保守により、システム運用における安心を提供します。</v>
          </cell>
        </row>
        <row r="7485">
          <cell r="A7485" t="str">
            <v>H0QP2E</v>
          </cell>
          <cell r="B7485" t="str">
            <v>PC24x7DMR5年 SO3500 24TB BU用</v>
          </cell>
          <cell r="C7485" t="str">
            <v>【HPEプロアクティブケア】メーカー推奨／低価格で国内専用窓口の高品質な保守により、システム運用における安心を提供します。</v>
          </cell>
        </row>
        <row r="7486">
          <cell r="A7486" t="str">
            <v>H0QP3E</v>
          </cell>
          <cell r="B7486" t="str">
            <v>FC24x7 3年 SO5100 48TB BU用</v>
          </cell>
          <cell r="C7486" t="str">
            <v>【ファウンデーションケア】</v>
          </cell>
        </row>
        <row r="7487">
          <cell r="A7487" t="str">
            <v>H0QP4E</v>
          </cell>
          <cell r="B7487" t="str">
            <v>FC24x7DMR3年 SO5100 48TB BU用</v>
          </cell>
          <cell r="C7487" t="str">
            <v>【ファウンデーションケア】</v>
          </cell>
        </row>
        <row r="7488">
          <cell r="A7488" t="str">
            <v>H0QP5E</v>
          </cell>
          <cell r="B7488" t="str">
            <v>PC24x7 3年 SO5100 48TB BU用</v>
          </cell>
          <cell r="C7488" t="str">
            <v>【HPEプロアクティブケア】メーカー推奨／低価格で国内専用窓口の高品質な保守により、システム運用における安心を提供します。</v>
          </cell>
        </row>
        <row r="7489">
          <cell r="A7489" t="str">
            <v>H0QP6E</v>
          </cell>
          <cell r="B7489" t="str">
            <v>PC24x7DMR3年 SO5100 48TB BU用</v>
          </cell>
          <cell r="C7489" t="str">
            <v>【HPEプロアクティブケア】メーカー推奨／低価格で国内専用窓口の高品質な保守により、システム運用における安心を提供します。</v>
          </cell>
        </row>
        <row r="7490">
          <cell r="A7490" t="str">
            <v>H0QP7E</v>
          </cell>
          <cell r="B7490" t="str">
            <v>FC24x7 4年 SO5100 48TB BU用</v>
          </cell>
          <cell r="C7490" t="str">
            <v>【ファウンデーションケア】</v>
          </cell>
        </row>
        <row r="7491">
          <cell r="A7491" t="str">
            <v>H0QP8E</v>
          </cell>
          <cell r="B7491" t="str">
            <v>FC24x7DMR4年 SO5100 48TB BU用</v>
          </cell>
          <cell r="C7491" t="str">
            <v>【ファウンデーションケア】</v>
          </cell>
        </row>
        <row r="7492">
          <cell r="A7492" t="str">
            <v>H0QP9E</v>
          </cell>
          <cell r="B7492" t="str">
            <v>PC24x7 4年 SO5100 48TB BU用</v>
          </cell>
          <cell r="C7492" t="str">
            <v>【HPEプロアクティブケア】メーカー推奨／低価格で国内専用窓口の高品質な保守により、システム運用における安心を提供します。</v>
          </cell>
        </row>
        <row r="7493">
          <cell r="A7493" t="str">
            <v>H0QQ0E</v>
          </cell>
          <cell r="B7493" t="str">
            <v>PC24x7DMR4年 SO5100 48TB BU用</v>
          </cell>
          <cell r="C7493" t="str">
            <v>【HPEプロアクティブケア】メーカー推奨／低価格で国内専用窓口の高品質な保守により、システム運用における安心を提供します。</v>
          </cell>
        </row>
        <row r="7494">
          <cell r="A7494" t="str">
            <v>H0QQ1E</v>
          </cell>
          <cell r="B7494" t="str">
            <v>FC24x7 5年 SO5100 48TB BU用</v>
          </cell>
          <cell r="C7494" t="str">
            <v>【ファウンデーションケア】</v>
          </cell>
        </row>
        <row r="7495">
          <cell r="A7495" t="str">
            <v>H0QQ2E</v>
          </cell>
          <cell r="B7495" t="str">
            <v>FC24x7DMR5年 SO5100 48TB BU用</v>
          </cell>
          <cell r="C7495" t="str">
            <v>【ファウンデーションケア】</v>
          </cell>
        </row>
        <row r="7496">
          <cell r="A7496" t="str">
            <v>H0QQ3E</v>
          </cell>
          <cell r="B7496" t="str">
            <v>PC24x7 5年 SO5100 48TB BU用</v>
          </cell>
          <cell r="C7496" t="str">
            <v>【HPEプロアクティブケア】メーカー推奨／低価格で国内専用窓口の高品質な保守により、システム運用における安心を提供します。</v>
          </cell>
        </row>
        <row r="7497">
          <cell r="A7497" t="str">
            <v>H0QQ4E</v>
          </cell>
          <cell r="B7497" t="str">
            <v>PC24x7DMR5年 SO5100 48TB BU用</v>
          </cell>
          <cell r="C7497" t="str">
            <v>【HPEプロアクティブケア】メーカー推奨／低価格で国内専用窓口の高品質な保守により、システム運用における安心を提供します。</v>
          </cell>
        </row>
        <row r="7498">
          <cell r="A7498" t="str">
            <v>H0QQ5E</v>
          </cell>
          <cell r="B7498" t="str">
            <v>FC24x7 3年 SO5100 48TB Upg用</v>
          </cell>
          <cell r="C7498" t="str">
            <v>【ファウンデーションケア】</v>
          </cell>
        </row>
        <row r="7499">
          <cell r="A7499" t="str">
            <v>H0QQ6E</v>
          </cell>
          <cell r="B7499" t="str">
            <v>FC24x7DMR3年 SO5100 48TB Upg用</v>
          </cell>
          <cell r="C7499" t="str">
            <v>【ファウンデーションケア】</v>
          </cell>
        </row>
        <row r="7500">
          <cell r="A7500" t="str">
            <v>H0QQ7E</v>
          </cell>
          <cell r="B7500" t="str">
            <v>PC24x7 3年 SO5100 48TB Upg用</v>
          </cell>
          <cell r="C7500" t="str">
            <v>【HPEプロアクティブケア】メーカー推奨／低価格で国内専用窓口の高品質な保守により、システム運用における安心を提供します。</v>
          </cell>
        </row>
        <row r="7501">
          <cell r="A7501" t="str">
            <v>H0QQ8E</v>
          </cell>
          <cell r="B7501" t="str">
            <v>PC24x7DMR3年 SO5100 48TB Upg用</v>
          </cell>
          <cell r="C7501" t="str">
            <v>【HPEプロアクティブケア】メーカー推奨／低価格で国内専用窓口の高品質な保守により、システム運用における安心を提供します。</v>
          </cell>
        </row>
        <row r="7502">
          <cell r="A7502" t="str">
            <v>H0QQ9E</v>
          </cell>
          <cell r="B7502" t="str">
            <v>FC24x7 4年 SO5100 48TB Upg用</v>
          </cell>
          <cell r="C7502" t="str">
            <v>【ファウンデーションケア】</v>
          </cell>
        </row>
        <row r="7503">
          <cell r="A7503" t="str">
            <v>H0QR0E</v>
          </cell>
          <cell r="B7503" t="str">
            <v>FC24x7DMR4年 SO5100 48TB Upg用</v>
          </cell>
          <cell r="C7503" t="str">
            <v>【ファウンデーションケア】</v>
          </cell>
        </row>
        <row r="7504">
          <cell r="A7504" t="str">
            <v>H0QR1E</v>
          </cell>
          <cell r="B7504" t="str">
            <v>PC24x7 4年 SO5100 48TB Upg用</v>
          </cell>
          <cell r="C7504" t="str">
            <v>【HPEプロアクティブケア】メーカー推奨／低価格で国内専用窓口の高品質な保守により、システム運用における安心を提供します。</v>
          </cell>
        </row>
        <row r="7505">
          <cell r="A7505" t="str">
            <v>H0QR2E</v>
          </cell>
          <cell r="B7505" t="str">
            <v>PC24x7DMR4年 SO5100 48TB Upg用</v>
          </cell>
          <cell r="C7505" t="str">
            <v>【HPEプロアクティブケア】メーカー推奨／低価格で国内専用窓口の高品質な保守により、システム運用における安心を提供します。</v>
          </cell>
        </row>
        <row r="7506">
          <cell r="A7506" t="str">
            <v>H0QR3E</v>
          </cell>
          <cell r="B7506" t="str">
            <v>FC24x7 5年 SO5100 48TB Upg用</v>
          </cell>
          <cell r="C7506" t="str">
            <v>【ファウンデーションケア】</v>
          </cell>
        </row>
        <row r="7507">
          <cell r="A7507" t="str">
            <v>H0QR4E</v>
          </cell>
          <cell r="B7507" t="str">
            <v>FC24x7DMR5年 SO5100 48TB Upg用</v>
          </cell>
          <cell r="C7507" t="str">
            <v>【ファウンデーションケア】</v>
          </cell>
        </row>
        <row r="7508">
          <cell r="A7508" t="str">
            <v>H0QR5E</v>
          </cell>
          <cell r="B7508" t="str">
            <v>PC24x7 5年 SO5100 48TB Upg用</v>
          </cell>
          <cell r="C7508" t="str">
            <v>【HPEプロアクティブケア】メーカー推奨／低価格で国内専用窓口の高品質な保守により、システム運用における安心を提供します。</v>
          </cell>
        </row>
        <row r="7509">
          <cell r="A7509" t="str">
            <v>H0QR6E</v>
          </cell>
          <cell r="B7509" t="str">
            <v>PC24x7DMR5年 SO5100 48TB Upg用</v>
          </cell>
          <cell r="C7509" t="str">
            <v>【HPEプロアクティブケア】メーカー推奨／低価格で国内専用窓口の高品質な保守により、システム運用における安心を提供します。</v>
          </cell>
        </row>
        <row r="7510">
          <cell r="A7510" t="str">
            <v>H1BB8E</v>
          </cell>
          <cell r="B7510" t="str">
            <v>FC9x5 3年 B series 12/24 SwitchX用</v>
          </cell>
          <cell r="C7510" t="str">
            <v>【ファウンデーションケア】</v>
          </cell>
        </row>
        <row r="7511">
          <cell r="A7511" t="str">
            <v>H1BC3E</v>
          </cell>
          <cell r="B7511" t="str">
            <v>FC24x7 3年 B series 12/24 SwitchX用</v>
          </cell>
          <cell r="C7511" t="str">
            <v>【ファウンデーションケア】</v>
          </cell>
        </row>
        <row r="7512">
          <cell r="A7512" t="str">
            <v>H1BC5E</v>
          </cell>
          <cell r="B7512" t="str">
            <v>PC24x7 3年 B series 12/24 SwitchX用</v>
          </cell>
          <cell r="C7512" t="str">
            <v>【HPEプロアクティブケア】メーカー推奨／低価格で国内専用窓口の高品質な保守により、システム運用における安心を提供します。</v>
          </cell>
        </row>
        <row r="7513">
          <cell r="A7513" t="str">
            <v>H1BD7E</v>
          </cell>
          <cell r="B7513" t="str">
            <v>FC9x5 4年 B series 12/24 SwitchX用</v>
          </cell>
          <cell r="C7513" t="str">
            <v>【ファウンデーションケア】</v>
          </cell>
        </row>
        <row r="7514">
          <cell r="A7514" t="str">
            <v>H1BE2E</v>
          </cell>
          <cell r="B7514" t="str">
            <v>FC24x7 4年 B series 12/24 SwitchX用</v>
          </cell>
          <cell r="C7514" t="str">
            <v>【ファウンデーションケア】</v>
          </cell>
        </row>
        <row r="7515">
          <cell r="A7515" t="str">
            <v>H1BE4E</v>
          </cell>
          <cell r="B7515" t="str">
            <v>PC24x7 4年 B series 12/24 SwitchX用</v>
          </cell>
          <cell r="C7515" t="str">
            <v>【HPEプロアクティブケア】メーカー推奨／低価格で国内専用窓口の高品質な保守により、システム運用における安心を提供します。</v>
          </cell>
        </row>
        <row r="7516">
          <cell r="A7516" t="str">
            <v>H1BF6E</v>
          </cell>
          <cell r="B7516" t="str">
            <v>FC9x5 5年 B series 12/24 SwitchX用</v>
          </cell>
          <cell r="C7516" t="str">
            <v>【ファウンデーションケア】</v>
          </cell>
        </row>
        <row r="7517">
          <cell r="A7517" t="str">
            <v>H1BG1E</v>
          </cell>
          <cell r="B7517" t="str">
            <v>FC24x7 5年 B series 12/24 SwitchX用</v>
          </cell>
          <cell r="C7517" t="str">
            <v>【ファウンデーションケア】</v>
          </cell>
        </row>
        <row r="7518">
          <cell r="A7518" t="str">
            <v>H1BG3E</v>
          </cell>
          <cell r="B7518" t="str">
            <v>PC24x7 5年 B series 12/24 SwitchX用</v>
          </cell>
          <cell r="C7518" t="str">
            <v>【HPEプロアクティブケア】メーカー推奨／低価格で国内専用窓口の高品質な保守により、システム運用における安心を提供します。</v>
          </cell>
        </row>
        <row r="7519">
          <cell r="A7519" t="str">
            <v>H1BH5PE</v>
          </cell>
          <cell r="B7519" t="str">
            <v>PW FC 9x5 1年 B series 12/24 SwitchX用</v>
          </cell>
          <cell r="C7519" t="str">
            <v>【ファウンデーションケア】</v>
          </cell>
        </row>
        <row r="7520">
          <cell r="A7520" t="str">
            <v>H1BH8PE</v>
          </cell>
          <cell r="B7520" t="str">
            <v>PW FC 24x7 1年 B series 12/24 SwitchX用</v>
          </cell>
          <cell r="C7520" t="str">
            <v>【ファウンデーションケア】</v>
          </cell>
        </row>
        <row r="7521">
          <cell r="A7521" t="str">
            <v>H1BJ0PE</v>
          </cell>
          <cell r="B7521" t="str">
            <v>PW PC 24x7 1年 B series 12/24 SwitchX用</v>
          </cell>
          <cell r="C7521" t="str">
            <v>【HPEプロアクティブケア】メーカー推奨／低価格で国内専用窓口の高品質な保守により、システム運用における安心を提供します。</v>
          </cell>
        </row>
        <row r="7522">
          <cell r="A7522" t="str">
            <v>H1BJ7E</v>
          </cell>
          <cell r="B7522" t="str">
            <v>FC9x5 3年 B series 24 Switch wPP用</v>
          </cell>
          <cell r="C7522" t="str">
            <v>【ファウンデーションケア】</v>
          </cell>
        </row>
        <row r="7523">
          <cell r="A7523" t="str">
            <v>H1BK2E</v>
          </cell>
          <cell r="B7523" t="str">
            <v>FC24x7 3年 B series 24 Switch wPP用</v>
          </cell>
          <cell r="C7523" t="str">
            <v>【ファウンデーションケア】</v>
          </cell>
        </row>
        <row r="7524">
          <cell r="A7524" t="str">
            <v>H1BK4E</v>
          </cell>
          <cell r="B7524" t="str">
            <v>PC24x7 3年 B series 24 Switch wPP用</v>
          </cell>
          <cell r="C7524" t="str">
            <v>【HPEプロアクティブケア】メーカー推奨／低価格で国内専用窓口の高品質な保守により、システム運用における安心を提供します。</v>
          </cell>
        </row>
        <row r="7525">
          <cell r="A7525" t="str">
            <v>H1BL6E</v>
          </cell>
          <cell r="B7525" t="str">
            <v>FC9x5 4年 B series 24 Switch wPP用</v>
          </cell>
          <cell r="C7525" t="str">
            <v>【ファウンデーションケア】</v>
          </cell>
        </row>
        <row r="7526">
          <cell r="A7526" t="str">
            <v>H1BM1E</v>
          </cell>
          <cell r="B7526" t="str">
            <v>FC24x7 4年 B series 24 Switch wPP用</v>
          </cell>
          <cell r="C7526" t="str">
            <v>【ファウンデーションケア】</v>
          </cell>
        </row>
        <row r="7527">
          <cell r="A7527" t="str">
            <v>H1BM3E</v>
          </cell>
          <cell r="B7527" t="str">
            <v>PC24x7 4年 B series 24 Switch wPP用</v>
          </cell>
          <cell r="C7527" t="str">
            <v>【HPEプロアクティブケア】メーカー推奨／低価格で国内専用窓口の高品質な保守により、システム運用における安心を提供します。</v>
          </cell>
        </row>
        <row r="7528">
          <cell r="A7528" t="str">
            <v>H1BN5E</v>
          </cell>
          <cell r="B7528" t="str">
            <v>FC9x5 5年 B series 24 Switch wPP用</v>
          </cell>
          <cell r="C7528" t="str">
            <v>【ファウンデーションケア】</v>
          </cell>
        </row>
        <row r="7529">
          <cell r="A7529" t="str">
            <v>H1BP0E</v>
          </cell>
          <cell r="B7529" t="str">
            <v>FC24x7 5年 B series 24 Switch wPP用</v>
          </cell>
          <cell r="C7529" t="str">
            <v>【ファウンデーションケア】</v>
          </cell>
        </row>
        <row r="7530">
          <cell r="A7530" t="str">
            <v>H1BP2E</v>
          </cell>
          <cell r="B7530" t="str">
            <v>PC24x7 5年 B series 24 Switch wPP用</v>
          </cell>
          <cell r="C7530" t="str">
            <v>【HPEプロアクティブケア】メーカー推奨／低価格で国内専用窓口の高品質な保守により、システム運用における安心を提供します。</v>
          </cell>
        </row>
        <row r="7531">
          <cell r="A7531" t="str">
            <v>H1BQ4PE</v>
          </cell>
          <cell r="B7531" t="str">
            <v>PW FC 9x5 1年 B series 24 Switch wPP用</v>
          </cell>
          <cell r="C7531" t="str">
            <v>【ファウンデーションケア】</v>
          </cell>
        </row>
        <row r="7532">
          <cell r="A7532" t="str">
            <v>H1BQ7PE</v>
          </cell>
          <cell r="B7532" t="str">
            <v>PW FC 24x7 1年 B series 24 Switch wPP用</v>
          </cell>
          <cell r="C7532" t="str">
            <v>【ファウンデーションケア】</v>
          </cell>
        </row>
        <row r="7533">
          <cell r="A7533" t="str">
            <v>H1BQ9PE</v>
          </cell>
          <cell r="B7533" t="str">
            <v>PW PC 24x7 1年 B series 24 Switch wPP用</v>
          </cell>
          <cell r="C7533" t="str">
            <v>【HPEプロアクティブケア】メーカー推奨／低価格で国内専用窓口の高品質な保守により、システム運用における安心を提供します。</v>
          </cell>
        </row>
        <row r="7534">
          <cell r="A7534" t="str">
            <v>H1BX8PE</v>
          </cell>
          <cell r="B7534" t="str">
            <v>PW FC 9x5 1年 SN6000 16G48/24Swtc用</v>
          </cell>
          <cell r="C7534" t="str">
            <v>【ファウンデーションケア】</v>
          </cell>
        </row>
        <row r="7535">
          <cell r="A7535" t="str">
            <v>H1DB5E</v>
          </cell>
          <cell r="B7535" t="str">
            <v>FC9x5 3年 MSA 2042 Storage用</v>
          </cell>
          <cell r="C7535" t="str">
            <v>【ファウンデーションケア】</v>
          </cell>
        </row>
        <row r="7536">
          <cell r="A7536" t="str">
            <v>H1DB6E</v>
          </cell>
          <cell r="B7536" t="str">
            <v>FC9x5DMR 3年 MSA 2042 Storage用</v>
          </cell>
          <cell r="C7536" t="str">
            <v>【ファウンデーションケア】</v>
          </cell>
        </row>
        <row r="7537">
          <cell r="A7537" t="str">
            <v>H1DC3E</v>
          </cell>
          <cell r="B7537" t="str">
            <v>FC24x7 3年 MSA 2042 Storage用</v>
          </cell>
          <cell r="C7537" t="str">
            <v>【ファウンデーションケア】</v>
          </cell>
        </row>
        <row r="7538">
          <cell r="A7538" t="str">
            <v>H1DC4E</v>
          </cell>
          <cell r="B7538" t="str">
            <v>FC24x7DMR 3年 MSA 2042 Storage用</v>
          </cell>
          <cell r="C7538" t="str">
            <v>【ファウンデーションケア】</v>
          </cell>
        </row>
        <row r="7539">
          <cell r="A7539" t="str">
            <v>H1DC6E</v>
          </cell>
          <cell r="B7539" t="str">
            <v>PC24x7 3年 MSA 2042 Storage用</v>
          </cell>
          <cell r="C7539" t="str">
            <v>【HPEプロアクティブケア】メーカー推奨／低価格で国内専用窓口の高品質な保守により、システム運用における安心を提供します。</v>
          </cell>
        </row>
        <row r="7540">
          <cell r="A7540" t="str">
            <v>H1DC7E</v>
          </cell>
          <cell r="B7540" t="str">
            <v>PC24x7DMR 3年 MSA 2042 Storage用</v>
          </cell>
          <cell r="C7540" t="str">
            <v>【HPEプロアクティブケア】メーカー推奨／低価格で国内専用窓口の高品質な保守により、システム運用における安心を提供します。</v>
          </cell>
        </row>
        <row r="7541">
          <cell r="A7541" t="str">
            <v>H1DE4E</v>
          </cell>
          <cell r="B7541" t="str">
            <v>FC9x5 4年 MSA 2042 Storage用</v>
          </cell>
          <cell r="C7541" t="str">
            <v>【ファウンデーションケア】</v>
          </cell>
        </row>
        <row r="7542">
          <cell r="A7542" t="str">
            <v>H1DE5E</v>
          </cell>
          <cell r="B7542" t="str">
            <v>FC9x5DMR 4年 MSA 2042 Storage用</v>
          </cell>
          <cell r="C7542" t="str">
            <v>【ファウンデーションケア】</v>
          </cell>
        </row>
        <row r="7543">
          <cell r="A7543" t="str">
            <v>H1DF2E</v>
          </cell>
          <cell r="B7543" t="str">
            <v>FC24x7 4年 MSA 2042 Storage用</v>
          </cell>
          <cell r="C7543" t="str">
            <v>【ファウンデーションケア】</v>
          </cell>
        </row>
        <row r="7544">
          <cell r="A7544" t="str">
            <v>H1DF3E</v>
          </cell>
          <cell r="B7544" t="str">
            <v>FC24x7DMR 4年 MSA 2042 Storage用</v>
          </cell>
          <cell r="C7544" t="str">
            <v>【ファウンデーションケア】</v>
          </cell>
        </row>
        <row r="7545">
          <cell r="A7545" t="str">
            <v>H1DF5E</v>
          </cell>
          <cell r="B7545" t="str">
            <v>PC24x7 4年 MSA 2042 Storage用</v>
          </cell>
          <cell r="C7545" t="str">
            <v>【HPEプロアクティブケア】メーカー推奨／低価格で国内専用窓口の高品質な保守により、システム運用における安心を提供します。</v>
          </cell>
        </row>
        <row r="7546">
          <cell r="A7546" t="str">
            <v>H1DF6E</v>
          </cell>
          <cell r="B7546" t="str">
            <v>PC24x7DMR 4年 MSA 2042 Storage用</v>
          </cell>
          <cell r="C7546" t="str">
            <v>【HPEプロアクティブケア】メーカー推奨／低価格で国内専用窓口の高品質な保守により、システム運用における安心を提供します。</v>
          </cell>
        </row>
        <row r="7547">
          <cell r="A7547" t="str">
            <v>H1DH3E</v>
          </cell>
          <cell r="B7547" t="str">
            <v>FC9x5 5年 MSA 2042 Storage用</v>
          </cell>
          <cell r="C7547" t="str">
            <v>【ファウンデーションケア】</v>
          </cell>
        </row>
        <row r="7548">
          <cell r="A7548" t="str">
            <v>H1DH4E</v>
          </cell>
          <cell r="B7548" t="str">
            <v>FC9x5DMR 5年 MSA 2042 Storage用</v>
          </cell>
          <cell r="C7548" t="str">
            <v>【ファウンデーションケア】</v>
          </cell>
        </row>
        <row r="7549">
          <cell r="A7549" t="str">
            <v>H1DJ1E</v>
          </cell>
          <cell r="B7549" t="str">
            <v>FC24x7 5年 MSA 2042 Storage用</v>
          </cell>
          <cell r="C7549" t="str">
            <v>【ファウンデーションケア】</v>
          </cell>
        </row>
        <row r="7550">
          <cell r="A7550" t="str">
            <v>H1DJ2E</v>
          </cell>
          <cell r="B7550" t="str">
            <v>FC24x7DMR 5年 MSA 2042 Storage用</v>
          </cell>
          <cell r="C7550" t="str">
            <v>【ファウンデーションケア】</v>
          </cell>
        </row>
        <row r="7551">
          <cell r="A7551" t="str">
            <v>H1DJ4E</v>
          </cell>
          <cell r="B7551" t="str">
            <v>PC24x7 5年 MSA 2042 Storage用</v>
          </cell>
          <cell r="C7551" t="str">
            <v>【HPEプロアクティブケア】メーカー推奨／低価格で国内専用窓口の高品質な保守により、システム運用における安心を提供します。</v>
          </cell>
        </row>
        <row r="7552">
          <cell r="A7552" t="str">
            <v>H1DJ5E</v>
          </cell>
          <cell r="B7552" t="str">
            <v>PC24x7DMR 5年 MSA 2042 Storage用</v>
          </cell>
          <cell r="C7552" t="str">
            <v>【HPEプロアクティブケア】メーカー推奨／低価格で国内専用窓口の高品質な保守により、システム運用における安心を提供します。</v>
          </cell>
        </row>
        <row r="7553">
          <cell r="A7553" t="str">
            <v>H1DL2PE</v>
          </cell>
          <cell r="B7553" t="str">
            <v>PW FC9x5 1年 MSA 2042 Storage用</v>
          </cell>
          <cell r="C7553" t="str">
            <v>【ファウンデーションケア】</v>
          </cell>
        </row>
        <row r="7554">
          <cell r="A7554" t="str">
            <v>H1DL3PE</v>
          </cell>
          <cell r="B7554" t="str">
            <v>PW FC9x5DMR 1年 MSA 2042 Storage用</v>
          </cell>
          <cell r="C7554" t="str">
            <v>【ファウンデーションケア】</v>
          </cell>
        </row>
        <row r="7555">
          <cell r="A7555" t="str">
            <v>H1DL7PE</v>
          </cell>
          <cell r="B7555" t="str">
            <v>PW FC24x7 1年 MSA 2042 Storage用</v>
          </cell>
          <cell r="C7555" t="str">
            <v>【ファウンデーションケア】</v>
          </cell>
        </row>
        <row r="7556">
          <cell r="A7556" t="str">
            <v>H1DL8PE</v>
          </cell>
          <cell r="B7556" t="str">
            <v>PW FC24x7DMR 1年 MSA 2042 Storage用</v>
          </cell>
          <cell r="C7556" t="str">
            <v>【ファウンデーションケア】</v>
          </cell>
        </row>
        <row r="7557">
          <cell r="A7557" t="str">
            <v>H1DM0PE</v>
          </cell>
          <cell r="B7557" t="str">
            <v>PW PC24x7 1年 MSA 2042 Storage用</v>
          </cell>
          <cell r="C7557" t="str">
            <v>【HPEプロアクティブケア】メーカー推奨／低価格で国内専用窓口の高品質な保守により、システム運用における安心を提供します。</v>
          </cell>
        </row>
        <row r="7558">
          <cell r="A7558" t="str">
            <v>H1DM1PE</v>
          </cell>
          <cell r="B7558" t="str">
            <v>PW PC24x7DMR 1年 MSA 2042 Storage用</v>
          </cell>
          <cell r="C7558" t="str">
            <v>【HPEプロアクティブケア】メーカー推奨／低価格で国内専用窓口の高品質な保守により、システム運用における安心を提供します。</v>
          </cell>
        </row>
        <row r="7559">
          <cell r="A7559" t="str">
            <v>H1DP9E</v>
          </cell>
          <cell r="B7559" t="str">
            <v>FC9x5 3年 SN6600B 32Gb FCスイッチ用</v>
          </cell>
          <cell r="C7559" t="str">
            <v>【ファウンデーションケア】</v>
          </cell>
        </row>
        <row r="7560">
          <cell r="A7560" t="str">
            <v>H1DQ4E</v>
          </cell>
          <cell r="B7560" t="str">
            <v>FC24x7 3年 SN6600B 32Gb FCスイッチ用</v>
          </cell>
          <cell r="C7560" t="str">
            <v>【ファウンデーションケア】</v>
          </cell>
        </row>
        <row r="7561">
          <cell r="A7561" t="str">
            <v>H1DQ6E</v>
          </cell>
          <cell r="B7561" t="str">
            <v>PC24x7 3年  SN6600B 32Gb FCスイッチ用</v>
          </cell>
          <cell r="C7561" t="str">
            <v>【HPEプロアクティブケア】メーカー推奨／低価格で国内専用窓口の高品質な保守により、システム運用における安心を提供します。</v>
          </cell>
        </row>
        <row r="7562">
          <cell r="A7562" t="str">
            <v>H1DR8E</v>
          </cell>
          <cell r="B7562" t="str">
            <v>FC9x5 4年 SN6600B 32Gb FCスイッチ用</v>
          </cell>
          <cell r="C7562" t="str">
            <v>【ファウンデーションケア】</v>
          </cell>
        </row>
        <row r="7563">
          <cell r="A7563" t="str">
            <v>H1DS3E</v>
          </cell>
          <cell r="B7563" t="str">
            <v>FC24x7 4年 SN6600B 32Gb FCスイッチ用</v>
          </cell>
          <cell r="C7563" t="str">
            <v>【ファウンデーションケア】</v>
          </cell>
        </row>
        <row r="7564">
          <cell r="A7564" t="str">
            <v>H1DS5E</v>
          </cell>
          <cell r="B7564" t="str">
            <v>PC24x7 4年  SN6600B 32Gb FCスイッチ用</v>
          </cell>
          <cell r="C7564" t="str">
            <v>【HPEプロアクティブケア】メーカー推奨／低価格で国内専用窓口の高品質な保守により、システム運用における安心を提供します。</v>
          </cell>
        </row>
        <row r="7565">
          <cell r="A7565" t="str">
            <v>H1DT7E</v>
          </cell>
          <cell r="B7565" t="str">
            <v>FC9x5 5年 SN6600B 32Gb FCスイッチ用</v>
          </cell>
          <cell r="C7565" t="str">
            <v>【ファウンデーションケア】</v>
          </cell>
        </row>
        <row r="7566">
          <cell r="A7566" t="str">
            <v>H1DU2E</v>
          </cell>
          <cell r="B7566" t="str">
            <v>FC24x7 5年 SN6600B 32Gb FCスイッチ用</v>
          </cell>
          <cell r="C7566" t="str">
            <v>【ファウンデーションケア】</v>
          </cell>
        </row>
        <row r="7567">
          <cell r="A7567" t="str">
            <v>H1DU4E</v>
          </cell>
          <cell r="B7567" t="str">
            <v>PC24x7 5年  SN6600B 32Gb FCスイッチ用</v>
          </cell>
          <cell r="C7567" t="str">
            <v>【HPEプロアクティブケア】メーカー推奨／低価格で国内専用窓口の高品質な保守により、システム運用における安心を提供します。</v>
          </cell>
        </row>
        <row r="7568">
          <cell r="A7568" t="str">
            <v>H1DW9E</v>
          </cell>
          <cell r="B7568" t="str">
            <v>FC9x5 3年 SN6600B 32Gb FCスイッチ PP用</v>
          </cell>
          <cell r="C7568" t="str">
            <v>【ファウンデーションケア】</v>
          </cell>
        </row>
        <row r="7569">
          <cell r="A7569" t="str">
            <v>H1DX4E</v>
          </cell>
          <cell r="B7569" t="str">
            <v>FC24x7 3年 SN6600B 32Gb FCスイッチ PP用</v>
          </cell>
          <cell r="C7569" t="str">
            <v>【ファウンデーションケア】</v>
          </cell>
        </row>
        <row r="7570">
          <cell r="A7570" t="str">
            <v>H1DX6E</v>
          </cell>
          <cell r="B7570" t="str">
            <v>PC24x7 3年  SN6600B 32Gb FCスイッチ PP用</v>
          </cell>
          <cell r="C7570" t="str">
            <v>【HPEプロアクティブケア】メーカー推奨／低価格で国内専用窓口の高品質な保守により、システム運用における安心を提供します。</v>
          </cell>
        </row>
        <row r="7571">
          <cell r="A7571" t="str">
            <v>H1DY8E</v>
          </cell>
          <cell r="B7571" t="str">
            <v>FC9x5 4年 SN6600B 32Gb FCスイッチ PP用</v>
          </cell>
          <cell r="C7571" t="str">
            <v>【ファウンデーションケア】</v>
          </cell>
        </row>
        <row r="7572">
          <cell r="A7572" t="str">
            <v>H1DZ3E</v>
          </cell>
          <cell r="B7572" t="str">
            <v>FC24x7 4年 SN6600B 32Gb FCスイッチ PP用</v>
          </cell>
          <cell r="C7572" t="str">
            <v>【ファウンデーションケア】</v>
          </cell>
        </row>
        <row r="7573">
          <cell r="A7573" t="str">
            <v>H1DZ5E</v>
          </cell>
          <cell r="B7573" t="str">
            <v>PC24x7 4年  SN6600B 32Gb FCスイッチ PP用</v>
          </cell>
          <cell r="C7573" t="str">
            <v>【HPEプロアクティブケア】メーカー推奨／低価格で国内専用窓口の高品質な保守により、システム運用における安心を提供します。</v>
          </cell>
        </row>
        <row r="7574">
          <cell r="A7574" t="str">
            <v>H1EA7E</v>
          </cell>
          <cell r="B7574" t="str">
            <v>FC9x5 5年 SN6600B 32Gb FCスイッチ PP用</v>
          </cell>
          <cell r="C7574" t="str">
            <v>【ファウンデーションケア】</v>
          </cell>
        </row>
        <row r="7575">
          <cell r="A7575" t="str">
            <v>H1EB2E</v>
          </cell>
          <cell r="B7575" t="str">
            <v>FC24x7 5年 SN6600B 32Gb FCスイッチ PP用</v>
          </cell>
          <cell r="C7575" t="str">
            <v>【ファウンデーションケア】</v>
          </cell>
        </row>
        <row r="7576">
          <cell r="A7576" t="str">
            <v>H1EB5E</v>
          </cell>
          <cell r="B7576" t="str">
            <v>PC24x7 5年  SN6600B 32Gb FCスイッチ PP用</v>
          </cell>
          <cell r="C7576" t="str">
            <v>【HPEプロアクティブケア】メーカー推奨／低価格で国内専用窓口の高品質な保守により、システム運用における安心を提供します。</v>
          </cell>
        </row>
        <row r="7577">
          <cell r="A7577" t="str">
            <v>H1EF1E</v>
          </cell>
          <cell r="B7577" t="str">
            <v>FC9x5 3年 SN3600B 32G Swch用</v>
          </cell>
          <cell r="C7577" t="str">
            <v>【ファウンデーションケア】</v>
          </cell>
        </row>
        <row r="7578">
          <cell r="A7578" t="str">
            <v>H1EF6E</v>
          </cell>
          <cell r="B7578" t="str">
            <v>FC24x7 3年 SN3600B 32G Swch用</v>
          </cell>
          <cell r="C7578" t="str">
            <v>【ファウンデーションケア】</v>
          </cell>
        </row>
        <row r="7579">
          <cell r="A7579" t="str">
            <v>H1EF8E</v>
          </cell>
          <cell r="B7579" t="str">
            <v>PC24x7 3年 SN3600B 32G Swch用</v>
          </cell>
          <cell r="C7579" t="str">
            <v>【HPEプロアクティブケア】メーカー推奨／低価格で国内専用窓口の高品質な保守により、システム運用における安心を提供します。</v>
          </cell>
        </row>
        <row r="7580">
          <cell r="A7580" t="str">
            <v>H1EH0E</v>
          </cell>
          <cell r="B7580" t="str">
            <v>FC9x5 4年 SN3600B 32G Swch用</v>
          </cell>
          <cell r="C7580" t="str">
            <v>【ファウンデーションケア】</v>
          </cell>
        </row>
        <row r="7581">
          <cell r="A7581" t="str">
            <v>H1EH5E</v>
          </cell>
          <cell r="B7581" t="str">
            <v>FC24x7 4年 SN3600B 32G Swch用</v>
          </cell>
          <cell r="C7581" t="str">
            <v>【ファウンデーションケア】</v>
          </cell>
        </row>
        <row r="7582">
          <cell r="A7582" t="str">
            <v>H1EX6PE</v>
          </cell>
          <cell r="B7582" t="str">
            <v>PW FC 9x5 1年 SE 1650 Extended用</v>
          </cell>
          <cell r="C7582" t="str">
            <v>【ファウンデーションケア】</v>
          </cell>
        </row>
        <row r="7583">
          <cell r="A7583" t="str">
            <v>H1EX7PE</v>
          </cell>
          <cell r="B7583" t="str">
            <v>PW FC 9x5 DMR 1年 SE 1650 Extended用</v>
          </cell>
          <cell r="C7583" t="str">
            <v>【ファウンデーションケア】</v>
          </cell>
        </row>
        <row r="7584">
          <cell r="A7584" t="str">
            <v>H1EY1PE</v>
          </cell>
          <cell r="B7584" t="str">
            <v>PW FC 24x7 1年 SE 1650 Extended用</v>
          </cell>
          <cell r="C7584" t="str">
            <v>【ファウンデーションケア】</v>
          </cell>
        </row>
        <row r="7585">
          <cell r="A7585" t="str">
            <v>H1EY2PE</v>
          </cell>
          <cell r="B7585" t="str">
            <v>PW FC24x7DMR 1年 SE 1650 Extended用</v>
          </cell>
          <cell r="C7585" t="str">
            <v>【ファウンデーションケア】</v>
          </cell>
        </row>
        <row r="7586">
          <cell r="A7586" t="str">
            <v>H1EY4PE</v>
          </cell>
          <cell r="B7586" t="str">
            <v>PW PC 24x7 1年 SE 1650 Extended用</v>
          </cell>
          <cell r="C7586" t="str">
            <v>【HPEプロアクティブケア】メーカー推奨／低価格で国内専用窓口の高品質な保守により、システム運用における安心を提供します。</v>
          </cell>
        </row>
        <row r="7587">
          <cell r="A7587" t="str">
            <v>H1EY5PE</v>
          </cell>
          <cell r="B7587" t="str">
            <v>PW PC 24x7 DMR 1年 SE 1650 Extended用</v>
          </cell>
          <cell r="C7587" t="str">
            <v>【HPEプロアクティブケア】メーカー推奨／低価格で国内専用窓口の高品質な保守により、システム運用における安心を提供します。</v>
          </cell>
        </row>
        <row r="7588">
          <cell r="A7588" t="str">
            <v>H1FV6E</v>
          </cell>
          <cell r="B7588" t="str">
            <v>FC9x5 3年 LTO-7 Ext Tap Driv用</v>
          </cell>
          <cell r="C7588" t="str">
            <v>【ファウンデーションケア】</v>
          </cell>
        </row>
        <row r="7589">
          <cell r="A7589" t="str">
            <v>H1FV9E</v>
          </cell>
          <cell r="B7589" t="str">
            <v>FC24x7 3年 LTO-7 Ext Tap Driv用</v>
          </cell>
          <cell r="C7589" t="str">
            <v>【ファウンデーションケア】</v>
          </cell>
        </row>
        <row r="7590">
          <cell r="A7590" t="str">
            <v>H1FW1E</v>
          </cell>
          <cell r="B7590" t="str">
            <v>PC24x7 3年 LTO-7 Ext Tap Driv用</v>
          </cell>
          <cell r="C7590" t="str">
            <v>【HPEプロアクティブケア】メーカー推奨／低価格で国内専用窓口の高品質な保守により、システム運用における安心を提供します。</v>
          </cell>
        </row>
        <row r="7591">
          <cell r="A7591" t="str">
            <v>H1FW9E</v>
          </cell>
          <cell r="B7591" t="str">
            <v>FC9x5 4年 LTO-7 Ext Tap Driv用</v>
          </cell>
          <cell r="C7591" t="str">
            <v>【ファウンデーションケア】</v>
          </cell>
        </row>
        <row r="7592">
          <cell r="A7592" t="str">
            <v>H1FX2E</v>
          </cell>
          <cell r="B7592" t="str">
            <v>FC24x7 4年 LTO-7 Ext Tap Driv用</v>
          </cell>
          <cell r="C7592" t="str">
            <v>【ファウンデーションケア】</v>
          </cell>
        </row>
        <row r="7593">
          <cell r="A7593" t="str">
            <v>H1FX4E</v>
          </cell>
          <cell r="B7593" t="str">
            <v>PC24x7 4年 LTO-7 Ext Tap Driv用</v>
          </cell>
          <cell r="C7593" t="str">
            <v>【HPEプロアクティブケア】メーカー推奨／低価格で国内専用窓口の高品質な保守により、システム運用における安心を提供します。</v>
          </cell>
        </row>
        <row r="7594">
          <cell r="A7594" t="str">
            <v>H1FY2E</v>
          </cell>
          <cell r="B7594" t="str">
            <v>FC9x5 5年 LTO-7 Ext Tap Driv用</v>
          </cell>
          <cell r="C7594" t="str">
            <v>【ファウンデーションケア】</v>
          </cell>
        </row>
        <row r="7595">
          <cell r="A7595" t="str">
            <v>H1FY5E</v>
          </cell>
          <cell r="B7595" t="str">
            <v>FC24x7 5年 LTO-7 Ext Tap Driv用</v>
          </cell>
          <cell r="C7595" t="str">
            <v>【ファウンデーションケア】</v>
          </cell>
        </row>
        <row r="7596">
          <cell r="A7596" t="str">
            <v>H1FY7E</v>
          </cell>
          <cell r="B7596" t="str">
            <v>PC24x7 5年 LTO-7 Ext Tap Driv用</v>
          </cell>
          <cell r="C7596" t="str">
            <v>【HPEプロアクティブケア】メーカー推奨／低価格で国内専用窓口の高品質な保守により、システム運用における安心を提供します。</v>
          </cell>
        </row>
        <row r="7597">
          <cell r="A7597" t="str">
            <v>H1FZ5PE</v>
          </cell>
          <cell r="B7597" t="str">
            <v>HPE PW FC9x5 1年 LTO-7 Ext Tap Driv用</v>
          </cell>
          <cell r="C7597" t="str">
            <v>【ファウンデーションケア】</v>
          </cell>
        </row>
        <row r="7598">
          <cell r="A7598" t="str">
            <v>H1FZ8PE</v>
          </cell>
          <cell r="B7598" t="str">
            <v>HPE PW FC24x7 1年 LTO-7 Ext Tap Driv用</v>
          </cell>
          <cell r="C7598" t="str">
            <v>【ファウンデーションケア】</v>
          </cell>
        </row>
        <row r="7599">
          <cell r="A7599" t="str">
            <v>H1GA0PE</v>
          </cell>
          <cell r="B7599" t="str">
            <v>HPE PW PC24x7 1年 LTO-7 Ext Tap Driv用</v>
          </cell>
          <cell r="C7599" t="str">
            <v>【HPEプロアクティブケア】メーカー推奨／低価格で国内専用窓口の高品質な保守により、システム運用における安心を提供します。</v>
          </cell>
        </row>
        <row r="7600">
          <cell r="A7600" t="str">
            <v>H1GA9E</v>
          </cell>
          <cell r="B7600" t="str">
            <v>FC9x5 3年 LTO 7 Autoloader用</v>
          </cell>
          <cell r="C7600" t="str">
            <v>【ファウンデーションケア】</v>
          </cell>
        </row>
        <row r="7601">
          <cell r="A7601" t="str">
            <v>H1GB2E</v>
          </cell>
          <cell r="B7601" t="str">
            <v>FC24x7 3年 LTO 7 Autoloader用</v>
          </cell>
          <cell r="C7601" t="str">
            <v>【ファウンデーションケア】</v>
          </cell>
        </row>
        <row r="7602">
          <cell r="A7602" t="str">
            <v>H1GB4E</v>
          </cell>
          <cell r="B7602" t="str">
            <v>PC24x7 3年 LTO 7 Autoloader用</v>
          </cell>
          <cell r="C7602" t="str">
            <v>【HPEプロアクティブケア】メーカー推奨／低価格で国内専用窓口の高品質な保守により、システム運用における安心を提供します。</v>
          </cell>
        </row>
        <row r="7603">
          <cell r="A7603" t="str">
            <v>H1GC2E</v>
          </cell>
          <cell r="B7603" t="str">
            <v>FC9x5 4年 LTO 7 Autoloader用</v>
          </cell>
          <cell r="C7603" t="str">
            <v>【ファウンデーションケア】</v>
          </cell>
        </row>
        <row r="7604">
          <cell r="A7604" t="str">
            <v>H1GC5E</v>
          </cell>
          <cell r="B7604" t="str">
            <v>FC24x7 4年 LTO 7 Autoloader用</v>
          </cell>
          <cell r="C7604" t="str">
            <v>【ファウンデーションケア】</v>
          </cell>
        </row>
        <row r="7605">
          <cell r="A7605" t="str">
            <v>H1GC7E</v>
          </cell>
          <cell r="B7605" t="str">
            <v>PC24x7 4年 LTO 7 Autoloader用</v>
          </cell>
          <cell r="C7605" t="str">
            <v>【HPEプロアクティブケア】メーカー推奨／低価格で国内専用窓口の高品質な保守により、システム運用における安心を提供します。</v>
          </cell>
        </row>
        <row r="7606">
          <cell r="A7606" t="str">
            <v>H1GD5E</v>
          </cell>
          <cell r="B7606" t="str">
            <v>FC9x5 5年 LTO 7 Autoloader用</v>
          </cell>
          <cell r="C7606" t="str">
            <v>【ファウンデーションケア】</v>
          </cell>
        </row>
        <row r="7607">
          <cell r="A7607" t="str">
            <v>H1GD8E</v>
          </cell>
          <cell r="B7607" t="str">
            <v>FC24x7 5年 LTO 7 Autoloader用</v>
          </cell>
          <cell r="C7607" t="str">
            <v>【ファウンデーションケア】</v>
          </cell>
        </row>
        <row r="7608">
          <cell r="A7608" t="str">
            <v>H1GE0E</v>
          </cell>
          <cell r="B7608" t="str">
            <v>PC24x7 5年 LTO 7 Autoloader用</v>
          </cell>
          <cell r="C7608" t="str">
            <v>【HPEプロアクティブケア】メーカー推奨／低価格で国内専用窓口の高品質な保守により、システム運用における安心を提供します。</v>
          </cell>
        </row>
        <row r="7609">
          <cell r="A7609" t="str">
            <v>H1GE8PE</v>
          </cell>
          <cell r="B7609" t="str">
            <v>HPE PW FC9x5 1年 LTO 7 Autoloader用</v>
          </cell>
          <cell r="C7609" t="str">
            <v>【ファウンデーションケア】</v>
          </cell>
        </row>
        <row r="7610">
          <cell r="A7610" t="str">
            <v>H1GF1PE</v>
          </cell>
          <cell r="B7610" t="str">
            <v>HPE PW FC24x7 1年 LTO 7 Autoloader用</v>
          </cell>
          <cell r="C7610" t="str">
            <v>【ファウンデーションケア】</v>
          </cell>
        </row>
        <row r="7611">
          <cell r="A7611" t="str">
            <v>H1GF3PE</v>
          </cell>
          <cell r="B7611" t="str">
            <v>HPE PW PC24x7 1年 LTO 7 Autoloader用</v>
          </cell>
          <cell r="C7611" t="str">
            <v>【HPEプロアクティブケア】メーカー推奨／低価格で国内専用窓口の高品質な保守により、システム運用における安心を提供します。</v>
          </cell>
        </row>
        <row r="7612">
          <cell r="A7612" t="str">
            <v>H1SX5E</v>
          </cell>
          <cell r="B7612" t="str">
            <v>FC9x5 3年 Ext RDX用</v>
          </cell>
          <cell r="C7612" t="str">
            <v>【ファウンデーションケア】</v>
          </cell>
        </row>
        <row r="7613">
          <cell r="A7613" t="str">
            <v>H1SX7E</v>
          </cell>
          <cell r="B7613" t="str">
            <v>FC9x5 4年 Ext RDX用</v>
          </cell>
          <cell r="C7613" t="str">
            <v>【ファウンデーションケア】</v>
          </cell>
        </row>
        <row r="7614">
          <cell r="A7614" t="str">
            <v>H1SX9E</v>
          </cell>
          <cell r="B7614" t="str">
            <v>FC9x5 5年 Ext RDX用</v>
          </cell>
          <cell r="C7614" t="str">
            <v>【ファウンデーションケア】</v>
          </cell>
        </row>
        <row r="7615">
          <cell r="A7615" t="str">
            <v>H2JD1E</v>
          </cell>
          <cell r="B7615" t="str">
            <v>FC9x5 3年 D6020 Enclosure用</v>
          </cell>
          <cell r="C7615" t="str">
            <v>【ファウンデーションケア】</v>
          </cell>
        </row>
        <row r="7616">
          <cell r="A7616" t="str">
            <v>H2JD2E</v>
          </cell>
          <cell r="B7616" t="str">
            <v>FC9x5 DMR 3年 D6020 Enclosure用</v>
          </cell>
          <cell r="C7616" t="str">
            <v>【ファウンデーションケア】</v>
          </cell>
        </row>
        <row r="7617">
          <cell r="A7617" t="str">
            <v>H2JD9E</v>
          </cell>
          <cell r="B7617" t="str">
            <v>FC24x7 3年 D6020 Enclosure用</v>
          </cell>
          <cell r="C7617" t="str">
            <v>【ファウンデーションケア】</v>
          </cell>
        </row>
        <row r="7618">
          <cell r="A7618" t="str">
            <v>H2JE0E</v>
          </cell>
          <cell r="B7618" t="str">
            <v>FC24x7 DMR 3年 D6020 Enclosure用</v>
          </cell>
          <cell r="C7618" t="str">
            <v>【ファウンデーションケア】</v>
          </cell>
        </row>
        <row r="7619">
          <cell r="A7619" t="str">
            <v>H2JE2E</v>
          </cell>
          <cell r="B7619" t="str">
            <v>PC24x7 3年 D6020 Enclosure用</v>
          </cell>
          <cell r="C7619" t="str">
            <v>【HPEプロアクティブケア】メーカー推奨／低価格で国内専用窓口の高品質な保守により、システム運用における安心を提供します。</v>
          </cell>
        </row>
        <row r="7620">
          <cell r="A7620" t="str">
            <v>H2JE3E</v>
          </cell>
          <cell r="B7620" t="str">
            <v>PC24x7 DMR 3年 D6020 Enclosure用</v>
          </cell>
          <cell r="C7620" t="str">
            <v>【HPEプロアクティブケア】メーカー推奨／低価格で国内専用窓口の高品質な保守により、システム運用における安心を提供します。</v>
          </cell>
        </row>
        <row r="7621">
          <cell r="A7621" t="str">
            <v>H2JG0E</v>
          </cell>
          <cell r="B7621" t="str">
            <v>FC9x5 4年 D6020 Enclosure用</v>
          </cell>
          <cell r="C7621" t="str">
            <v>【ファウンデーションケア】</v>
          </cell>
        </row>
        <row r="7622">
          <cell r="A7622" t="str">
            <v>H2JG1E</v>
          </cell>
          <cell r="B7622" t="str">
            <v>FC9x5 DMR 4年 D6020 Enclosure用</v>
          </cell>
          <cell r="C7622" t="str">
            <v>【ファウンデーションケア】</v>
          </cell>
        </row>
        <row r="7623">
          <cell r="A7623" t="str">
            <v>H2JG8E</v>
          </cell>
          <cell r="B7623" t="str">
            <v>FC24x7 4年 D6020 Enclosure用</v>
          </cell>
          <cell r="C7623" t="str">
            <v>【ファウンデーションケア】</v>
          </cell>
        </row>
        <row r="7624">
          <cell r="A7624" t="str">
            <v>H2JG9E</v>
          </cell>
          <cell r="B7624" t="str">
            <v>FC24x7 DMR 4年 D6020 Enclosure用</v>
          </cell>
          <cell r="C7624" t="str">
            <v>【ファウンデーションケア】</v>
          </cell>
        </row>
        <row r="7625">
          <cell r="A7625" t="str">
            <v>H2JH1E</v>
          </cell>
          <cell r="B7625" t="str">
            <v>PC24x7 4年 D6020 Enclosure用</v>
          </cell>
          <cell r="C7625" t="str">
            <v>【HPEプロアクティブケア】メーカー推奨／低価格で国内専用窓口の高品質な保守により、システム運用における安心を提供します。</v>
          </cell>
        </row>
        <row r="7626">
          <cell r="A7626" t="str">
            <v>H2JH2E</v>
          </cell>
          <cell r="B7626" t="str">
            <v>PC24x7 DMR 4年 D6020 Enclosure用</v>
          </cell>
          <cell r="C7626" t="str">
            <v>【HPEプロアクティブケア】メーカー推奨／低価格で国内専用窓口の高品質な保守により、システム運用における安心を提供します。</v>
          </cell>
        </row>
        <row r="7627">
          <cell r="A7627" t="str">
            <v>H2JJ9E</v>
          </cell>
          <cell r="B7627" t="str">
            <v>FC9x5 5年 D6020 Enclosure用</v>
          </cell>
          <cell r="C7627" t="str">
            <v>【ファウンデーションケア】</v>
          </cell>
        </row>
        <row r="7628">
          <cell r="A7628" t="str">
            <v>H2JK0E</v>
          </cell>
          <cell r="B7628" t="str">
            <v>FC9x5 DMR 5年 D6020 Enclosure用</v>
          </cell>
          <cell r="C7628" t="str">
            <v>【ファウンデーションケア】</v>
          </cell>
        </row>
        <row r="7629">
          <cell r="A7629" t="str">
            <v>H2JK7E</v>
          </cell>
          <cell r="B7629" t="str">
            <v>FC24x7 5年 D6020 Enclosure用</v>
          </cell>
          <cell r="C7629" t="str">
            <v>【ファウンデーションケア】</v>
          </cell>
        </row>
        <row r="7630">
          <cell r="A7630" t="str">
            <v>H2JK8E</v>
          </cell>
          <cell r="B7630" t="str">
            <v>FC24x7 DMR 5年 D6020 Enclosure用</v>
          </cell>
          <cell r="C7630" t="str">
            <v>【ファウンデーションケア】</v>
          </cell>
        </row>
        <row r="7631">
          <cell r="A7631" t="str">
            <v>H2JL0E</v>
          </cell>
          <cell r="B7631" t="str">
            <v>PC24x7 5年 D6020 Enclosure用</v>
          </cell>
          <cell r="C7631" t="str">
            <v>【HPEプロアクティブケア】メーカー推奨／低価格で国内専用窓口の高品質な保守により、システム運用における安心を提供します。</v>
          </cell>
        </row>
        <row r="7632">
          <cell r="A7632" t="str">
            <v>H2JL1E</v>
          </cell>
          <cell r="B7632" t="str">
            <v>PC24x7 DMR 5年 D6020 Enclosure用</v>
          </cell>
          <cell r="C7632" t="str">
            <v>【HPEプロアクティブケア】メーカー推奨／低価格で国内専用窓口の高品質な保守により、システム運用における安心を提供します。</v>
          </cell>
        </row>
        <row r="7633">
          <cell r="A7633" t="str">
            <v>H2JM8PE</v>
          </cell>
          <cell r="B7633" t="str">
            <v>PW FC 9x5 1年 D6020 Enclosure用</v>
          </cell>
          <cell r="C7633" t="str">
            <v>【ファウンデーションケア】</v>
          </cell>
        </row>
        <row r="7634">
          <cell r="A7634" t="str">
            <v>H2JM9PE</v>
          </cell>
          <cell r="B7634" t="str">
            <v>PW FC 9x5 DMR 1年 D6020 Enclosure用</v>
          </cell>
          <cell r="C7634" t="str">
            <v>【ファウンデーションケア】</v>
          </cell>
        </row>
        <row r="7635">
          <cell r="A7635" t="str">
            <v>H2JN3PE</v>
          </cell>
          <cell r="B7635" t="str">
            <v>PW FC 24x7 1年 D6020 Enclosure用</v>
          </cell>
          <cell r="C7635" t="str">
            <v>【ファウンデーションケア】</v>
          </cell>
        </row>
        <row r="7636">
          <cell r="A7636" t="str">
            <v>H2JN4PE</v>
          </cell>
          <cell r="B7636" t="str">
            <v>PW FC 24x7DMR 1年 D6020 Enclosure用</v>
          </cell>
          <cell r="C7636" t="str">
            <v>【ファウンデーションケア】</v>
          </cell>
        </row>
        <row r="7637">
          <cell r="A7637" t="str">
            <v>H2JN6PE</v>
          </cell>
          <cell r="B7637" t="str">
            <v>PW PC 24x7 1年 D6020 Enclosure用</v>
          </cell>
          <cell r="C7637" t="str">
            <v>【HPEプロアクティブケア】メーカー推奨／低価格で国内専用窓口の高品質な保守により、システム運用における安心を提供します。</v>
          </cell>
        </row>
        <row r="7638">
          <cell r="A7638" t="str">
            <v>H2JN7PE</v>
          </cell>
          <cell r="B7638" t="str">
            <v>PW PC 24x7 DMR 1年 D6020 Enclosure用</v>
          </cell>
          <cell r="C7638" t="str">
            <v>【HPEプロアクティブケア】メーカー推奨／低価格で国内専用窓口の高品質な保守により、システム運用における安心を提供します。</v>
          </cell>
        </row>
        <row r="7639">
          <cell r="A7639" t="str">
            <v>H2TK2E</v>
          </cell>
          <cell r="B7639" t="str">
            <v>FC9x5 3年 StorVir 3200用</v>
          </cell>
          <cell r="C7639" t="str">
            <v>【ファウンデーションケア】</v>
          </cell>
        </row>
        <row r="7640">
          <cell r="A7640" t="str">
            <v>H2TK3E</v>
          </cell>
          <cell r="B7640" t="str">
            <v>FC9x5DMR 3年 StorVir 3200用</v>
          </cell>
          <cell r="C7640" t="str">
            <v>【ファウンデーションケア】</v>
          </cell>
        </row>
        <row r="7641">
          <cell r="A7641" t="str">
            <v>H2TL0E</v>
          </cell>
          <cell r="B7641" t="str">
            <v>FC24x7 3年 StorVir 3200用</v>
          </cell>
          <cell r="C7641" t="str">
            <v>【ファウンデーションケア】</v>
          </cell>
        </row>
        <row r="7642">
          <cell r="A7642" t="str">
            <v>H2TL1E</v>
          </cell>
          <cell r="B7642" t="str">
            <v>FC24x7DMR 3年 StorVir 3200用</v>
          </cell>
          <cell r="C7642" t="str">
            <v>【ファウンデーションケア】</v>
          </cell>
        </row>
        <row r="7643">
          <cell r="A7643" t="str">
            <v>H2TL3E</v>
          </cell>
          <cell r="B7643" t="str">
            <v>PC24x7 3年 StorVir 3200用</v>
          </cell>
          <cell r="C7643" t="str">
            <v>【HPEプロアクティブケア】メーカー推奨／低価格で国内専用窓口の高品質な保守により、システム運用における安心を提供します。</v>
          </cell>
        </row>
        <row r="7644">
          <cell r="A7644" t="str">
            <v>H2TL4E</v>
          </cell>
          <cell r="B7644" t="str">
            <v>PC24x7DMR 3年 StorVir 3200用</v>
          </cell>
          <cell r="C7644" t="str">
            <v>【HPEプロアクティブケア】メーカー推奨／低価格で国内専用窓口の高品質な保守により、システム運用における安心を提供します。</v>
          </cell>
        </row>
        <row r="7645">
          <cell r="A7645" t="str">
            <v>H2TN1E</v>
          </cell>
          <cell r="B7645" t="str">
            <v>FC9x5 4年 StorVir 3200用</v>
          </cell>
          <cell r="C7645" t="str">
            <v>【ファウンデーションケア】</v>
          </cell>
        </row>
        <row r="7646">
          <cell r="A7646" t="str">
            <v>H2TN2E</v>
          </cell>
          <cell r="B7646" t="str">
            <v>FC9x5DMR 4年 StorVir 3200用</v>
          </cell>
          <cell r="C7646" t="str">
            <v>【ファウンデーションケア】</v>
          </cell>
        </row>
        <row r="7647">
          <cell r="A7647" t="str">
            <v>H2TN9E</v>
          </cell>
          <cell r="B7647" t="str">
            <v>FC24x7 4年 StorVir 3200用</v>
          </cell>
          <cell r="C7647" t="str">
            <v>【ファウンデーションケア】</v>
          </cell>
        </row>
        <row r="7648">
          <cell r="A7648" t="str">
            <v>H2TP0E</v>
          </cell>
          <cell r="B7648" t="str">
            <v>FC24x7DMR 4年 StorVir 3200用</v>
          </cell>
          <cell r="C7648" t="str">
            <v>【ファウンデーションケア】</v>
          </cell>
        </row>
        <row r="7649">
          <cell r="A7649" t="str">
            <v>H2TP2E</v>
          </cell>
          <cell r="B7649" t="str">
            <v>PC24x7 4年 StorVir 3200用</v>
          </cell>
          <cell r="C7649" t="str">
            <v>【HPEプロアクティブケア】メーカー推奨／低価格で国内専用窓口の高品質な保守により、システム運用における安心を提供します。</v>
          </cell>
        </row>
        <row r="7650">
          <cell r="A7650" t="str">
            <v>H2TP3E</v>
          </cell>
          <cell r="B7650" t="str">
            <v>PC24x7DMR 4年 StorVir 3200用</v>
          </cell>
          <cell r="C7650" t="str">
            <v>【HPEプロアクティブケア】メーカー推奨／低価格で国内専用窓口の高品質な保守により、システム運用における安心を提供します。</v>
          </cell>
        </row>
        <row r="7651">
          <cell r="A7651" t="str">
            <v>H2TR0E</v>
          </cell>
          <cell r="B7651" t="str">
            <v>FC9x5 5年 StorVir 3200用</v>
          </cell>
          <cell r="C7651" t="str">
            <v>【ファウンデーションケア】</v>
          </cell>
        </row>
        <row r="7652">
          <cell r="A7652" t="str">
            <v>H2TR1E</v>
          </cell>
          <cell r="B7652" t="str">
            <v>FC9x5DMR 5年 StorVir 3200用</v>
          </cell>
          <cell r="C7652" t="str">
            <v>【ファウンデーションケア】</v>
          </cell>
        </row>
        <row r="7653">
          <cell r="A7653" t="str">
            <v>H2TR8E</v>
          </cell>
          <cell r="B7653" t="str">
            <v>FC24x7 5年 StorVir 3200用</v>
          </cell>
          <cell r="C7653" t="str">
            <v>【ファウンデーションケア】</v>
          </cell>
        </row>
        <row r="7654">
          <cell r="A7654" t="str">
            <v>H2TR9E</v>
          </cell>
          <cell r="B7654" t="str">
            <v>FC24x7DMR 5年 StorVir 3200用</v>
          </cell>
          <cell r="C7654" t="str">
            <v>【ファウンデーションケア】</v>
          </cell>
        </row>
        <row r="7655">
          <cell r="A7655" t="str">
            <v>H2TS1E</v>
          </cell>
          <cell r="B7655" t="str">
            <v>PC24x7 5年 StorVir 3200用</v>
          </cell>
          <cell r="C7655" t="str">
            <v>【HPEプロアクティブケア】メーカー推奨／低価格で国内専用窓口の高品質な保守により、システム運用における安心を提供します。</v>
          </cell>
        </row>
        <row r="7656">
          <cell r="A7656" t="str">
            <v>H2TS2E</v>
          </cell>
          <cell r="B7656" t="str">
            <v>PC24x7DMR 5年 StorVir 3200用</v>
          </cell>
          <cell r="C7656" t="str">
            <v>【HPEプロアクティブケア】メーカー推奨／低価格で国内専用窓口の高品質な保守により、システム運用における安心を提供します。</v>
          </cell>
        </row>
        <row r="7657">
          <cell r="A7657" t="str">
            <v>H2TT9PE</v>
          </cell>
          <cell r="B7657" t="str">
            <v>PW FC9x5 1年 StorVir 3200用</v>
          </cell>
          <cell r="C7657" t="str">
            <v>【ファウンデーションケア】</v>
          </cell>
        </row>
        <row r="7658">
          <cell r="A7658" t="str">
            <v>H2TU0PE</v>
          </cell>
          <cell r="B7658" t="str">
            <v>PW FC9x5DMR 1年 StorVir 3200用</v>
          </cell>
          <cell r="C7658" t="str">
            <v>【ファウンデーションケア】</v>
          </cell>
        </row>
        <row r="7659">
          <cell r="A7659" t="str">
            <v>H2TU4PE</v>
          </cell>
          <cell r="B7659" t="str">
            <v>PW FC24x7 1年 StorVir 3200用</v>
          </cell>
          <cell r="C7659" t="str">
            <v>【ファウンデーションケア】</v>
          </cell>
        </row>
        <row r="7660">
          <cell r="A7660" t="str">
            <v>H2TU5PE</v>
          </cell>
          <cell r="B7660" t="str">
            <v>PW FC24x7DMR 1年 StorVir 3200用</v>
          </cell>
          <cell r="C7660" t="str">
            <v>【ファウンデーションケア】</v>
          </cell>
        </row>
        <row r="7661">
          <cell r="A7661" t="str">
            <v>H2TU7PE</v>
          </cell>
          <cell r="B7661" t="str">
            <v>PW PC24x7 1年 StorVir 3200用</v>
          </cell>
          <cell r="C7661" t="str">
            <v>【HPEプロアクティブケア】メーカー推奨／低価格で国内専用窓口の高品質な保守により、システム運用における安心を提供します。</v>
          </cell>
        </row>
        <row r="7662">
          <cell r="A7662" t="str">
            <v>H2TU8PE</v>
          </cell>
          <cell r="B7662" t="str">
            <v>PW PC24x7DMR 1年 StorVir 3200用</v>
          </cell>
          <cell r="C7662" t="str">
            <v>【HPEプロアクティブケア】メーカー推奨／低価格で国内専用窓口の高品質な保守により、システム運用における安心を提供します。</v>
          </cell>
        </row>
        <row r="7663">
          <cell r="A7663" t="str">
            <v>H2TV9E</v>
          </cell>
          <cell r="B7663" t="str">
            <v>FC9x5 3年 StorVir 3000 Encl用</v>
          </cell>
          <cell r="C7663" t="str">
            <v>【ファウンデーションケア】</v>
          </cell>
        </row>
        <row r="7664">
          <cell r="A7664" t="str">
            <v>H2TW0E</v>
          </cell>
          <cell r="B7664" t="str">
            <v>FC9x5DMR 3年 StorVir 3000 Encl用</v>
          </cell>
          <cell r="C7664" t="str">
            <v>【ファウンデーションケア】</v>
          </cell>
        </row>
        <row r="7665">
          <cell r="A7665" t="str">
            <v>H2TW7E</v>
          </cell>
          <cell r="B7665" t="str">
            <v>FC24x7 3年 StorVir 3000 Encl用</v>
          </cell>
          <cell r="C7665" t="str">
            <v>【ファウンデーションケア】</v>
          </cell>
        </row>
        <row r="7666">
          <cell r="A7666" t="str">
            <v>H2TW8E</v>
          </cell>
          <cell r="B7666" t="str">
            <v>FC24x7DMR 3年 StorVir 3000 Encl用</v>
          </cell>
          <cell r="C7666" t="str">
            <v>【ファウンデーションケア】</v>
          </cell>
        </row>
        <row r="7667">
          <cell r="A7667" t="str">
            <v>H2TX0E</v>
          </cell>
          <cell r="B7667" t="str">
            <v>PC24x7 3年 StorVir 3000 Encl用</v>
          </cell>
          <cell r="C7667" t="str">
            <v>【HPEプロアクティブケア】メーカー推奨／低価格で国内専用窓口の高品質な保守により、システム運用における安心を提供します。</v>
          </cell>
        </row>
        <row r="7668">
          <cell r="A7668" t="str">
            <v>H2TX1E</v>
          </cell>
          <cell r="B7668" t="str">
            <v>PC24x7DMR 3年 StorVir 3000 Encl用</v>
          </cell>
          <cell r="C7668" t="str">
            <v>【HPEプロアクティブケア】メーカー推奨／低価格で国内専用窓口の高品質な保守により、システム運用における安心を提供します。</v>
          </cell>
        </row>
        <row r="7669">
          <cell r="A7669" t="str">
            <v>H2TY8E</v>
          </cell>
          <cell r="B7669" t="str">
            <v>FC9x5 4年 StorVir 3000 Encl用</v>
          </cell>
          <cell r="C7669" t="str">
            <v>【ファウンデーションケア】</v>
          </cell>
        </row>
        <row r="7670">
          <cell r="A7670" t="str">
            <v>H2TY9E</v>
          </cell>
          <cell r="B7670" t="str">
            <v>FC9x5DMR 4年 StorVir 3000 Encl用</v>
          </cell>
          <cell r="C7670" t="str">
            <v>【ファウンデーションケア】</v>
          </cell>
        </row>
        <row r="7671">
          <cell r="A7671" t="str">
            <v>H2TZ6E</v>
          </cell>
          <cell r="B7671" t="str">
            <v>FC24x7 4年 StorVir 3000 Encl用</v>
          </cell>
          <cell r="C7671" t="str">
            <v>【ファウンデーションケア】</v>
          </cell>
        </row>
        <row r="7672">
          <cell r="A7672" t="str">
            <v>H2TZ7E</v>
          </cell>
          <cell r="B7672" t="str">
            <v>FC24x7DMR 4年 StorVir 3000 Encl用</v>
          </cell>
          <cell r="C7672" t="str">
            <v>【ファウンデーションケア】</v>
          </cell>
        </row>
        <row r="7673">
          <cell r="A7673" t="str">
            <v>H2TZ9E</v>
          </cell>
          <cell r="B7673" t="str">
            <v>PC24x7 4年 StorVir 3000 Encl用</v>
          </cell>
          <cell r="C7673" t="str">
            <v>【HPEプロアクティブケア】メーカー推奨／低価格で国内専用窓口の高品質な保守により、システム運用における安心を提供します。</v>
          </cell>
        </row>
        <row r="7674">
          <cell r="A7674" t="str">
            <v>H2UA0E</v>
          </cell>
          <cell r="B7674" t="str">
            <v>PC24x7DMR 4年 StorVir 3000 Encl用</v>
          </cell>
          <cell r="C7674" t="str">
            <v>【HPEプロアクティブケア】メーカー推奨／低価格で国内専用窓口の高品質な保守により、システム運用における安心を提供します。</v>
          </cell>
        </row>
        <row r="7675">
          <cell r="A7675" t="str">
            <v>H2UB7E</v>
          </cell>
          <cell r="B7675" t="str">
            <v>FC9x5 5年 StorVir 3000 Encl用</v>
          </cell>
          <cell r="C7675" t="str">
            <v>【ファウンデーションケア】</v>
          </cell>
        </row>
        <row r="7676">
          <cell r="A7676" t="str">
            <v>H2UB8E</v>
          </cell>
          <cell r="B7676" t="str">
            <v>FC9x5DMR 5年 StorVir 3000 Encl用</v>
          </cell>
          <cell r="C7676" t="str">
            <v>【ファウンデーションケア】</v>
          </cell>
        </row>
        <row r="7677">
          <cell r="A7677" t="str">
            <v>H2UC5E</v>
          </cell>
          <cell r="B7677" t="str">
            <v>FC24x7 5年 StorVir 3000 Encl用</v>
          </cell>
          <cell r="C7677" t="str">
            <v>【ファウンデーションケア】</v>
          </cell>
        </row>
        <row r="7678">
          <cell r="A7678" t="str">
            <v>H2UC6E</v>
          </cell>
          <cell r="B7678" t="str">
            <v>FC24x7DMR 5年 StorVir 3000 Encl用</v>
          </cell>
          <cell r="C7678" t="str">
            <v>【ファウンデーションケア】</v>
          </cell>
        </row>
        <row r="7679">
          <cell r="A7679" t="str">
            <v>H2UC8E</v>
          </cell>
          <cell r="B7679" t="str">
            <v>PC24x7 5年 StorVir 3000 Encl用</v>
          </cell>
          <cell r="C7679" t="str">
            <v>【HPEプロアクティブケア】メーカー推奨／低価格で国内専用窓口の高品質な保守により、システム運用における安心を提供します。</v>
          </cell>
        </row>
        <row r="7680">
          <cell r="A7680" t="str">
            <v>H2UC9E</v>
          </cell>
          <cell r="B7680" t="str">
            <v>PC24x7DMR 5年 StorVir 3000 Encl用</v>
          </cell>
          <cell r="C7680" t="str">
            <v>【HPEプロアクティブケア】メーカー推奨／低価格で国内専用窓口の高品質な保守により、システム運用における安心を提供します。</v>
          </cell>
        </row>
        <row r="7681">
          <cell r="A7681" t="str">
            <v>H2UE6PE</v>
          </cell>
          <cell r="B7681" t="str">
            <v>PW FC9x5 1年 StorVir 3000 Encl用</v>
          </cell>
          <cell r="C7681" t="str">
            <v>【ファウンデーションケア】</v>
          </cell>
        </row>
        <row r="7682">
          <cell r="A7682" t="str">
            <v>H2UE7PE</v>
          </cell>
          <cell r="B7682" t="str">
            <v>PW FC9x5DMR 1年 StorVir 3000 Encl用</v>
          </cell>
          <cell r="C7682" t="str">
            <v>【ファウンデーションケア】</v>
          </cell>
        </row>
        <row r="7683">
          <cell r="A7683" t="str">
            <v>H2UF1PE</v>
          </cell>
          <cell r="B7683" t="str">
            <v>PW FC24x7 1年 StorVir 3000 Encl用</v>
          </cell>
          <cell r="C7683" t="str">
            <v>【ファウンデーションケア】</v>
          </cell>
        </row>
        <row r="7684">
          <cell r="A7684" t="str">
            <v>H2UF2PE</v>
          </cell>
          <cell r="B7684" t="str">
            <v>PW FC24x7DMR 1年 StorVir 3000 Encl用</v>
          </cell>
          <cell r="C7684" t="str">
            <v>【ファウンデーションケア】</v>
          </cell>
        </row>
        <row r="7685">
          <cell r="A7685" t="str">
            <v>H2UF4PE</v>
          </cell>
          <cell r="B7685" t="str">
            <v>PW PC24x7 1年 StorVir 3000 Encl用</v>
          </cell>
          <cell r="C7685" t="str">
            <v>【HPEプロアクティブケア】メーカー推奨／低価格で国内専用窓口の高品質な保守により、システム運用における安心を提供します。</v>
          </cell>
        </row>
        <row r="7686">
          <cell r="A7686" t="str">
            <v>H2UF5PE</v>
          </cell>
          <cell r="B7686" t="str">
            <v>PW PC24x7DMR 1年 StorVir 3000 Encl用</v>
          </cell>
          <cell r="C7686" t="str">
            <v>【HPEプロアクティブケア】メーカー推奨／低価格で国内専用窓口の高品質な保守により、システム運用における安心を提供します。</v>
          </cell>
        </row>
        <row r="7687">
          <cell r="A7687" t="str">
            <v>H5ZX5E</v>
          </cell>
          <cell r="B7687" t="str">
            <v>FC9x5 3年 StorVir3000 FileCont用</v>
          </cell>
          <cell r="C7687" t="str">
            <v>【ファウンデーションケア】</v>
          </cell>
        </row>
        <row r="7688">
          <cell r="A7688" t="str">
            <v>H5ZX6E</v>
          </cell>
          <cell r="B7688" t="str">
            <v>FC9x5DMR 3年 StorVir3000 FileCont用</v>
          </cell>
          <cell r="C7688" t="str">
            <v>【ファウンデーションケア】</v>
          </cell>
        </row>
        <row r="7689">
          <cell r="A7689" t="str">
            <v>H5ZY3E</v>
          </cell>
          <cell r="B7689" t="str">
            <v>FC24x7 3年 StorVir3000 FileCont用</v>
          </cell>
          <cell r="C7689" t="str">
            <v>【ファウンデーションケア】</v>
          </cell>
        </row>
        <row r="7690">
          <cell r="A7690" t="str">
            <v>H5ZY4E</v>
          </cell>
          <cell r="B7690" t="str">
            <v>FC24x7DMR 3年 StorVir3000 FileCont用</v>
          </cell>
          <cell r="C7690" t="str">
            <v>【ファウンデーションケア】</v>
          </cell>
        </row>
        <row r="7691">
          <cell r="A7691" t="str">
            <v>H5ZY6E</v>
          </cell>
          <cell r="B7691" t="str">
            <v>PC24x7 3年 StorVir3000 FileCont用</v>
          </cell>
          <cell r="C7691" t="str">
            <v>【HPEプロアクティブケア】メーカー推奨／低価格で国内専用窓口の高品質な保守により、システム運用における安心を提供します。</v>
          </cell>
        </row>
        <row r="7692">
          <cell r="A7692" t="str">
            <v>H5ZY7E</v>
          </cell>
          <cell r="B7692" t="str">
            <v>PC24x7DMR 3年 StorVir3000 FileCont用</v>
          </cell>
          <cell r="C7692" t="str">
            <v>【HPEプロアクティブケア】メーカー推奨／低価格で国内専用窓口の高品質な保守により、システム運用における安心を提供します。</v>
          </cell>
        </row>
        <row r="7693">
          <cell r="A7693" t="str">
            <v>H6AA4E</v>
          </cell>
          <cell r="B7693" t="str">
            <v>FC9x5 4年 StorVir3000 FileCont用</v>
          </cell>
          <cell r="C7693" t="str">
            <v>【ファウンデーションケア】</v>
          </cell>
        </row>
        <row r="7694">
          <cell r="A7694" t="str">
            <v>H6AA5E</v>
          </cell>
          <cell r="B7694" t="str">
            <v>FC9x5DMR 4年 StorVir3000 FileCont用</v>
          </cell>
          <cell r="C7694" t="str">
            <v>【ファウンデーションケア】</v>
          </cell>
        </row>
        <row r="7695">
          <cell r="A7695" t="str">
            <v>H6AB2E</v>
          </cell>
          <cell r="B7695" t="str">
            <v>FC24x7 4年 StorVir3000 FileCont用</v>
          </cell>
          <cell r="C7695" t="str">
            <v>【ファウンデーションケア】</v>
          </cell>
        </row>
        <row r="7696">
          <cell r="A7696" t="str">
            <v>H6AB3E</v>
          </cell>
          <cell r="B7696" t="str">
            <v>FC24x7DMR 4年 StorVir3000 FileCont用</v>
          </cell>
          <cell r="C7696" t="str">
            <v>【ファウンデーションケア】</v>
          </cell>
        </row>
        <row r="7697">
          <cell r="A7697" t="str">
            <v>H6AB5E</v>
          </cell>
          <cell r="B7697" t="str">
            <v>PC24x7 4年 StorVir3000 FileCont用</v>
          </cell>
          <cell r="C7697" t="str">
            <v>【HPEプロアクティブケア】メーカー推奨／低価格で国内専用窓口の高品質な保守により、システム運用における安心を提供します。</v>
          </cell>
        </row>
        <row r="7698">
          <cell r="A7698" t="str">
            <v>H6AB6E</v>
          </cell>
          <cell r="B7698" t="str">
            <v>PC24x7DMR 4年 StorVir3000 FileCont用</v>
          </cell>
          <cell r="C7698" t="str">
            <v>【HPEプロアクティブケア】メーカー推奨／低価格で国内専用窓口の高品質な保守により、システム運用における安心を提供します。</v>
          </cell>
        </row>
        <row r="7699">
          <cell r="A7699" t="str">
            <v>H6AD3E</v>
          </cell>
          <cell r="B7699" t="str">
            <v>FC9x5 5年 StorVir3000 FileCont用</v>
          </cell>
          <cell r="C7699" t="str">
            <v>【ファウンデーションケア】</v>
          </cell>
        </row>
        <row r="7700">
          <cell r="A7700" t="str">
            <v>H6AD4E</v>
          </cell>
          <cell r="B7700" t="str">
            <v>FC9x5DMR 5年 StorVir3000 FileCont用</v>
          </cell>
          <cell r="C7700" t="str">
            <v>【ファウンデーションケア】</v>
          </cell>
        </row>
        <row r="7701">
          <cell r="A7701" t="str">
            <v>H6AE1E</v>
          </cell>
          <cell r="B7701" t="str">
            <v>FC24x7 5年 StorVir3000 FileCont用</v>
          </cell>
          <cell r="C7701" t="str">
            <v>【ファウンデーションケア】</v>
          </cell>
        </row>
        <row r="7702">
          <cell r="A7702" t="str">
            <v>H6AE2E</v>
          </cell>
          <cell r="B7702" t="str">
            <v>FC24x7DMR 5年 StorVir3000 FileCont用</v>
          </cell>
          <cell r="C7702" t="str">
            <v>【ファウンデーションケア】</v>
          </cell>
        </row>
        <row r="7703">
          <cell r="A7703" t="str">
            <v>H6AE4E</v>
          </cell>
          <cell r="B7703" t="str">
            <v>PC24x7 5年 StorVir3000 FileCont用</v>
          </cell>
          <cell r="C7703" t="str">
            <v>【HPEプロアクティブケア】メーカー推奨／低価格で国内専用窓口の高品質な保守により、システム運用における安心を提供します。</v>
          </cell>
        </row>
        <row r="7704">
          <cell r="A7704" t="str">
            <v>H6AE5E</v>
          </cell>
          <cell r="B7704" t="str">
            <v>PC24x7DMR 5年 StorVir3000 FileCont用</v>
          </cell>
          <cell r="C7704" t="str">
            <v>【HPEプロアクティブケア】メーカー推奨／低価格で国内専用窓口の高品質な保守により、システム運用における安心を提供します。</v>
          </cell>
        </row>
        <row r="7705">
          <cell r="A7705" t="str">
            <v>H6JM8E</v>
          </cell>
          <cell r="B7705" t="str">
            <v>FC 24x7 3年 SO 31/35X Mem Up用</v>
          </cell>
          <cell r="C7705" t="str">
            <v>【ファウンデーションケア】</v>
          </cell>
        </row>
        <row r="7706">
          <cell r="A7706" t="str">
            <v>H6JM9E</v>
          </cell>
          <cell r="B7706" t="str">
            <v>FC 24x7 HD返却不要 3年 SO 31/35X Mem Up</v>
          </cell>
          <cell r="C7706" t="str">
            <v>【ファウンデーションケア】</v>
          </cell>
        </row>
        <row r="7707">
          <cell r="A7707" t="str">
            <v>H6JN0E</v>
          </cell>
          <cell r="B7707" t="str">
            <v>PC 24x7 3年 SO 31/35X Mem Up用</v>
          </cell>
          <cell r="C7707" t="str">
            <v>【HPEプロアクティブケア】メーカー推奨／低価格で国内専用窓口の高品質な保守により、システム運用における安心を提供します。</v>
          </cell>
        </row>
        <row r="7708">
          <cell r="A7708" t="str">
            <v>H6JN1E</v>
          </cell>
          <cell r="B7708" t="str">
            <v>PC 24x7 HD返却不要 3年 SO 31/35X Mem Up</v>
          </cell>
          <cell r="C7708" t="str">
            <v>【HPEプロアクティブケア】メーカー推奨／低価格で国内専用窓口の高品質な保守により、システム運用における安心を提供します。</v>
          </cell>
        </row>
        <row r="7709">
          <cell r="A7709" t="str">
            <v>H6JP0E</v>
          </cell>
          <cell r="B7709" t="str">
            <v>FC 24x7 4年 SO 31/35X Mem Up用</v>
          </cell>
          <cell r="C7709" t="str">
            <v>【ファウンデーションケア】</v>
          </cell>
        </row>
        <row r="7710">
          <cell r="A7710" t="str">
            <v>H6JP1E</v>
          </cell>
          <cell r="B7710" t="str">
            <v>FC 24x7 HD返却不要 4年 SO 31/35X Mem Up</v>
          </cell>
          <cell r="C7710" t="str">
            <v>【ファウンデーションケア】</v>
          </cell>
        </row>
        <row r="7711">
          <cell r="A7711" t="str">
            <v>H6JP2E</v>
          </cell>
          <cell r="B7711" t="str">
            <v>PC 24x7 4年 SO 31/35X Mem Up用</v>
          </cell>
          <cell r="C7711" t="str">
            <v>【HPEプロアクティブケア】メーカー推奨／低価格で国内専用窓口の高品質な保守により、システム運用における安心を提供します。</v>
          </cell>
        </row>
        <row r="7712">
          <cell r="A7712" t="str">
            <v>H6JP3E</v>
          </cell>
          <cell r="B7712" t="str">
            <v>PC 24x7 HD返却不要 4年 SO 31/35X Mem Up</v>
          </cell>
          <cell r="C7712" t="str">
            <v>【HPEプロアクティブケア】メーカー推奨／低価格で国内専用窓口の高品質な保守により、システム運用における安心を提供します。</v>
          </cell>
        </row>
        <row r="7713">
          <cell r="A7713" t="str">
            <v>H6JQ2E</v>
          </cell>
          <cell r="B7713" t="str">
            <v>FC 24x7 5年 SO 31/35X Mem Up用</v>
          </cell>
          <cell r="C7713" t="str">
            <v>【ファウンデーションケア】</v>
          </cell>
        </row>
        <row r="7714">
          <cell r="A7714" t="str">
            <v>H6JQ3E</v>
          </cell>
          <cell r="B7714" t="str">
            <v>FC 24x7 HD返却不要 5年 SO 31/35X Mem Up</v>
          </cell>
          <cell r="C7714" t="str">
            <v>【ファウンデーションケア】</v>
          </cell>
        </row>
        <row r="7715">
          <cell r="A7715" t="str">
            <v>H6JQ4E</v>
          </cell>
          <cell r="B7715" t="str">
            <v>PC 24x7 5年 SO 31/35X Mem Up用</v>
          </cell>
          <cell r="C7715" t="str">
            <v>【HPEプロアクティブケア】メーカー推奨／低価格で国内専用窓口の高品質な保守により、システム運用における安心を提供します。</v>
          </cell>
        </row>
        <row r="7716">
          <cell r="A7716" t="str">
            <v>H6JQ5E</v>
          </cell>
          <cell r="B7716" t="str">
            <v>PC 24x7 HD返却不要 5年 SO 31/35X Mem Up</v>
          </cell>
          <cell r="C7716" t="str">
            <v>【HPEプロアクティブケア】メーカー推奨／低価格で国内専用窓口の高品質な保守により、システム運用における安心を提供します。</v>
          </cell>
        </row>
        <row r="7717">
          <cell r="A7717" t="str">
            <v>H6JR4E</v>
          </cell>
          <cell r="B7717" t="str">
            <v>FC 24x7 3年 SO 5100 Mem Up用</v>
          </cell>
          <cell r="C7717" t="str">
            <v>【ファウンデーションケア】</v>
          </cell>
        </row>
        <row r="7718">
          <cell r="A7718" t="str">
            <v>H6JR5E</v>
          </cell>
          <cell r="B7718" t="str">
            <v>FC 24x7 HD返却不要 3年 SO 5100 Mem Up用</v>
          </cell>
          <cell r="C7718" t="str">
            <v>【ファウンデーションケア】</v>
          </cell>
        </row>
        <row r="7719">
          <cell r="A7719" t="str">
            <v>H6JR6E</v>
          </cell>
          <cell r="B7719" t="str">
            <v>PC 24x7 3年 SO 5100 Mem Up用</v>
          </cell>
          <cell r="C7719" t="str">
            <v>【HPEプロアクティブケア】メーカー推奨／低価格で国内専用窓口の高品質な保守により、システム運用における安心を提供します。</v>
          </cell>
        </row>
        <row r="7720">
          <cell r="A7720" t="str">
            <v>H6JR7E</v>
          </cell>
          <cell r="B7720" t="str">
            <v>PC 24x7 HD返却不要 3年 SO 5100 Mem Up用</v>
          </cell>
          <cell r="C7720" t="str">
            <v>【HPEプロアクティブケア】メーカー推奨／低価格で国内専用窓口の高品質な保守により、システム運用における安心を提供します。</v>
          </cell>
        </row>
        <row r="7721">
          <cell r="A7721" t="str">
            <v>H6JS6E</v>
          </cell>
          <cell r="B7721" t="str">
            <v>FC 24x7 4年 SO 5100 Mem Up用</v>
          </cell>
          <cell r="C7721" t="str">
            <v>【ファウンデーションケア】</v>
          </cell>
        </row>
        <row r="7722">
          <cell r="A7722" t="str">
            <v>H6JS7E</v>
          </cell>
          <cell r="B7722" t="str">
            <v>FC 24x7 HD返却不要 4年 SO 5100 Mem Up用</v>
          </cell>
          <cell r="C7722" t="str">
            <v>【ファウンデーションケア】</v>
          </cell>
        </row>
        <row r="7723">
          <cell r="A7723" t="str">
            <v>H6JS8E</v>
          </cell>
          <cell r="B7723" t="str">
            <v>PC 24x7 4年 SO 5100 Mem Up用</v>
          </cell>
          <cell r="C7723" t="str">
            <v>【HPEプロアクティブケア】メーカー推奨／低価格で国内専用窓口の高品質な保守により、システム運用における安心を提供します。</v>
          </cell>
        </row>
        <row r="7724">
          <cell r="A7724" t="str">
            <v>H6JS9E</v>
          </cell>
          <cell r="B7724" t="str">
            <v>PC 24x7 HD返却不要 4年 SO 5100 Mem Up用</v>
          </cell>
          <cell r="C7724" t="str">
            <v>【HPEプロアクティブケア】メーカー推奨／低価格で国内専用窓口の高品質な保守により、システム運用における安心を提供します。</v>
          </cell>
        </row>
        <row r="7725">
          <cell r="A7725" t="str">
            <v>H6JT8E</v>
          </cell>
          <cell r="B7725" t="str">
            <v>FC 24x7 5年 SO 5100 Mem Up用</v>
          </cell>
          <cell r="C7725" t="str">
            <v>【ファウンデーションケア】</v>
          </cell>
        </row>
        <row r="7726">
          <cell r="A7726" t="str">
            <v>H6JT9E</v>
          </cell>
          <cell r="B7726" t="str">
            <v>FC 24x7 HD返却不要 5年 SO 5100 Mem Up用</v>
          </cell>
          <cell r="C7726" t="str">
            <v>【ファウンデーションケア】</v>
          </cell>
        </row>
        <row r="7727">
          <cell r="A7727" t="str">
            <v>H6JU0E</v>
          </cell>
          <cell r="B7727" t="str">
            <v>PC 24x7 5年 SO 5100 Mem Up用</v>
          </cell>
          <cell r="C7727" t="str">
            <v>【HPEプロアクティブケア】メーカー推奨／低価格で国内専用窓口の高品質な保守により、システム運用における安心を提供します。</v>
          </cell>
        </row>
        <row r="7728">
          <cell r="A7728" t="str">
            <v>H6JU1E</v>
          </cell>
          <cell r="B7728" t="str">
            <v>PC 24x7 HD返却不要 5年 SO 5100 Mem Up用</v>
          </cell>
          <cell r="C7728" t="str">
            <v>【HPEプロアクティブケア】メーカー推奨／低価格で国内専用窓口の高品質な保守により、システム運用における安心を提供します。</v>
          </cell>
        </row>
        <row r="7729">
          <cell r="A7729" t="str">
            <v>H7HR0E</v>
          </cell>
          <cell r="B7729" t="str">
            <v>PC24x7 4年 SN3600B 32G Swch用</v>
          </cell>
          <cell r="C7729" t="str">
            <v>【HPEプロアクティブケア】メーカー推奨／低価格で国内専用窓口の高品質な保守により、システム運用における安心を提供します。</v>
          </cell>
        </row>
        <row r="7730">
          <cell r="A7730" t="str">
            <v>H7HS2E</v>
          </cell>
          <cell r="B7730" t="str">
            <v>FC9x5 5年 SN3600B 32G Swch用</v>
          </cell>
          <cell r="C7730" t="str">
            <v>【ファウンデーションケア】</v>
          </cell>
        </row>
        <row r="7731">
          <cell r="A7731" t="str">
            <v>H7HS7E</v>
          </cell>
          <cell r="B7731" t="str">
            <v>FC24x7 5年 SN3600B 32G Swch用</v>
          </cell>
          <cell r="C7731" t="str">
            <v>【ファウンデーションケア】</v>
          </cell>
        </row>
        <row r="7732">
          <cell r="A7732" t="str">
            <v>H7HS9E</v>
          </cell>
          <cell r="B7732" t="str">
            <v>PC24x7 5年 SN3600B 32G Swch用</v>
          </cell>
          <cell r="C7732" t="str">
            <v>【HPEプロアクティブケア】メーカー推奨／低価格で国内専用窓口の高品質な保守により、システム運用における安心を提供します。</v>
          </cell>
        </row>
        <row r="7733">
          <cell r="A7733" t="str">
            <v>H7HU1PE</v>
          </cell>
          <cell r="B7733" t="str">
            <v>PW FC9x5 1年 SN3600B 32G Swch用</v>
          </cell>
          <cell r="C7733" t="str">
            <v>【ファウンデーションケア】</v>
          </cell>
        </row>
        <row r="7734">
          <cell r="A7734" t="str">
            <v>H7HU4PE</v>
          </cell>
          <cell r="B7734" t="str">
            <v>PW FC24x7 1年 SN3600B 32G Swch用</v>
          </cell>
          <cell r="C7734" t="str">
            <v>【ファウンデーションケア】</v>
          </cell>
        </row>
        <row r="7735">
          <cell r="A7735" t="str">
            <v>H7HV4E</v>
          </cell>
          <cell r="B7735" t="str">
            <v>FC9x5 3年 SN3600B 32G PP Swch用</v>
          </cell>
          <cell r="C7735" t="str">
            <v>【ファウンデーションケア】</v>
          </cell>
        </row>
        <row r="7736">
          <cell r="A7736" t="str">
            <v>H7HV9E</v>
          </cell>
          <cell r="B7736" t="str">
            <v>FC24x7 3年 SN3600B 32G PP Swch用</v>
          </cell>
          <cell r="C7736" t="str">
            <v>【ファウンデーションケア】</v>
          </cell>
        </row>
        <row r="7737">
          <cell r="A7737" t="str">
            <v>H7HW1E</v>
          </cell>
          <cell r="B7737" t="str">
            <v>PC24x7 3年 SN3600B 32G PP Swch用</v>
          </cell>
          <cell r="C7737" t="str">
            <v>【HPEプロアクティブケア】メーカー推奨／低価格で国内専用窓口の高品質な保守により、システム運用における安心を提供します。</v>
          </cell>
        </row>
        <row r="7738">
          <cell r="A7738" t="str">
            <v>H7HX3E</v>
          </cell>
          <cell r="B7738" t="str">
            <v>FC9x5 4年 SN3600B 32G PP Swch用</v>
          </cell>
          <cell r="C7738" t="str">
            <v>【ファウンデーションケア】</v>
          </cell>
        </row>
        <row r="7739">
          <cell r="A7739" t="str">
            <v>H7HX8E</v>
          </cell>
          <cell r="B7739" t="str">
            <v>FC24x7 4年 SN3600B 32G PP Swch用</v>
          </cell>
          <cell r="C7739" t="str">
            <v>【ファウンデーションケア】</v>
          </cell>
        </row>
        <row r="7740">
          <cell r="A7740" t="str">
            <v>H7HY0E</v>
          </cell>
          <cell r="B7740" t="str">
            <v>PC24x7 4年 SN3600B 32G PP Swch用</v>
          </cell>
          <cell r="C7740" t="str">
            <v>【HPEプロアクティブケア】メーカー推奨／低価格で国内専用窓口の高品質な保守により、システム運用における安心を提供します。</v>
          </cell>
        </row>
        <row r="7741">
          <cell r="A7741" t="str">
            <v>H7HZ2E</v>
          </cell>
          <cell r="B7741" t="str">
            <v>FC9x5 5年 SN3600B 32G PP Swch用</v>
          </cell>
          <cell r="C7741" t="str">
            <v>【ファウンデーションケア】</v>
          </cell>
        </row>
        <row r="7742">
          <cell r="A7742" t="str">
            <v>H7HZ7E</v>
          </cell>
          <cell r="B7742" t="str">
            <v>FC24x7 5年 SN3600B 32G PP Swch用</v>
          </cell>
          <cell r="C7742" t="str">
            <v>【ファウンデーションケア】</v>
          </cell>
        </row>
        <row r="7743">
          <cell r="A7743" t="str">
            <v>H7HZ9E</v>
          </cell>
          <cell r="B7743" t="str">
            <v>PC24x7 5年 SN3600B 32G PP Swch用</v>
          </cell>
          <cell r="C7743" t="str">
            <v>【HPEプロアクティブケア】メーカー推奨／低価格で国内専用窓口の高品質な保守により、システム運用における安心を提供します。</v>
          </cell>
        </row>
        <row r="7744">
          <cell r="A7744" t="str">
            <v>H7JB1PE</v>
          </cell>
          <cell r="B7744" t="str">
            <v>PW FC9x5 1年 SN3600B 32G PP Swch用</v>
          </cell>
          <cell r="C7744" t="str">
            <v>【ファウンデーションケア】</v>
          </cell>
        </row>
        <row r="7745">
          <cell r="A7745" t="str">
            <v>H7JB4PE</v>
          </cell>
          <cell r="B7745" t="str">
            <v>PW FC24x7 1年 SN3600B 32G PP Swch用</v>
          </cell>
          <cell r="C7745" t="str">
            <v>【ファウンデーションケア】</v>
          </cell>
        </row>
        <row r="7746">
          <cell r="A7746" t="str">
            <v>H7JD7E</v>
          </cell>
          <cell r="B7746" t="str">
            <v>FC9x5 3年 MSA2050用</v>
          </cell>
          <cell r="C7746" t="str">
            <v>【ファウンデーションケア】</v>
          </cell>
        </row>
        <row r="7747">
          <cell r="A7747" t="str">
            <v>H7JD8E</v>
          </cell>
          <cell r="B7747" t="str">
            <v>FC9x5DMR 3年 MSA2050用</v>
          </cell>
          <cell r="C7747" t="str">
            <v>【ファウンデーションケア】</v>
          </cell>
        </row>
        <row r="7748">
          <cell r="A7748" t="str">
            <v>H7JE5E</v>
          </cell>
          <cell r="B7748" t="str">
            <v>FC24x7 3年 MSA2050用</v>
          </cell>
          <cell r="C7748" t="str">
            <v>【ファウンデーションケア】</v>
          </cell>
        </row>
        <row r="7749">
          <cell r="A7749" t="str">
            <v>H7JE6E</v>
          </cell>
          <cell r="B7749" t="str">
            <v>FC24x7DMR 3年 MSA2050用</v>
          </cell>
          <cell r="C7749" t="str">
            <v>【ファウンデーションケア】</v>
          </cell>
        </row>
        <row r="7750">
          <cell r="A7750" t="str">
            <v>H7JE8E</v>
          </cell>
          <cell r="B7750" t="str">
            <v>PC24x7 3年 MSA2050用</v>
          </cell>
          <cell r="C7750" t="str">
            <v>【HPEプロアクティブケア】メーカー推奨／低価格で国内専用窓口の高品質な保守により、システム運用における安心を提供します。</v>
          </cell>
        </row>
        <row r="7751">
          <cell r="A7751" t="str">
            <v>H7JE9E</v>
          </cell>
          <cell r="B7751" t="str">
            <v>PC24x7DMR 3年 MSA2050用</v>
          </cell>
          <cell r="C7751" t="str">
            <v>【HPEプロアクティブケア】メーカー推奨／低価格で国内専用窓口の高品質な保守により、システム運用における安心を提供します。</v>
          </cell>
        </row>
        <row r="7752">
          <cell r="A7752" t="str">
            <v>H7JG6E</v>
          </cell>
          <cell r="B7752" t="str">
            <v>FC9x5 4年 MSA2050用</v>
          </cell>
          <cell r="C7752" t="str">
            <v>【ファウンデーションケア】</v>
          </cell>
        </row>
        <row r="7753">
          <cell r="A7753" t="str">
            <v>H7JG7E</v>
          </cell>
          <cell r="B7753" t="str">
            <v>FC9x5DMR 4年 MSA2050用</v>
          </cell>
          <cell r="C7753" t="str">
            <v>【ファウンデーションケア】</v>
          </cell>
        </row>
        <row r="7754">
          <cell r="A7754" t="str">
            <v>H7JH4E</v>
          </cell>
          <cell r="B7754" t="str">
            <v>FC24x7 4年 MSA2050用</v>
          </cell>
          <cell r="C7754" t="str">
            <v>【ファウンデーションケア】</v>
          </cell>
        </row>
        <row r="7755">
          <cell r="A7755" t="str">
            <v>H7JH5E</v>
          </cell>
          <cell r="B7755" t="str">
            <v>FC24x7DMR 4年 MSA2050用</v>
          </cell>
          <cell r="C7755" t="str">
            <v>【ファウンデーションケア】</v>
          </cell>
        </row>
        <row r="7756">
          <cell r="A7756" t="str">
            <v>H7JH7E</v>
          </cell>
          <cell r="B7756" t="str">
            <v>PC24x7 4年 MSA2050用</v>
          </cell>
          <cell r="C7756" t="str">
            <v>【HPEプロアクティブケア】メーカー推奨／低価格で国内専用窓口の高品質な保守により、システム運用における安心を提供します。</v>
          </cell>
        </row>
        <row r="7757">
          <cell r="A7757" t="str">
            <v>H7JH8E</v>
          </cell>
          <cell r="B7757" t="str">
            <v>PC24x7DMR 4年 MSA2050用</v>
          </cell>
          <cell r="C7757" t="str">
            <v>【HPEプロアクティブケア】メーカー推奨／低価格で国内専用窓口の高品質な保守により、システム運用における安心を提供します。</v>
          </cell>
        </row>
        <row r="7758">
          <cell r="A7758" t="str">
            <v>H7JK5E</v>
          </cell>
          <cell r="B7758" t="str">
            <v>FC9x5 5年 MSA2050用</v>
          </cell>
          <cell r="C7758" t="str">
            <v>【ファウンデーションケア】</v>
          </cell>
        </row>
        <row r="7759">
          <cell r="A7759" t="str">
            <v>H7JK6E</v>
          </cell>
          <cell r="B7759" t="str">
            <v>FC9x5DMR 5年 MSA2050用</v>
          </cell>
          <cell r="C7759" t="str">
            <v>【ファウンデーションケア】</v>
          </cell>
        </row>
        <row r="7760">
          <cell r="A7760" t="str">
            <v>H7JL3E</v>
          </cell>
          <cell r="B7760" t="str">
            <v>FC24x7 5年 MSA2050用</v>
          </cell>
          <cell r="C7760" t="str">
            <v>【ファウンデーションケア】</v>
          </cell>
        </row>
        <row r="7761">
          <cell r="A7761" t="str">
            <v>H7JL4E</v>
          </cell>
          <cell r="B7761" t="str">
            <v>FC24x7DMR 5年 MSA2050用</v>
          </cell>
          <cell r="C7761" t="str">
            <v>【ファウンデーションケア】</v>
          </cell>
        </row>
        <row r="7762">
          <cell r="A7762" t="str">
            <v>H7JL6E</v>
          </cell>
          <cell r="B7762" t="str">
            <v>PC24x7 5年 MSA2050用</v>
          </cell>
          <cell r="C7762" t="str">
            <v>【HPEプロアクティブケア】メーカー推奨／低価格で国内専用窓口の高品質な保守により、システム運用における安心を提供します。</v>
          </cell>
        </row>
        <row r="7763">
          <cell r="A7763" t="str">
            <v>H7JL7E</v>
          </cell>
          <cell r="B7763" t="str">
            <v>PC24x7DMR 5年 MSA2050用</v>
          </cell>
          <cell r="C7763" t="str">
            <v>【HPEプロアクティブケア】メーカー推奨／低価格で国内専用窓口の高品質な保守により、システム運用における安心を提供します。</v>
          </cell>
        </row>
        <row r="7764">
          <cell r="A7764" t="str">
            <v>H7JN4PE</v>
          </cell>
          <cell r="B7764" t="str">
            <v>PW FC9x5 1年 MSA2050用</v>
          </cell>
          <cell r="C7764" t="str">
            <v>【ファウンデーションケア】</v>
          </cell>
        </row>
        <row r="7765">
          <cell r="A7765" t="str">
            <v>H7JN5PE</v>
          </cell>
          <cell r="B7765" t="str">
            <v>PW FC9x5DMR 1年 MSA2050用</v>
          </cell>
          <cell r="C7765" t="str">
            <v>【ファウンデーションケア】</v>
          </cell>
        </row>
        <row r="7766">
          <cell r="A7766" t="str">
            <v>H7JN9PE</v>
          </cell>
          <cell r="B7766" t="str">
            <v>PW FC24x7 1年 MSA2050用</v>
          </cell>
          <cell r="C7766" t="str">
            <v>【ファウンデーションケア】</v>
          </cell>
        </row>
        <row r="7767">
          <cell r="A7767" t="str">
            <v>H7JP0PE</v>
          </cell>
          <cell r="B7767" t="str">
            <v>PW FC24x7DMR 1年 MSA2050用</v>
          </cell>
          <cell r="C7767" t="str">
            <v>【ファウンデーションケア】</v>
          </cell>
        </row>
        <row r="7768">
          <cell r="A7768" t="str">
            <v>H7JP2PE</v>
          </cell>
          <cell r="B7768" t="str">
            <v>PW PC24x7 1年 MSA2050用</v>
          </cell>
          <cell r="C7768" t="str">
            <v>【HPEプロアクティブケア】メーカー推奨／低価格で国内専用窓口の高品質な保守により、システム運用における安心を提供します。</v>
          </cell>
        </row>
        <row r="7769">
          <cell r="A7769" t="str">
            <v>H7JP3PE</v>
          </cell>
          <cell r="B7769" t="str">
            <v>PW PC24x7DMR 1年 MSA2050用</v>
          </cell>
          <cell r="C7769" t="str">
            <v>【HPEプロアクティブケア】メーカー推奨／低価格で国内専用窓口の高品質な保守により、システム運用における安心を提供します。</v>
          </cell>
        </row>
        <row r="7770">
          <cell r="A7770" t="str">
            <v>H7JQ4E</v>
          </cell>
          <cell r="B7770" t="str">
            <v>FC9x5 3年 MSA2052用</v>
          </cell>
          <cell r="C7770" t="str">
            <v>【ファウンデーションケア】</v>
          </cell>
        </row>
        <row r="7771">
          <cell r="A7771" t="str">
            <v>H7JQ5E</v>
          </cell>
          <cell r="B7771" t="str">
            <v>FC9x5DMR 3年 MSA2052用</v>
          </cell>
          <cell r="C7771" t="str">
            <v>【ファウンデーションケア】</v>
          </cell>
        </row>
        <row r="7772">
          <cell r="A7772" t="str">
            <v>H7JR2E</v>
          </cell>
          <cell r="B7772" t="str">
            <v>FC24x7 3年 MSA2052用</v>
          </cell>
          <cell r="C7772" t="str">
            <v>【ファウンデーションケア】</v>
          </cell>
        </row>
        <row r="7773">
          <cell r="A7773" t="str">
            <v>H7JR3E</v>
          </cell>
          <cell r="B7773" t="str">
            <v>FC24x7DMR 3年 MSA2052用</v>
          </cell>
          <cell r="C7773" t="str">
            <v>【ファウンデーションケア】</v>
          </cell>
        </row>
        <row r="7774">
          <cell r="A7774" t="str">
            <v>H7JR5E</v>
          </cell>
          <cell r="B7774" t="str">
            <v>PC24x7 3年 MSA2052用</v>
          </cell>
          <cell r="C7774" t="str">
            <v>【HPEプロアクティブケア】メーカー推奨／低価格で国内専用窓口の高品質な保守により、システム運用における安心を提供します。</v>
          </cell>
        </row>
        <row r="7775">
          <cell r="A7775" t="str">
            <v>H7JR6E</v>
          </cell>
          <cell r="B7775" t="str">
            <v>PC24x7DMR 3年 MSA2052用</v>
          </cell>
          <cell r="C7775" t="str">
            <v>【HPEプロアクティブケア】メーカー推奨／低価格で国内専用窓口の高品質な保守により、システム運用における安心を提供します。</v>
          </cell>
        </row>
        <row r="7776">
          <cell r="A7776" t="str">
            <v>H7JT3E</v>
          </cell>
          <cell r="B7776" t="str">
            <v>FC9x5 4年 MSA2052用</v>
          </cell>
          <cell r="C7776" t="str">
            <v>【ファウンデーションケア】</v>
          </cell>
        </row>
        <row r="7777">
          <cell r="A7777" t="str">
            <v>H7JT4E</v>
          </cell>
          <cell r="B7777" t="str">
            <v>FC9x5DMR 4年 MSA2052用</v>
          </cell>
          <cell r="C7777" t="str">
            <v>【ファウンデーションケア】</v>
          </cell>
        </row>
        <row r="7778">
          <cell r="A7778" t="str">
            <v>H7JU1E</v>
          </cell>
          <cell r="B7778" t="str">
            <v>FC24x7 4年 MSA2052用</v>
          </cell>
          <cell r="C7778" t="str">
            <v>【ファウンデーションケア】</v>
          </cell>
        </row>
        <row r="7779">
          <cell r="A7779" t="str">
            <v>H7JU2E</v>
          </cell>
          <cell r="B7779" t="str">
            <v>FC24x7DMR 4年 MSA2052用</v>
          </cell>
          <cell r="C7779" t="str">
            <v>【ファウンデーションケア】</v>
          </cell>
        </row>
        <row r="7780">
          <cell r="A7780" t="str">
            <v>H7JU4E</v>
          </cell>
          <cell r="B7780" t="str">
            <v>PC24x7 4年 MSA2052用</v>
          </cell>
          <cell r="C7780" t="str">
            <v>【HPEプロアクティブケア】メーカー推奨／低価格で国内専用窓口の高品質な保守により、システム運用における安心を提供します。</v>
          </cell>
        </row>
        <row r="7781">
          <cell r="A7781" t="str">
            <v>H7JU5E</v>
          </cell>
          <cell r="B7781" t="str">
            <v>PC24x7DMR 4年 MSA2052用</v>
          </cell>
          <cell r="C7781" t="str">
            <v>【HPEプロアクティブケア】メーカー推奨／低価格で国内専用窓口の高品質な保守により、システム運用における安心を提供します。</v>
          </cell>
        </row>
        <row r="7782">
          <cell r="A7782" t="str">
            <v>H7JW2E</v>
          </cell>
          <cell r="B7782" t="str">
            <v>FC9x5 5年 MSA2052用</v>
          </cell>
          <cell r="C7782" t="str">
            <v>【ファウンデーションケア】</v>
          </cell>
        </row>
        <row r="7783">
          <cell r="A7783" t="str">
            <v>H7JW3E</v>
          </cell>
          <cell r="B7783" t="str">
            <v>FC9x5DMR 5年 MSA2052用</v>
          </cell>
          <cell r="C7783" t="str">
            <v>【ファウンデーションケア】</v>
          </cell>
        </row>
        <row r="7784">
          <cell r="A7784" t="str">
            <v>H7JX0E</v>
          </cell>
          <cell r="B7784" t="str">
            <v>FC24x7 5年 MSA2052用</v>
          </cell>
          <cell r="C7784" t="str">
            <v>【ファウンデーションケア】</v>
          </cell>
        </row>
        <row r="7785">
          <cell r="A7785" t="str">
            <v>H7JX1E</v>
          </cell>
          <cell r="B7785" t="str">
            <v>FC24x7DMR 5年 MSA2052用</v>
          </cell>
          <cell r="C7785" t="str">
            <v>【ファウンデーションケア】</v>
          </cell>
        </row>
        <row r="7786">
          <cell r="A7786" t="str">
            <v>H7JX3E</v>
          </cell>
          <cell r="B7786" t="str">
            <v>PC24x7 5年 MSA2052用</v>
          </cell>
          <cell r="C7786" t="str">
            <v>【HPEプロアクティブケア】メーカー推奨／低価格で国内専用窓口の高品質な保守により、システム運用における安心を提供します。</v>
          </cell>
        </row>
        <row r="7787">
          <cell r="A7787" t="str">
            <v>H7JX4E</v>
          </cell>
          <cell r="B7787" t="str">
            <v>PC24x7DMR 5年 MSA2052用</v>
          </cell>
          <cell r="C7787" t="str">
            <v>【HPEプロアクティブケア】メーカー推奨／低価格で国内専用窓口の高品質な保守により、システム運用における安心を提供します。</v>
          </cell>
        </row>
        <row r="7788">
          <cell r="A7788" t="str">
            <v>H7JZ1PE</v>
          </cell>
          <cell r="B7788" t="str">
            <v>PW FC9x5 1年 MSA2052用</v>
          </cell>
          <cell r="C7788" t="str">
            <v>【ファウンデーションケア】</v>
          </cell>
        </row>
        <row r="7789">
          <cell r="A7789" t="str">
            <v>H7JZ2PE</v>
          </cell>
          <cell r="B7789" t="str">
            <v>PW FC9x5DMR 1年 MSA2052用</v>
          </cell>
          <cell r="C7789" t="str">
            <v>【ファウンデーションケア】</v>
          </cell>
        </row>
        <row r="7790">
          <cell r="A7790" t="str">
            <v>H7JZ6PE</v>
          </cell>
          <cell r="B7790" t="str">
            <v>PW FC24x7 1年 MSA2052用</v>
          </cell>
          <cell r="C7790" t="str">
            <v>【ファウンデーションケア】</v>
          </cell>
        </row>
        <row r="7791">
          <cell r="A7791" t="str">
            <v>H7JZ7PE</v>
          </cell>
          <cell r="B7791" t="str">
            <v>PW FC24x7DMR 1年 MSA2052用</v>
          </cell>
          <cell r="C7791" t="str">
            <v>【ファウンデーションケア】</v>
          </cell>
        </row>
        <row r="7792">
          <cell r="A7792" t="str">
            <v>H7JZ9PE</v>
          </cell>
          <cell r="B7792" t="str">
            <v>PW PC24x7 1年 MSA2052用</v>
          </cell>
          <cell r="C7792" t="str">
            <v>【HPEプロアクティブケア】メーカー推奨／低価格で国内専用窓口の高品質な保守により、システム運用における安心を提供します。</v>
          </cell>
        </row>
        <row r="7793">
          <cell r="A7793" t="str">
            <v>H7KA0PE</v>
          </cell>
          <cell r="B7793" t="str">
            <v>PW PC24x7DMR 1年 MSA2052用</v>
          </cell>
          <cell r="C7793" t="str">
            <v>【HPEプロアクティブケア】メーカー推奨／低価格で国内専用窓口の高品質な保守により、システム運用における安心を提供します。</v>
          </cell>
        </row>
        <row r="7794">
          <cell r="A7794" t="str">
            <v>H7KB1E</v>
          </cell>
          <cell r="B7794" t="str">
            <v>FC9x5 3年 MSA2050Encl用</v>
          </cell>
          <cell r="C7794" t="str">
            <v>【ファウンデーションケア】</v>
          </cell>
        </row>
        <row r="7795">
          <cell r="A7795" t="str">
            <v>H7KB2E</v>
          </cell>
          <cell r="B7795" t="str">
            <v>FC9x5DMR 3年 MSA2050Encl用</v>
          </cell>
          <cell r="C7795" t="str">
            <v>【ファウンデーションケア】</v>
          </cell>
        </row>
        <row r="7796">
          <cell r="A7796" t="str">
            <v>H7KB9E</v>
          </cell>
          <cell r="B7796" t="str">
            <v>FC24x7 3年 MSA2050Encl用</v>
          </cell>
          <cell r="C7796" t="str">
            <v>【ファウンデーションケア】</v>
          </cell>
        </row>
        <row r="7797">
          <cell r="A7797" t="str">
            <v>H7KC0E</v>
          </cell>
          <cell r="B7797" t="str">
            <v>FC24x7DMR 3年 MSA2050Encl用</v>
          </cell>
          <cell r="C7797" t="str">
            <v>【ファウンデーションケア】</v>
          </cell>
        </row>
        <row r="7798">
          <cell r="A7798" t="str">
            <v>H7KC2E</v>
          </cell>
          <cell r="B7798" t="str">
            <v>PC24x7 3年 MSA2050Encl用</v>
          </cell>
          <cell r="C7798" t="str">
            <v>【HPEプロアクティブケア】メーカー推奨／低価格で国内専用窓口の高品質な保守により、システム運用における安心を提供します。</v>
          </cell>
        </row>
        <row r="7799">
          <cell r="A7799" t="str">
            <v>H7KC3E</v>
          </cell>
          <cell r="B7799" t="str">
            <v>PC24x7DMR 3年 MSA2050Encl用</v>
          </cell>
          <cell r="C7799" t="str">
            <v>【HPEプロアクティブケア】メーカー推奨／低価格で国内専用窓口の高品質な保守により、システム運用における安心を提供します。</v>
          </cell>
        </row>
        <row r="7800">
          <cell r="A7800" t="str">
            <v>H7KE0E</v>
          </cell>
          <cell r="B7800" t="str">
            <v>FC9x5 4年 MSA2050Encl用</v>
          </cell>
          <cell r="C7800" t="str">
            <v>【ファウンデーションケア】</v>
          </cell>
        </row>
        <row r="7801">
          <cell r="A7801" t="str">
            <v>H7KE1E</v>
          </cell>
          <cell r="B7801" t="str">
            <v>FC9x5DMR 4年 MSA2050Encl用</v>
          </cell>
          <cell r="C7801" t="str">
            <v>【ファウンデーションケア】</v>
          </cell>
        </row>
        <row r="7802">
          <cell r="A7802" t="str">
            <v>H7KE8E</v>
          </cell>
          <cell r="B7802" t="str">
            <v>FC24x7 4年 MSA2050Encl用</v>
          </cell>
          <cell r="C7802" t="str">
            <v>【ファウンデーションケア】</v>
          </cell>
        </row>
        <row r="7803">
          <cell r="A7803" t="str">
            <v>H7KE9E</v>
          </cell>
          <cell r="B7803" t="str">
            <v>FC24x7DMR 4年 MSA2050Encl用</v>
          </cell>
          <cell r="C7803" t="str">
            <v>【ファウンデーションケア】</v>
          </cell>
        </row>
        <row r="7804">
          <cell r="A7804" t="str">
            <v>H7KF1E</v>
          </cell>
          <cell r="B7804" t="str">
            <v>PC24x7 4年 MSA2050Encl用</v>
          </cell>
          <cell r="C7804" t="str">
            <v>【HPEプロアクティブケア】メーカー推奨／低価格で国内専用窓口の高品質な保守により、システム運用における安心を提供します。</v>
          </cell>
        </row>
        <row r="7805">
          <cell r="A7805" t="str">
            <v>H7KF2E</v>
          </cell>
          <cell r="B7805" t="str">
            <v>PC24x7DMR 4年 MSA2050Encl用</v>
          </cell>
          <cell r="C7805" t="str">
            <v>【HPEプロアクティブケア】メーカー推奨／低価格で国内専用窓口の高品質な保守により、システム運用における安心を提供します。</v>
          </cell>
        </row>
        <row r="7806">
          <cell r="A7806" t="str">
            <v>H7KG9E</v>
          </cell>
          <cell r="B7806" t="str">
            <v>FC9x5 5年 MSA2050Encl用</v>
          </cell>
          <cell r="C7806" t="str">
            <v>【ファウンデーションケア】</v>
          </cell>
        </row>
        <row r="7807">
          <cell r="A7807" t="str">
            <v>H7KH0E</v>
          </cell>
          <cell r="B7807" t="str">
            <v>FC9x5DMR 5年 MSA2050Encl用</v>
          </cell>
          <cell r="C7807" t="str">
            <v>【ファウンデーションケア】</v>
          </cell>
        </row>
        <row r="7808">
          <cell r="A7808" t="str">
            <v>H7KH7E</v>
          </cell>
          <cell r="B7808" t="str">
            <v>FC24x7 5年 MSA2050Encl用</v>
          </cell>
          <cell r="C7808" t="str">
            <v>【ファウンデーションケア】</v>
          </cell>
        </row>
        <row r="7809">
          <cell r="A7809" t="str">
            <v>H7KH8E</v>
          </cell>
          <cell r="B7809" t="str">
            <v>FC24x7DMR 5年 MSA2050Encl用</v>
          </cell>
          <cell r="C7809" t="str">
            <v>【ファウンデーションケア】</v>
          </cell>
        </row>
        <row r="7810">
          <cell r="A7810" t="str">
            <v>H7KJ0E</v>
          </cell>
          <cell r="B7810" t="str">
            <v>PC24x7 5年 MSA2050Encl用</v>
          </cell>
          <cell r="C7810" t="str">
            <v>【HPEプロアクティブケア】メーカー推奨／低価格で国内専用窓口の高品質な保守により、システム運用における安心を提供します。</v>
          </cell>
        </row>
        <row r="7811">
          <cell r="A7811" t="str">
            <v>H7KJ1E</v>
          </cell>
          <cell r="B7811" t="str">
            <v>PC24x7DMR 5年 MSA2050Encl用</v>
          </cell>
          <cell r="C7811" t="str">
            <v>【HPEプロアクティブケア】メーカー推奨／低価格で国内専用窓口の高品質な保守により、システム運用における安心を提供します。</v>
          </cell>
        </row>
        <row r="7812">
          <cell r="A7812" t="str">
            <v>H7KK8PE</v>
          </cell>
          <cell r="B7812" t="str">
            <v>PW FC9x5 1年 MSA2050Encl用</v>
          </cell>
          <cell r="C7812" t="str">
            <v>【ファウンデーションケア】</v>
          </cell>
        </row>
        <row r="7813">
          <cell r="A7813" t="str">
            <v>H7KK9PE</v>
          </cell>
          <cell r="B7813" t="str">
            <v>PW FC9x5DMR 1年 MSA2050Encl用</v>
          </cell>
          <cell r="C7813" t="str">
            <v>【ファウンデーションケア】</v>
          </cell>
        </row>
        <row r="7814">
          <cell r="A7814" t="str">
            <v>H7KL3PE</v>
          </cell>
          <cell r="B7814" t="str">
            <v>PW FC24x7 1年 MSA2050Encl用</v>
          </cell>
          <cell r="C7814" t="str">
            <v>【ファウンデーションケア】</v>
          </cell>
        </row>
        <row r="7815">
          <cell r="A7815" t="str">
            <v>H7KL4PE</v>
          </cell>
          <cell r="B7815" t="str">
            <v>PW FC24x7DMR 1年 MSA2050Encl用</v>
          </cell>
          <cell r="C7815" t="str">
            <v>【ファウンデーションケア】</v>
          </cell>
        </row>
        <row r="7816">
          <cell r="A7816" t="str">
            <v>H7KL6PE</v>
          </cell>
          <cell r="B7816" t="str">
            <v>PW PC24x7 1年 MSA2050Encl用</v>
          </cell>
          <cell r="C7816" t="str">
            <v>【HPEプロアクティブケア】メーカー推奨／低価格で国内専用窓口の高品質な保守により、システム運用における安心を提供します。</v>
          </cell>
        </row>
        <row r="7817">
          <cell r="A7817" t="str">
            <v>H7KL7PE</v>
          </cell>
          <cell r="B7817" t="str">
            <v>PW PC24x7DMR 1年 MSA2050Encl用</v>
          </cell>
          <cell r="C7817" t="str">
            <v>【HPEプロアクティブケア】メーカー推奨／低価格で国内専用窓口の高品質な保守により、システム運用における安心を提供します。</v>
          </cell>
        </row>
        <row r="7818">
          <cell r="A7818" t="str">
            <v>H7KP8E</v>
          </cell>
          <cell r="B7818" t="str">
            <v>HPE 3Y FC SBD MSA 2040 Storage SVC</v>
          </cell>
          <cell r="C7818" t="str">
            <v>【ファウンデーションケア】</v>
          </cell>
        </row>
        <row r="7819">
          <cell r="A7819" t="str">
            <v>H7KP9E</v>
          </cell>
          <cell r="B7819" t="str">
            <v>HPE 3Y FC SBD wDMR MSA 2040 Storage SVC</v>
          </cell>
          <cell r="C7819" t="str">
            <v>【ファウンデーションケア】</v>
          </cell>
        </row>
        <row r="7820">
          <cell r="A7820" t="str">
            <v>H7KQ6E</v>
          </cell>
          <cell r="B7820" t="str">
            <v>HPE 3Y FC 24x7 MSA 2040 Storage SVC</v>
          </cell>
          <cell r="C7820" t="str">
            <v>【ファウンデーションケア】</v>
          </cell>
        </row>
        <row r="7821">
          <cell r="A7821" t="str">
            <v>H7KQ7E</v>
          </cell>
          <cell r="B7821" t="str">
            <v>HPE 3Y FC 24x7 wDMR MSA 2040 Storage SVC</v>
          </cell>
          <cell r="C7821" t="str">
            <v>【ファウンデーションケア】</v>
          </cell>
        </row>
        <row r="7822">
          <cell r="A7822" t="str">
            <v>H7KQ9E</v>
          </cell>
          <cell r="B7822" t="str">
            <v>HPE 3Y PC 24x7 MSA 2040 Storage SVC</v>
          </cell>
          <cell r="C7822" t="str">
            <v>【HPEプロアクティブケア】メーカー推奨／低価格で国内専用窓口の高品質な保守により、システム運用における安心を提供します。</v>
          </cell>
        </row>
        <row r="7823">
          <cell r="A7823" t="str">
            <v>H7KR0E</v>
          </cell>
          <cell r="B7823" t="str">
            <v>HPE 3Y PC 24x7 wDMR MSA 2040 Storage SVC</v>
          </cell>
          <cell r="C7823" t="str">
            <v>【HPEプロアクティブケア】メーカー推奨／低価格で国内専用窓口の高品質な保守により、システム運用における安心を提供します。</v>
          </cell>
        </row>
        <row r="7824">
          <cell r="A7824" t="str">
            <v>H7KS7E</v>
          </cell>
          <cell r="B7824" t="str">
            <v>HPE 4Y FC SBD MSA 2040 Storage SVC</v>
          </cell>
          <cell r="C7824" t="str">
            <v>【ファウンデーションケア】</v>
          </cell>
        </row>
        <row r="7825">
          <cell r="A7825" t="str">
            <v>H7KS8E</v>
          </cell>
          <cell r="B7825" t="str">
            <v>HPE 4Y FC SBD wDMR MSA 2040 Storage SVC</v>
          </cell>
          <cell r="C7825" t="str">
            <v>【ファウンデーションケア】</v>
          </cell>
        </row>
        <row r="7826">
          <cell r="A7826" t="str">
            <v>H9XX0E</v>
          </cell>
          <cell r="B7826" t="str">
            <v>FC 9x5 3年 MSL3040 Base Module用</v>
          </cell>
          <cell r="C7826" t="str">
            <v>【ファウンデーションケア】</v>
          </cell>
        </row>
        <row r="7827">
          <cell r="A7827" t="str">
            <v>H9XX5E</v>
          </cell>
          <cell r="B7827" t="str">
            <v>FC 24x7 3年 MSL3040 Base Module用</v>
          </cell>
          <cell r="C7827" t="str">
            <v>【ファウンデーションケア】</v>
          </cell>
        </row>
        <row r="7828">
          <cell r="A7828" t="str">
            <v>H9XX7E</v>
          </cell>
          <cell r="B7828" t="str">
            <v>PC 24x7 3年 MSL3040 Base Module用</v>
          </cell>
          <cell r="C7828" t="str">
            <v>【HPEプロアクティブケア】メーカー推奨／低価格で国内専用窓口の高品質な保守により、システム運用における安心を提供します。</v>
          </cell>
        </row>
        <row r="7829">
          <cell r="A7829" t="str">
            <v>H9XY9E</v>
          </cell>
          <cell r="B7829" t="str">
            <v>FC 9x5 4年 MSL3040 Base Module用</v>
          </cell>
          <cell r="C7829" t="str">
            <v>【ファウンデーションケア】</v>
          </cell>
        </row>
        <row r="7830">
          <cell r="A7830" t="str">
            <v>H9XZ4E</v>
          </cell>
          <cell r="B7830" t="str">
            <v>FC 24x7 4年 MSL3040 Base Module用</v>
          </cell>
          <cell r="C7830" t="str">
            <v>【ファウンデーションケア】</v>
          </cell>
        </row>
        <row r="7831">
          <cell r="A7831" t="str">
            <v>H9XZ6E</v>
          </cell>
          <cell r="B7831" t="str">
            <v>PC 24x7 4年 MSL3040 Base Module用</v>
          </cell>
          <cell r="C7831" t="str">
            <v>【HPEプロアクティブケア】メーカー推奨／低価格で国内専用窓口の高品質な保守により、システム運用における安心を提供します。</v>
          </cell>
        </row>
        <row r="7832">
          <cell r="A7832" t="str">
            <v>H9YA1E</v>
          </cell>
          <cell r="B7832" t="str">
            <v>PC 24x7 3年 MSL3040 Expansion Module用</v>
          </cell>
          <cell r="C7832" t="str">
            <v>【HPEプロアクティブケア】メーカー推奨／低価格で国内専用窓口の高品質な保守により、システム運用における安心を提供します。</v>
          </cell>
        </row>
        <row r="7833">
          <cell r="A7833" t="str">
            <v>H9YB3E</v>
          </cell>
          <cell r="B7833" t="str">
            <v>FC 9x5 4年 MSL3040 Expansion Module用</v>
          </cell>
          <cell r="C7833" t="str">
            <v>【ファウンデーションケア】</v>
          </cell>
        </row>
        <row r="7834">
          <cell r="A7834" t="str">
            <v>H9YB8E</v>
          </cell>
          <cell r="B7834" t="str">
            <v>FC 24x7 4年 MSL3040 Expansion Module用</v>
          </cell>
          <cell r="C7834" t="str">
            <v>【ファウンデーションケア】</v>
          </cell>
        </row>
        <row r="7835">
          <cell r="A7835" t="str">
            <v>H9YC0E</v>
          </cell>
          <cell r="B7835" t="str">
            <v>PC 24x7 4年 MSL3040 Expansion Module用</v>
          </cell>
          <cell r="C7835" t="str">
            <v>【HPEプロアクティブケア】メーカー推奨／低価格で国内専用窓口の高品質な保守により、システム運用における安心を提供します。</v>
          </cell>
        </row>
        <row r="7836">
          <cell r="A7836" t="str">
            <v>H9YD2E</v>
          </cell>
          <cell r="B7836" t="str">
            <v>FC 9x5 5年 MSL3040 Expansion Module用</v>
          </cell>
          <cell r="C7836" t="str">
            <v>【ファウンデーションケア】</v>
          </cell>
        </row>
        <row r="7837">
          <cell r="A7837" t="str">
            <v>H9YD7E</v>
          </cell>
          <cell r="B7837" t="str">
            <v>FC 24x7 5年 MSL3040 Expansion Module用</v>
          </cell>
          <cell r="C7837" t="str">
            <v>【ファウンデーションケア】</v>
          </cell>
        </row>
        <row r="7838">
          <cell r="A7838" t="str">
            <v>H9YD9E</v>
          </cell>
          <cell r="B7838" t="str">
            <v>PC 24x7 5年 MSL3040 Expansion Module用</v>
          </cell>
          <cell r="C7838" t="str">
            <v>【HPEプロアクティブケア】メーカー推奨／低価格で国内専用窓口の高品質な保守により、システム運用における安心を提供します。</v>
          </cell>
        </row>
        <row r="7839">
          <cell r="A7839" t="str">
            <v>HA0Q5E</v>
          </cell>
          <cell r="B7839" t="str">
            <v>FC 9x5 5年 MSL3040 Base Module用</v>
          </cell>
          <cell r="C7839" t="str">
            <v>【ファウンデーションケア】</v>
          </cell>
        </row>
        <row r="7840">
          <cell r="A7840" t="str">
            <v>HA0R0E</v>
          </cell>
          <cell r="B7840" t="str">
            <v>FC 24x7 5年 MSL3040 Base Module用</v>
          </cell>
          <cell r="C7840" t="str">
            <v>【ファウンデーションケア】</v>
          </cell>
        </row>
        <row r="7841">
          <cell r="A7841" t="str">
            <v>HA0R2E</v>
          </cell>
          <cell r="B7841" t="str">
            <v>PC 24x7 5年 MSL3040 Base Module用</v>
          </cell>
          <cell r="C7841" t="str">
            <v>【HPEプロアクティブケア】メーカー推奨／低価格で国内専用窓口の高品質な保守により、システム運用における安心を提供します。</v>
          </cell>
        </row>
        <row r="7842">
          <cell r="A7842" t="str">
            <v>HA0T7E</v>
          </cell>
          <cell r="B7842" t="str">
            <v>FC 9x5 3年 MSL3040 Expansion Module用</v>
          </cell>
          <cell r="C7842" t="str">
            <v>【ファウンデーションケア】</v>
          </cell>
        </row>
        <row r="7843">
          <cell r="A7843" t="str">
            <v>HA0U2E</v>
          </cell>
          <cell r="B7843" t="str">
            <v>FC 24x7 3年 MSL3040 Expansion Module用</v>
          </cell>
          <cell r="C7843" t="str">
            <v>【ファウンデーションケア】</v>
          </cell>
        </row>
        <row r="7844">
          <cell r="A7844" t="str">
            <v>HH5E0E</v>
          </cell>
          <cell r="B7844" t="str">
            <v>FC 9x5 4年 LTO-8 Autoloader用</v>
          </cell>
          <cell r="C7844" t="str">
            <v>【ファウンデーションケア】</v>
          </cell>
        </row>
        <row r="7845">
          <cell r="A7845" t="str">
            <v>HH5E3E</v>
          </cell>
          <cell r="B7845" t="str">
            <v>FC 24x7 4年 LTO-8 Autoloader用</v>
          </cell>
          <cell r="C7845" t="str">
            <v>【ファウンデーションケア】</v>
          </cell>
        </row>
        <row r="7846">
          <cell r="A7846" t="str">
            <v>HH5E5E</v>
          </cell>
          <cell r="B7846" t="str">
            <v>PC 24x7 4年 LTO-8 Autoloader用</v>
          </cell>
          <cell r="C7846" t="str">
            <v>【HPEプロアクティブケア】メーカー推奨／低価格で国内専用窓口の高品質な保守により、システム運用における安心を提供します。</v>
          </cell>
        </row>
        <row r="7847">
          <cell r="A7847" t="str">
            <v>HH5F3E</v>
          </cell>
          <cell r="B7847" t="str">
            <v>FC 9x5 5年 LTO-8 Autoloader用</v>
          </cell>
          <cell r="C7847" t="str">
            <v>【ファウンデーションケア】</v>
          </cell>
        </row>
        <row r="7848">
          <cell r="A7848" t="str">
            <v>HH5F6E</v>
          </cell>
          <cell r="B7848" t="str">
            <v>FC 24x7 5年 LTO-8 Autoloader用</v>
          </cell>
          <cell r="C7848" t="str">
            <v>【ファウンデーションケア】</v>
          </cell>
        </row>
        <row r="7849">
          <cell r="A7849" t="str">
            <v>HH5F8E</v>
          </cell>
          <cell r="B7849" t="str">
            <v>PC 24x7 5年 LTO-8 Autoloader用</v>
          </cell>
          <cell r="C7849" t="str">
            <v>【HPEプロアクティブケア】メーカー推奨／低価格で国内専用窓口の高品質な保守により、システム運用における安心を提供します。</v>
          </cell>
        </row>
        <row r="7850">
          <cell r="A7850" t="str">
            <v>HS100E</v>
          </cell>
          <cell r="B7850" t="str">
            <v>FC 9x5 3年 LTO-8 Ext Tap Driv用</v>
          </cell>
          <cell r="C7850" t="str">
            <v>【ファウンデーションケア】</v>
          </cell>
        </row>
        <row r="7851">
          <cell r="A7851" t="str">
            <v>HS103E</v>
          </cell>
          <cell r="B7851" t="str">
            <v>FC 24x7 3年 LTO-8 Ext Tap Driv用</v>
          </cell>
          <cell r="C7851" t="str">
            <v>【ファウンデーションケア】</v>
          </cell>
        </row>
        <row r="7852">
          <cell r="A7852" t="str">
            <v>HS105E</v>
          </cell>
          <cell r="B7852" t="str">
            <v>PC 24x7 3年 LTO-8 Ext Tap Driv用</v>
          </cell>
          <cell r="C7852" t="str">
            <v>【HPEプロアクティブケア】メーカー推奨／低価格で国内専用窓口の高品質な保守により、システム運用における安心を提供します。</v>
          </cell>
        </row>
        <row r="7853">
          <cell r="A7853" t="str">
            <v>HS113E</v>
          </cell>
          <cell r="B7853" t="str">
            <v>FC 9x5 4年 LTO-8 Ext Tap Driv用</v>
          </cell>
          <cell r="C7853" t="str">
            <v>【ファウンデーションケア】</v>
          </cell>
        </row>
        <row r="7854">
          <cell r="A7854" t="str">
            <v>HS116E</v>
          </cell>
          <cell r="B7854" t="str">
            <v>FC 24x7 4年 LTO-8 Ext Tap Driv用</v>
          </cell>
          <cell r="C7854" t="str">
            <v>【ファウンデーションケア】</v>
          </cell>
        </row>
        <row r="7855">
          <cell r="A7855" t="str">
            <v>HS118E</v>
          </cell>
          <cell r="B7855" t="str">
            <v>PC 24x7 4年 LTO-8 Ext Tap Driv用</v>
          </cell>
          <cell r="C7855" t="str">
            <v>【HPEプロアクティブケア】メーカー推奨／低価格で国内専用窓口の高品質な保守により、システム運用における安心を提供します。</v>
          </cell>
        </row>
        <row r="7856">
          <cell r="A7856" t="str">
            <v>HS126E</v>
          </cell>
          <cell r="B7856" t="str">
            <v>FC 9x5 5年 LTO-8 Ext Tap Driv用</v>
          </cell>
          <cell r="C7856" t="str">
            <v>【ファウンデーションケア】</v>
          </cell>
        </row>
        <row r="7857">
          <cell r="A7857" t="str">
            <v>HS129E</v>
          </cell>
          <cell r="B7857" t="str">
            <v>FC 24x7 5年 LTO-8 Ext Tap Driv用</v>
          </cell>
          <cell r="C7857" t="str">
            <v>【ファウンデーションケア】</v>
          </cell>
        </row>
        <row r="7858">
          <cell r="A7858" t="str">
            <v>HS131E</v>
          </cell>
          <cell r="B7858" t="str">
            <v>PC 24x7 5年 LTO-8 Ext Tap Driv用</v>
          </cell>
          <cell r="C7858" t="str">
            <v>【HPEプロアクティブケア】メーカー推奨／低価格で国内専用窓口の高品質な保守により、システム運用における安心を提供します。</v>
          </cell>
        </row>
        <row r="7859">
          <cell r="A7859" t="str">
            <v>HS152E</v>
          </cell>
          <cell r="B7859" t="str">
            <v>FC 9x5 3年 LTO-8 Autoloader用</v>
          </cell>
          <cell r="C7859" t="str">
            <v>【ファウンデーションケア】</v>
          </cell>
        </row>
        <row r="7860">
          <cell r="A7860" t="str">
            <v>HS155E</v>
          </cell>
          <cell r="B7860" t="str">
            <v>FC 24x7 3年 LTO-8 Autoloader用</v>
          </cell>
          <cell r="C7860" t="str">
            <v>【ファウンデーションケア】</v>
          </cell>
        </row>
        <row r="7861">
          <cell r="A7861" t="str">
            <v>HS157E</v>
          </cell>
          <cell r="B7861" t="str">
            <v>PC 24x7 3年 LTO-8 Autoloader用</v>
          </cell>
          <cell r="C7861" t="str">
            <v>【HPEプロアクティブケア】メーカー推奨／低価格で国内専用窓口の高品質な保守により、システム運用における安心を提供します。</v>
          </cell>
        </row>
        <row r="7862">
          <cell r="A7862" t="str">
            <v>HT3J2E</v>
          </cell>
          <cell r="B7862" t="str">
            <v>HPE 4Y FC 24x7 MSA 2040 Storage SVC</v>
          </cell>
          <cell r="C7862" t="str">
            <v>【ファウンデーションケア】</v>
          </cell>
        </row>
        <row r="7863">
          <cell r="A7863" t="str">
            <v>HT3J3E</v>
          </cell>
          <cell r="B7863" t="str">
            <v>HPE 4Y FC 24x7 wDMR MSA 2040 Storage SVC</v>
          </cell>
          <cell r="C7863" t="str">
            <v>【ファウンデーションケア】</v>
          </cell>
        </row>
        <row r="7864">
          <cell r="A7864" t="str">
            <v>HT3J5E</v>
          </cell>
          <cell r="B7864" t="str">
            <v>HPE 4Y PC 24x7 MSA 2040 Storage SVC</v>
          </cell>
          <cell r="C7864" t="str">
            <v>【HPEプロアクティブケア】メーカー推奨／低価格で国内専用窓口の高品質な保守により、システム運用における安心を提供します。</v>
          </cell>
        </row>
        <row r="7865">
          <cell r="A7865" t="str">
            <v>HT3J6E</v>
          </cell>
          <cell r="B7865" t="str">
            <v>HPE 4Y PC 24x7 wDMR MSA 2040 Storage SVC</v>
          </cell>
          <cell r="C7865" t="str">
            <v>【HPEプロアクティブケア】メーカー推奨／低価格で国内専用窓口の高品質な保守により、システム運用における安心を提供します。</v>
          </cell>
        </row>
        <row r="7866">
          <cell r="A7866" t="str">
            <v>HT3L3E</v>
          </cell>
          <cell r="B7866" t="str">
            <v>HPE 5Y FC SBD MSA 2040 Storage SVC</v>
          </cell>
          <cell r="C7866" t="str">
            <v>【ファウンデーションケア】</v>
          </cell>
        </row>
        <row r="7867">
          <cell r="A7867" t="str">
            <v>HT3L4E</v>
          </cell>
          <cell r="B7867" t="str">
            <v>HPE 5Y FC SBD wDMR MSA 2040 Storage SVC</v>
          </cell>
          <cell r="C7867" t="str">
            <v>【ファウンデーションケア】</v>
          </cell>
        </row>
        <row r="7868">
          <cell r="A7868" t="str">
            <v>HT3M1E</v>
          </cell>
          <cell r="B7868" t="str">
            <v>HPE 5Y FC 24x7 MSA 2040 Storage SVC</v>
          </cell>
          <cell r="C7868" t="str">
            <v>【ファウンデーションケア】</v>
          </cell>
        </row>
        <row r="7869">
          <cell r="A7869" t="str">
            <v>HT3M2E</v>
          </cell>
          <cell r="B7869" t="str">
            <v>HPE 5Y FC 24x7 wDMR MSA 2040 Storage SVC</v>
          </cell>
          <cell r="C7869" t="str">
            <v>【ファウンデーションケア】</v>
          </cell>
        </row>
        <row r="7870">
          <cell r="A7870" t="str">
            <v>HT3M4E</v>
          </cell>
          <cell r="B7870" t="str">
            <v>HPE 5Y PC 24x7 MSA 2040 Storage SVC</v>
          </cell>
          <cell r="C7870" t="str">
            <v>【HPEプロアクティブケア】メーカー推奨／低価格で国内専用窓口の高品質な保守により、システム運用における安心を提供します。</v>
          </cell>
        </row>
        <row r="7871">
          <cell r="A7871" t="str">
            <v>HT3M5E</v>
          </cell>
          <cell r="B7871" t="str">
            <v>HPE 5Y PC 24x7 wDMR MSA 2040 Storage SVC</v>
          </cell>
          <cell r="C7871" t="str">
            <v>【HPEプロアクティブケア】メーカー推奨／低価格で国内専用窓口の高品質な保守により、システム運用における安心を提供します。</v>
          </cell>
        </row>
        <row r="7872">
          <cell r="A7872" t="str">
            <v>HT3P2PE</v>
          </cell>
          <cell r="B7872" t="str">
            <v>HPE 1Y PW FC SBD MSA 2040 Storage SVC</v>
          </cell>
          <cell r="C7872" t="str">
            <v>【ファウンデーションケア】</v>
          </cell>
        </row>
        <row r="7873">
          <cell r="A7873" t="str">
            <v>HT3P3PE</v>
          </cell>
          <cell r="B7873" t="str">
            <v>HPE 1Y PW FC SBD wDMR MSA 2040 Stg SVC</v>
          </cell>
          <cell r="C7873" t="str">
            <v>【ファウンデーションケア】</v>
          </cell>
        </row>
        <row r="7874">
          <cell r="A7874" t="str">
            <v>HT3P7PE</v>
          </cell>
          <cell r="B7874" t="str">
            <v>HPE 1Y PW FC 24x7 MSA 2040 Storage SVC</v>
          </cell>
          <cell r="C7874" t="str">
            <v>【ファウンデーションケア】</v>
          </cell>
        </row>
        <row r="7875">
          <cell r="A7875" t="str">
            <v>HT3P8PE</v>
          </cell>
          <cell r="B7875" t="str">
            <v>HPE 1Y PW FC 24x7 wDMR MSA 2040 Stg SVC</v>
          </cell>
          <cell r="C7875" t="str">
            <v>【ファウンデーションケア】</v>
          </cell>
        </row>
        <row r="7876">
          <cell r="A7876" t="str">
            <v>HT3Q0PE</v>
          </cell>
          <cell r="B7876" t="str">
            <v>HPE 1Y PW PC 24x7 MSA 2040 Storage SVC</v>
          </cell>
          <cell r="C7876" t="str">
            <v>【HPEプロアクティブケア】メーカー推奨／低価格で国内専用窓口の高品質な保守により、システム運用における安心を提供します。</v>
          </cell>
        </row>
        <row r="7877">
          <cell r="A7877" t="str">
            <v>HT3Q1PE</v>
          </cell>
          <cell r="B7877" t="str">
            <v>HPE 1Y PW PC 24x7 wDMR MSA 2040 Stg SVC</v>
          </cell>
          <cell r="C7877" t="str">
            <v>【HPEプロアクティブケア】メーカー推奨／低価格で国内専用窓口の高品質な保守により、システム運用における安心を提供します。</v>
          </cell>
        </row>
        <row r="7878">
          <cell r="A7878" t="str">
            <v>HT3R2E</v>
          </cell>
          <cell r="B7878" t="str">
            <v>HPE 3Y FC SBD MSA 2040 Disk Encl SVC</v>
          </cell>
          <cell r="C7878" t="str">
            <v>【ファウンデーションケア】</v>
          </cell>
        </row>
        <row r="7879">
          <cell r="A7879" t="str">
            <v>HT3R3E</v>
          </cell>
          <cell r="B7879" t="str">
            <v>HPE 3Y FC SBD wDMR MSA2040 Disk Encl SVC</v>
          </cell>
          <cell r="C7879" t="str">
            <v>【ファウンデーションケア】</v>
          </cell>
        </row>
        <row r="7880">
          <cell r="A7880" t="str">
            <v>HT3S0E</v>
          </cell>
          <cell r="B7880" t="str">
            <v>HPE 3Y FC 24x7 MSA 2040 Disk Encl SVC</v>
          </cell>
          <cell r="C7880" t="str">
            <v>【ファウンデーションケア】</v>
          </cell>
        </row>
        <row r="7881">
          <cell r="A7881" t="str">
            <v>HT3S1E</v>
          </cell>
          <cell r="B7881" t="str">
            <v>HPE 3Y FC 24x7 wDMR MSA 2040 Encl SVC</v>
          </cell>
          <cell r="C7881" t="str">
            <v>【ファウンデーションケア】</v>
          </cell>
        </row>
        <row r="7882">
          <cell r="A7882" t="str">
            <v>HT3S3E</v>
          </cell>
          <cell r="B7882" t="str">
            <v>HPE 3Y PC 24x7 MSA 2040 Disk Encl SVC</v>
          </cell>
          <cell r="C7882" t="str">
            <v>【HPEプロアクティブケア】メーカー推奨／低価格で国内専用窓口の高品質な保守により、システム運用における安心を提供します。</v>
          </cell>
        </row>
        <row r="7883">
          <cell r="A7883" t="str">
            <v>HT3S4E</v>
          </cell>
          <cell r="B7883" t="str">
            <v>HPE 3Y PC 24x7 wDMR MSA 2040 Encl SVC</v>
          </cell>
          <cell r="C7883" t="str">
            <v>【HPEプロアクティブケア】メーカー推奨／低価格で国内専用窓口の高品質な保守により、システム運用における安心を提供します。</v>
          </cell>
        </row>
        <row r="7884">
          <cell r="A7884" t="str">
            <v>HT3U1E</v>
          </cell>
          <cell r="B7884" t="str">
            <v>HPE 4Y FC SBD MSA 2040 Disk Encl SVC</v>
          </cell>
          <cell r="C7884" t="str">
            <v>【ファウンデーションケア】</v>
          </cell>
        </row>
        <row r="7885">
          <cell r="A7885" t="str">
            <v>HT3U2E</v>
          </cell>
          <cell r="B7885" t="str">
            <v>HPE 4Y FC SBD wDMR MSA2040 Disk Encl SVC</v>
          </cell>
          <cell r="C7885" t="str">
            <v>【ファウンデーションケア】</v>
          </cell>
        </row>
        <row r="7886">
          <cell r="A7886" t="str">
            <v>HT3U9E</v>
          </cell>
          <cell r="B7886" t="str">
            <v>HPE 4Y FC 24x7 MSA 2040 Disk Encl SVC</v>
          </cell>
          <cell r="C7886" t="str">
            <v>【ファウンデーションケア】</v>
          </cell>
        </row>
        <row r="7887">
          <cell r="A7887" t="str">
            <v>HT3V0E</v>
          </cell>
          <cell r="B7887" t="str">
            <v>HPE 4Y FC 24x7 wDMR MSA 2040 Encl SVC</v>
          </cell>
          <cell r="C7887" t="str">
            <v>【ファウンデーションケア】</v>
          </cell>
        </row>
        <row r="7888">
          <cell r="A7888" t="str">
            <v>HT3V2E</v>
          </cell>
          <cell r="B7888" t="str">
            <v>HPE 4Y PC 24x7 MSA 2040 Disk Encl SVC</v>
          </cell>
          <cell r="C7888" t="str">
            <v>【HPEプロアクティブケア】メーカー推奨／低価格で国内専用窓口の高品質な保守により、システム運用における安心を提供します。</v>
          </cell>
        </row>
        <row r="7889">
          <cell r="A7889" t="str">
            <v>HT3V3E</v>
          </cell>
          <cell r="B7889" t="str">
            <v>HPE 4Y PC 24x7 wDMR MSA 2040 Encl SVC</v>
          </cell>
          <cell r="C7889" t="str">
            <v>【HPEプロアクティブケア】メーカー推奨／低価格で国内専用窓口の高品質な保守により、システム運用における安心を提供します。</v>
          </cell>
        </row>
        <row r="7890">
          <cell r="A7890" t="str">
            <v>HT3X0E</v>
          </cell>
          <cell r="B7890" t="str">
            <v>HPE 5Y FC SBD MSA 2040 Disk Encl SVC</v>
          </cell>
          <cell r="C7890" t="str">
            <v>【ファウンデーションケア】</v>
          </cell>
        </row>
        <row r="7891">
          <cell r="A7891" t="str">
            <v>HT3X1E</v>
          </cell>
          <cell r="B7891" t="str">
            <v>HPE 5Y FC SBD wDMR MSA2040 Disk Encl SVC</v>
          </cell>
          <cell r="C7891" t="str">
            <v>【ファウンデーションケア】</v>
          </cell>
        </row>
        <row r="7892">
          <cell r="A7892" t="str">
            <v>HT3X8E</v>
          </cell>
          <cell r="B7892" t="str">
            <v>HPE 5Y FC 24x7 MSA 2040 Disk Encl SVC</v>
          </cell>
          <cell r="C7892" t="str">
            <v>【ファウンデーションケア】</v>
          </cell>
        </row>
        <row r="7893">
          <cell r="A7893" t="str">
            <v>HT3X9E</v>
          </cell>
          <cell r="B7893" t="str">
            <v>HPE 5Y FC 24x7 wDMR MSA 2040 Encl SVC</v>
          </cell>
          <cell r="C7893" t="str">
            <v>【ファウンデーションケア】</v>
          </cell>
        </row>
        <row r="7894">
          <cell r="A7894" t="str">
            <v>HT3Y1E</v>
          </cell>
          <cell r="B7894" t="str">
            <v>HPE 5Y PC 24x7 MSA 2040 Disk Encl SVC</v>
          </cell>
          <cell r="C7894" t="str">
            <v>【HPEプロアクティブケア】メーカー推奨／低価格で国内専用窓口の高品質な保守により、システム運用における安心を提供します。</v>
          </cell>
        </row>
        <row r="7895">
          <cell r="A7895" t="str">
            <v>HT3Y2E</v>
          </cell>
          <cell r="B7895" t="str">
            <v>HPE 5Y PC 24x7 wDMR MSA 2040 Encl SVC</v>
          </cell>
          <cell r="C7895" t="str">
            <v>【HPEプロアクティブケア】メーカー推奨／低価格で国内専用窓口の高品質な保守により、システム運用における安心を提供します。</v>
          </cell>
        </row>
        <row r="7896">
          <cell r="A7896" t="str">
            <v>HT3Z9PE</v>
          </cell>
          <cell r="B7896" t="str">
            <v>HPE 1Y PW FC SBD MSA 2040 Disk Encl SVC</v>
          </cell>
          <cell r="C7896" t="str">
            <v>【ファウンデーションケア】</v>
          </cell>
        </row>
        <row r="7897">
          <cell r="A7897" t="str">
            <v>HT4A0PE</v>
          </cell>
          <cell r="B7897" t="str">
            <v>HPE 1Y PW FC SBD wDMR MSA 2040 Encl SVC</v>
          </cell>
          <cell r="C7897" t="str">
            <v>【ファウンデーションケア】</v>
          </cell>
        </row>
        <row r="7898">
          <cell r="A7898" t="str">
            <v>HT4A4PE</v>
          </cell>
          <cell r="B7898" t="str">
            <v>HPE 1Y PW FC 24x7 MSA 2040 Disk Encl SVC</v>
          </cell>
          <cell r="C7898" t="str">
            <v>【ファウンデーションケア】</v>
          </cell>
        </row>
        <row r="7899">
          <cell r="A7899" t="str">
            <v>HT4A5PE</v>
          </cell>
          <cell r="B7899" t="str">
            <v>HPE 1Y PW FC 24x7 wDMR MSA 2040 Encl SVC</v>
          </cell>
          <cell r="C7899" t="str">
            <v>【ファウンデーションケア】</v>
          </cell>
        </row>
        <row r="7900">
          <cell r="A7900" t="str">
            <v>HT4A7PE</v>
          </cell>
          <cell r="B7900" t="str">
            <v>HPE 1Y PW PC 24x7 MSA 2040 Disk Encl SVC</v>
          </cell>
          <cell r="C7900" t="str">
            <v>【HPEプロアクティブケア】メーカー推奨／低価格で国内専用窓口の高品質な保守により、システム運用における安心を提供します。</v>
          </cell>
        </row>
        <row r="7901">
          <cell r="A7901" t="str">
            <v>HT4A8PE</v>
          </cell>
          <cell r="B7901" t="str">
            <v>HPE 1Y PW PC 24x7 wDMR MSA 2040 Encl SVC</v>
          </cell>
          <cell r="C7901" t="str">
            <v>【HPEプロアクティブケア】メーカー推奨／低価格で国内専用窓口の高品質な保守により、システム運用における安心を提供します。</v>
          </cell>
        </row>
        <row r="7902">
          <cell r="A7902" t="str">
            <v>HT4B9E</v>
          </cell>
          <cell r="B7902" t="str">
            <v>HPE FC9x5 3年 MSA1050用</v>
          </cell>
          <cell r="C7902" t="str">
            <v>【ファウンデーションケア】</v>
          </cell>
        </row>
        <row r="7903">
          <cell r="A7903" t="str">
            <v>HT4C0E</v>
          </cell>
          <cell r="B7903" t="str">
            <v>HPE FC9x5DMR 3年 MSA1050用</v>
          </cell>
          <cell r="C7903" t="str">
            <v>【ファウンデーションケア】</v>
          </cell>
        </row>
        <row r="7904">
          <cell r="A7904" t="str">
            <v>HT4C7E</v>
          </cell>
          <cell r="B7904" t="str">
            <v>HPE FC24x7 3年 MSA1050用</v>
          </cell>
          <cell r="C7904" t="str">
            <v>【ファウンデーションケア】</v>
          </cell>
        </row>
        <row r="7905">
          <cell r="A7905" t="str">
            <v>HT4C8E</v>
          </cell>
          <cell r="B7905" t="str">
            <v>HPE FC24x7DMR 3年 MSA1050用</v>
          </cell>
          <cell r="C7905" t="str">
            <v>【ファウンデーションケア】</v>
          </cell>
        </row>
        <row r="7906">
          <cell r="A7906" t="str">
            <v>HT4D0E</v>
          </cell>
          <cell r="B7906" t="str">
            <v>HPE PC24x7 3年 MSA1050用</v>
          </cell>
          <cell r="C7906" t="str">
            <v>【HPEプロアクティブケア】メーカー推奨／低価格で国内専用窓口の高品質な保守により、システム運用における安心を提供します。</v>
          </cell>
        </row>
        <row r="7907">
          <cell r="A7907" t="str">
            <v>HT4D1E</v>
          </cell>
          <cell r="B7907" t="str">
            <v>HPE PC24x7DMR 3年 MSA1050用</v>
          </cell>
          <cell r="C7907" t="str">
            <v>【HPEプロアクティブケア】メーカー推奨／低価格で国内専用窓口の高品質な保守により、システム運用における安心を提供します。</v>
          </cell>
        </row>
        <row r="7908">
          <cell r="A7908" t="str">
            <v>HT4E8E</v>
          </cell>
          <cell r="B7908" t="str">
            <v>HPE FC9x5 4年 MSA1050用</v>
          </cell>
          <cell r="C7908" t="str">
            <v>【ファウンデーションケア】</v>
          </cell>
        </row>
        <row r="7909">
          <cell r="A7909" t="str">
            <v>HT4E9E</v>
          </cell>
          <cell r="B7909" t="str">
            <v>HPE FC9x5DMR 4年 MSA1050用</v>
          </cell>
          <cell r="C7909" t="str">
            <v>【ファウンデーションケア】</v>
          </cell>
        </row>
        <row r="7910">
          <cell r="A7910" t="str">
            <v>HT4F6E</v>
          </cell>
          <cell r="B7910" t="str">
            <v>HPE FC24x7 4年 MSA1050用</v>
          </cell>
          <cell r="C7910" t="str">
            <v>【ファウンデーションケア】</v>
          </cell>
        </row>
        <row r="7911">
          <cell r="A7911" t="str">
            <v>HT4F7E</v>
          </cell>
          <cell r="B7911" t="str">
            <v>HPE FC24x7DMR 4年 MSA1050用</v>
          </cell>
          <cell r="C7911" t="str">
            <v>【ファウンデーションケア】</v>
          </cell>
        </row>
        <row r="7912">
          <cell r="A7912" t="str">
            <v>HT4F9E</v>
          </cell>
          <cell r="B7912" t="str">
            <v>HPE PC24x7 4年 MSA1050用</v>
          </cell>
          <cell r="C7912" t="str">
            <v>【HPEプロアクティブケア】メーカー推奨／低価格で国内専用窓口の高品質な保守により、システム運用における安心を提供します。</v>
          </cell>
        </row>
        <row r="7913">
          <cell r="A7913" t="str">
            <v>HT4G0E</v>
          </cell>
          <cell r="B7913" t="str">
            <v>HPE PC24x7DMR 4年 MSA1050用</v>
          </cell>
          <cell r="C7913" t="str">
            <v>【HPEプロアクティブケア】メーカー推奨／低価格で国内専用窓口の高品質な保守により、システム運用における安心を提供します。</v>
          </cell>
        </row>
        <row r="7914">
          <cell r="A7914" t="str">
            <v>HT4H7E</v>
          </cell>
          <cell r="B7914" t="str">
            <v>HPE FC9x5 5年 MSA1050用</v>
          </cell>
          <cell r="C7914" t="str">
            <v>【ファウンデーションケア】</v>
          </cell>
        </row>
        <row r="7915">
          <cell r="A7915" t="str">
            <v>HT4H8E</v>
          </cell>
          <cell r="B7915" t="str">
            <v>HPE FC9x5DMR 5年 MSA1050用</v>
          </cell>
          <cell r="C7915" t="str">
            <v>【ファウンデーションケア】</v>
          </cell>
        </row>
        <row r="7916">
          <cell r="A7916" t="str">
            <v>HT4J5E</v>
          </cell>
          <cell r="B7916" t="str">
            <v>HPE FC24x7 5年 MSA1050用</v>
          </cell>
          <cell r="C7916" t="str">
            <v>【ファウンデーションケア】</v>
          </cell>
        </row>
        <row r="7917">
          <cell r="A7917" t="str">
            <v>HT4J6E</v>
          </cell>
          <cell r="B7917" t="str">
            <v>HPE FC24x7DMR 5年 MSA1050用</v>
          </cell>
          <cell r="C7917" t="str">
            <v>【ファウンデーションケア】</v>
          </cell>
        </row>
        <row r="7918">
          <cell r="A7918" t="str">
            <v>HT4J8E</v>
          </cell>
          <cell r="B7918" t="str">
            <v>HPE PC24x7 5年 MSA1050用</v>
          </cell>
          <cell r="C7918" t="str">
            <v>【HPEプロアクティブケア】メーカー推奨／低価格で国内専用窓口の高品質な保守により、システム運用における安心を提供します。</v>
          </cell>
        </row>
        <row r="7919">
          <cell r="A7919" t="str">
            <v>HT4J9E</v>
          </cell>
          <cell r="B7919" t="str">
            <v>HPE PC24x7DMR 5年 MSA1050用</v>
          </cell>
          <cell r="C7919" t="str">
            <v>【HPEプロアクティブケア】メーカー推奨／低価格で国内専用窓口の高品質な保守により、システム運用における安心を提供します。</v>
          </cell>
        </row>
        <row r="7920">
          <cell r="A7920" t="str">
            <v>HT4L6PE</v>
          </cell>
          <cell r="B7920" t="str">
            <v>HPE PW FC9x5 1年 MSA1050用</v>
          </cell>
          <cell r="C7920" t="str">
            <v>【ファウンデーションケア】</v>
          </cell>
        </row>
        <row r="7921">
          <cell r="A7921" t="str">
            <v>HT4L7PE</v>
          </cell>
          <cell r="B7921" t="str">
            <v>HPE PW FC9x5DMR 1年 MSA1050用</v>
          </cell>
          <cell r="C7921" t="str">
            <v>【ファウンデーションケア】</v>
          </cell>
        </row>
        <row r="7922">
          <cell r="A7922" t="str">
            <v>HT4M1PE</v>
          </cell>
          <cell r="B7922" t="str">
            <v>HPE PW FC24x7 1年 MSA1050用</v>
          </cell>
          <cell r="C7922" t="str">
            <v>【ファウンデーションケア】</v>
          </cell>
        </row>
        <row r="7923">
          <cell r="A7923" t="str">
            <v>HT4M2PE</v>
          </cell>
          <cell r="B7923" t="str">
            <v>HPE PW FC24x7DMR 1年 MSA1050用</v>
          </cell>
          <cell r="C7923" t="str">
            <v>【ファウンデーションケア】</v>
          </cell>
        </row>
        <row r="7924">
          <cell r="A7924" t="str">
            <v>HT4M4PE</v>
          </cell>
          <cell r="B7924" t="str">
            <v>HPE PW PC24x7 1年 MSA1050用</v>
          </cell>
          <cell r="C7924" t="str">
            <v>【HPEプロアクティブケア】メーカー推奨／低価格で国内専用窓口の高品質な保守により、システム運用における安心を提供します。</v>
          </cell>
        </row>
        <row r="7925">
          <cell r="A7925" t="str">
            <v>HT4M5PE</v>
          </cell>
          <cell r="B7925" t="str">
            <v>HPE PW PC24x7DMR 1年 MSA1050用</v>
          </cell>
          <cell r="C7925" t="str">
            <v>【HPEプロアクティブケア】メーカー推奨／低価格で国内専用窓口の高品質な保守により、システム運用における安心を提供します。</v>
          </cell>
        </row>
        <row r="7926">
          <cell r="A7926" t="str">
            <v>HT4N6E</v>
          </cell>
          <cell r="B7926" t="str">
            <v>HPE FC9x5 3年 MSA1040用</v>
          </cell>
          <cell r="C7926" t="str">
            <v>【ファウンデーションケア】</v>
          </cell>
        </row>
        <row r="7927">
          <cell r="A7927" t="str">
            <v>HT4N7E</v>
          </cell>
          <cell r="B7927" t="str">
            <v>HPE FC9x5DMR 3年 MSA1040用</v>
          </cell>
          <cell r="C7927" t="str">
            <v>【ファウンデーションケア】</v>
          </cell>
        </row>
        <row r="7928">
          <cell r="A7928" t="str">
            <v>HT4P4E</v>
          </cell>
          <cell r="B7928" t="str">
            <v>HPE FC24x7 3年 MSA1040用</v>
          </cell>
          <cell r="C7928" t="str">
            <v>【ファウンデーションケア】</v>
          </cell>
        </row>
        <row r="7929">
          <cell r="A7929" t="str">
            <v>HT4P5E</v>
          </cell>
          <cell r="B7929" t="str">
            <v>HPE FC24x7DMR 3年 MSA1040用</v>
          </cell>
          <cell r="C7929" t="str">
            <v>【ファウンデーションケア】</v>
          </cell>
        </row>
        <row r="7930">
          <cell r="A7930" t="str">
            <v>HT4P7E</v>
          </cell>
          <cell r="B7930" t="str">
            <v>HPE PC24x7 3年 MSA1040用</v>
          </cell>
          <cell r="C7930" t="str">
            <v>【HPEプロアクティブケア】メーカー推奨／低価格で国内専用窓口の高品質な保守により、システム運用における安心を提供します。</v>
          </cell>
        </row>
        <row r="7931">
          <cell r="A7931" t="str">
            <v>HT4P8E</v>
          </cell>
          <cell r="B7931" t="str">
            <v>HPE PC24x7DMR 3年 MSA1040用</v>
          </cell>
          <cell r="C7931" t="str">
            <v>【HPEプロアクティブケア】メーカー推奨／低価格で国内専用窓口の高品質な保守により、システム運用における安心を提供します。</v>
          </cell>
        </row>
        <row r="7932">
          <cell r="A7932" t="str">
            <v>HT4R5E</v>
          </cell>
          <cell r="B7932" t="str">
            <v>HPE FC9x5 4年 MSA1040用</v>
          </cell>
          <cell r="C7932" t="str">
            <v>【ファウンデーションケア】</v>
          </cell>
        </row>
        <row r="7933">
          <cell r="A7933" t="str">
            <v>HT4R6E</v>
          </cell>
          <cell r="B7933" t="str">
            <v>HPE FC9x5DMR 4年 MSA1040用</v>
          </cell>
          <cell r="C7933" t="str">
            <v>【ファウンデーションケア】</v>
          </cell>
        </row>
        <row r="7934">
          <cell r="A7934" t="str">
            <v>HT4S3E</v>
          </cell>
          <cell r="B7934" t="str">
            <v>HPE FC24x7 4年 MSA1040用</v>
          </cell>
          <cell r="C7934" t="str">
            <v>【ファウンデーションケア】</v>
          </cell>
        </row>
        <row r="7935">
          <cell r="A7935" t="str">
            <v>HT4S4E</v>
          </cell>
          <cell r="B7935" t="str">
            <v>HPE FC24x7DMR 4年 MSA1040用</v>
          </cell>
          <cell r="C7935" t="str">
            <v>【ファウンデーションケア】</v>
          </cell>
        </row>
        <row r="7936">
          <cell r="A7936" t="str">
            <v>HT4S6E</v>
          </cell>
          <cell r="B7936" t="str">
            <v>HPE PC24x7 4年 MSA1040用</v>
          </cell>
          <cell r="C7936" t="str">
            <v>【HPEプロアクティブケア】メーカー推奨／低価格で国内専用窓口の高品質な保守により、システム運用における安心を提供します。</v>
          </cell>
        </row>
        <row r="7937">
          <cell r="A7937" t="str">
            <v>HT4S7E</v>
          </cell>
          <cell r="B7937" t="str">
            <v>HPE PC24x7DMR 4年 MSA1040用</v>
          </cell>
          <cell r="C7937" t="str">
            <v>【HPEプロアクティブケア】メーカー推奨／低価格で国内専用窓口の高品質な保守により、システム運用における安心を提供します。</v>
          </cell>
        </row>
        <row r="7938">
          <cell r="A7938" t="str">
            <v>HT4U4E</v>
          </cell>
          <cell r="B7938" t="str">
            <v>HPE FC9x5 5年 MSA1040用</v>
          </cell>
          <cell r="C7938" t="str">
            <v>【ファウンデーションケア】</v>
          </cell>
        </row>
        <row r="7939">
          <cell r="A7939" t="str">
            <v>HT4U5E</v>
          </cell>
          <cell r="B7939" t="str">
            <v>HPE FC9x5DMR 5年 MSA1040用</v>
          </cell>
          <cell r="C7939" t="str">
            <v>【ファウンデーションケア】</v>
          </cell>
        </row>
        <row r="7940">
          <cell r="A7940" t="str">
            <v>HT4V2E</v>
          </cell>
          <cell r="B7940" t="str">
            <v>HPE FC24x7 5年 MSA1040用</v>
          </cell>
          <cell r="C7940" t="str">
            <v>【ファウンデーションケア】</v>
          </cell>
        </row>
        <row r="7941">
          <cell r="A7941" t="str">
            <v>HT4V3E</v>
          </cell>
          <cell r="B7941" t="str">
            <v>HPE FC24x7DMR 5年 MSA1040用</v>
          </cell>
          <cell r="C7941" t="str">
            <v>【ファウンデーションケア】</v>
          </cell>
        </row>
        <row r="7942">
          <cell r="A7942" t="str">
            <v>HT4V5E</v>
          </cell>
          <cell r="B7942" t="str">
            <v>HPE PC24x7 5年 MSA1040用</v>
          </cell>
          <cell r="C7942" t="str">
            <v>【HPEプロアクティブケア】メーカー推奨／低価格で国内専用窓口の高品質な保守により、システム運用における安心を提供します。</v>
          </cell>
        </row>
        <row r="7943">
          <cell r="A7943" t="str">
            <v>HT4V6E</v>
          </cell>
          <cell r="B7943" t="str">
            <v>HPE PC24x7DMR 5年 MSA1040用</v>
          </cell>
          <cell r="C7943" t="str">
            <v>【HPEプロアクティブケア】メーカー推奨／低価格で国内専用窓口の高品質な保守により、システム運用における安心を提供します。</v>
          </cell>
        </row>
        <row r="7944">
          <cell r="A7944" t="str">
            <v>HT4X3PE</v>
          </cell>
          <cell r="B7944" t="str">
            <v>HPE PW FC9x5 1年 MSA1040用</v>
          </cell>
          <cell r="C7944" t="str">
            <v>【ファウンデーションケア】</v>
          </cell>
        </row>
        <row r="7945">
          <cell r="A7945" t="str">
            <v>HT4X4PE</v>
          </cell>
          <cell r="B7945" t="str">
            <v>HPE PW FC9x5DMR 1年 MSA1040用</v>
          </cell>
          <cell r="C7945" t="str">
            <v>【ファウンデーションケア】</v>
          </cell>
        </row>
        <row r="7946">
          <cell r="A7946" t="str">
            <v>HT4X8PE</v>
          </cell>
          <cell r="B7946" t="str">
            <v>HPE PW FC24x7 1年 MSA1040用</v>
          </cell>
          <cell r="C7946" t="str">
            <v>【ファウンデーションケア】</v>
          </cell>
        </row>
        <row r="7947">
          <cell r="A7947" t="str">
            <v>HT4X9PE</v>
          </cell>
          <cell r="B7947" t="str">
            <v>HPE PW FC24x7DMR 1年 MSA1040用</v>
          </cell>
          <cell r="C7947" t="str">
            <v>【ファウンデーションケア】</v>
          </cell>
        </row>
        <row r="7948">
          <cell r="A7948" t="str">
            <v>HT4Y1PE</v>
          </cell>
          <cell r="B7948" t="str">
            <v>HPE PW PC24x7 1年 MSA1040用</v>
          </cell>
          <cell r="C7948" t="str">
            <v>【HPEプロアクティブケア】メーカー推奨／低価格で国内専用窓口の高品質な保守により、システム運用における安心を提供します。</v>
          </cell>
        </row>
        <row r="7949">
          <cell r="A7949" t="str">
            <v>HT4Y2PE</v>
          </cell>
          <cell r="B7949" t="str">
            <v>HPE PW PC24x7DMR 1年 MSA1040用</v>
          </cell>
          <cell r="C7949" t="str">
            <v>【HPEプロアクティブケア】メーカー推奨／低価格で国内専用窓口の高品質な保守により、システム運用における安心を提供します。</v>
          </cell>
        </row>
        <row r="7950">
          <cell r="A7950" t="str">
            <v>U0VZ7E</v>
          </cell>
          <cell r="B7950" t="str">
            <v>ProCare 24x7 3年 StorOnce4500 Rep LTU用</v>
          </cell>
          <cell r="C7950" t="str">
            <v>【HPEプロアクティブケア】メーカー推奨／低価格で国内専用窓口の高品質な保守により、システム運用における安心を提供します。</v>
          </cell>
        </row>
        <row r="7951">
          <cell r="A7951" t="str">
            <v>U0WA0E</v>
          </cell>
          <cell r="B7951" t="str">
            <v>ProCare 24x7 4年 Store Rep 4500 LTU用</v>
          </cell>
          <cell r="C7951" t="str">
            <v>【HPEプロアクティブケア】メーカー推奨／低価格で国内専用窓口の高品質な保守により、システム運用における安心を提供します。</v>
          </cell>
        </row>
        <row r="7952">
          <cell r="A7952" t="str">
            <v>U0WA3E</v>
          </cell>
          <cell r="B7952" t="str">
            <v>ProCare 24x7 5年 Store Rep 4500 LTU用</v>
          </cell>
          <cell r="C7952" t="str">
            <v>【HPEプロアクティブケア】メーカー推奨／低価格で国内専用窓口の高品質な保守により、システム運用における安心を提供します。</v>
          </cell>
        </row>
        <row r="7953">
          <cell r="A7953" t="str">
            <v>U0WA8E</v>
          </cell>
          <cell r="B7953" t="str">
            <v>ProCare 24x7 3年 StorOnce4700 Rep LTU用</v>
          </cell>
          <cell r="C7953" t="str">
            <v>【HPEプロアクティブケア】メーカー推奨／低価格で国内専用窓口の高品質な保守により、システム運用における安心を提供します。</v>
          </cell>
        </row>
        <row r="7954">
          <cell r="A7954" t="str">
            <v>U0WB1E</v>
          </cell>
          <cell r="B7954" t="str">
            <v>ProCare 24x7 4年 StoreOnce 4700 LTU用</v>
          </cell>
          <cell r="C7954" t="str">
            <v>【HPEプロアクティブケア】メーカー推奨／低価格で国内専用窓口の高品質な保守により、システム運用における安心を提供します。</v>
          </cell>
        </row>
        <row r="7955">
          <cell r="A7955" t="str">
            <v>U0WB4E</v>
          </cell>
          <cell r="B7955" t="str">
            <v>ProCare 24x7 5年 Store Rep 4700 LTU用</v>
          </cell>
          <cell r="C7955" t="str">
            <v>【HPEプロアクティブケア】メーカー推奨／低価格で国内専用窓口の高品質な保守により、システム運用における安心を提供します。</v>
          </cell>
        </row>
        <row r="7956">
          <cell r="A7956" t="str">
            <v>U1EZ2PE</v>
          </cell>
          <cell r="B7956" t="str">
            <v>PW ProCare 24x7 1年 MSL6060用</v>
          </cell>
          <cell r="C7956" t="str">
            <v>【HPEプロアクティブケア】メーカー推奨／低価格で国内専用窓口の高品質な保守により、システム運用における安心を提供します。</v>
          </cell>
        </row>
        <row r="7957">
          <cell r="A7957" t="str">
            <v>U1EZ8PE</v>
          </cell>
          <cell r="B7957" t="str">
            <v>PW ProCare 24x7 1年 3U RKMT TapeDrvEncl</v>
          </cell>
          <cell r="C7957" t="str">
            <v>【HPEプロアクティブケア】メーカー推奨／低価格で国内専用窓口の高品質な保守により、システム運用における安心を提供します。</v>
          </cell>
        </row>
        <row r="7958">
          <cell r="A7958" t="str">
            <v>U1FA4PE</v>
          </cell>
          <cell r="B7958" t="str">
            <v>PW ProCare 24x7 1年 LTOオートローダ</v>
          </cell>
          <cell r="C7958" t="str">
            <v>【HPEプロアクティブケア】メーカー推奨／低価格で国内専用窓口の高品質な保守により、システム運用における安心を提供します。</v>
          </cell>
        </row>
        <row r="7959">
          <cell r="A7959" t="str">
            <v>U1FB0PE</v>
          </cell>
          <cell r="B7959" t="str">
            <v>PW ProCare 24x7 1年 4 Bay Rack Tape用</v>
          </cell>
          <cell r="C7959" t="str">
            <v>【HPEプロアクティブケア】メーカー推奨／低価格で国内専用窓口の高品質な保守により、システム運用における安心を提供します。</v>
          </cell>
        </row>
        <row r="7960">
          <cell r="A7960" t="str">
            <v>U1FB6PE</v>
          </cell>
          <cell r="B7960" t="str">
            <v>PW ProCare 24x7 1年 外付DATドライブ用</v>
          </cell>
          <cell r="C7960" t="str">
            <v>【HPEプロアクティブケア】メーカー推奨／低価格で国内専用窓口の高品質な保守により、システム運用における安心を提供します。</v>
          </cell>
        </row>
        <row r="7961">
          <cell r="A7961" t="str">
            <v>U1FJ2PE</v>
          </cell>
          <cell r="B7961" t="str">
            <v>PW ProCare 24x7 1年 外付LTOドライブ用</v>
          </cell>
          <cell r="C7961" t="str">
            <v>【HPEプロアクティブケア】メーカー推奨／低価格で国内専用窓口の高品質な保守により、システム運用における安心を提供します。</v>
          </cell>
        </row>
        <row r="7962">
          <cell r="A7962" t="str">
            <v>U1FJ8PE</v>
          </cell>
          <cell r="B7962" t="str">
            <v>PW ProCare 24x7 1年 1Uラックマウントkit</v>
          </cell>
          <cell r="C7962" t="str">
            <v>【HPEプロアクティブケア】メーカー推奨／低価格で国内専用窓口の高品質な保守により、システム運用における安心を提供します。</v>
          </cell>
        </row>
        <row r="7963">
          <cell r="A7963" t="str">
            <v>U1FK4PE</v>
          </cell>
          <cell r="B7963" t="str">
            <v>PW ProCare 24x7 1年 MSL4048用</v>
          </cell>
          <cell r="C7963" t="str">
            <v>【HPEプロアクティブケア】メーカー推奨／低価格で国内専用窓口の高品質な保守により、システム運用における安心を提供します。</v>
          </cell>
        </row>
        <row r="7964">
          <cell r="A7964" t="str">
            <v>U1FL0PE</v>
          </cell>
          <cell r="B7964" t="str">
            <v>PW ProCare 24x7 1年 MSL2024用</v>
          </cell>
          <cell r="C7964" t="str">
            <v>【HPEプロアクティブケア】メーカー推奨／低価格で国内専用窓口の高品質な保守により、システム運用における安心を提供します。</v>
          </cell>
        </row>
        <row r="7965">
          <cell r="A7965" t="str">
            <v>U1FL6PE</v>
          </cell>
          <cell r="B7965" t="str">
            <v>PW ProCare 24x7 1年 MSL8096用</v>
          </cell>
          <cell r="C7965" t="str">
            <v>【HPEプロアクティブケア】メーカー推奨／低価格で国内専用窓口の高品質な保守により、システム運用における安心を提供します。</v>
          </cell>
        </row>
        <row r="7966">
          <cell r="A7966" t="str">
            <v>U1FM2PE</v>
          </cell>
          <cell r="B7966" t="str">
            <v>PW ProCare 24x7 1年 1U USB Rackmnt kit用</v>
          </cell>
          <cell r="C7966" t="str">
            <v>【HPEプロアクティブケア】メーカー推奨／低価格で国内専用窓口の高品質な保守により、システム運用における安心を提供します。</v>
          </cell>
        </row>
        <row r="7967">
          <cell r="A7967" t="str">
            <v>U1FZ6PE</v>
          </cell>
          <cell r="B7967" t="str">
            <v>PW PC 24x7 1年 SE1430/1530用</v>
          </cell>
          <cell r="C7967" t="str">
            <v>【HPEプロアクティブケア】メーカー推奨／低価格で国内専用窓口の高品質な保守により、システム運用における安心を提供します。</v>
          </cell>
        </row>
        <row r="7968">
          <cell r="A7968" t="str">
            <v>U1FZ7PE</v>
          </cell>
          <cell r="B7968" t="str">
            <v>PW PC 24x7 DMR 1年 SE1430/1530用</v>
          </cell>
          <cell r="C7968" t="str">
            <v>【HPEプロアクティブケア】メーカー推奨／低価格で国内専用窓口の高品質な保守により、システム運用における安心を提供します。</v>
          </cell>
        </row>
        <row r="7969">
          <cell r="A7969" t="str">
            <v>U1GA5PE</v>
          </cell>
          <cell r="B7969" t="str">
            <v>PW PC 24x7 1年 StoreEasy1630用</v>
          </cell>
          <cell r="C7969" t="str">
            <v>【HPEプロアクティブケア】メーカー推奨／低価格で国内専用窓口の高品質な保守により、システム運用における安心を提供します。</v>
          </cell>
        </row>
        <row r="7970">
          <cell r="A7970" t="str">
            <v>U1GA6PE</v>
          </cell>
          <cell r="B7970" t="str">
            <v>PW PC 24x7 DMR 1年 StoreEasy1630用</v>
          </cell>
          <cell r="C7970" t="str">
            <v>【HPEプロアクティブケア】メーカー推奨／低価格で国内専用窓口の高品質な保守により、システム運用における安心を提供します。</v>
          </cell>
        </row>
        <row r="7971">
          <cell r="A7971" t="str">
            <v>U1GB4PE</v>
          </cell>
          <cell r="B7971" t="str">
            <v>PW PC 24x7 1年 StoreEasy1830用</v>
          </cell>
          <cell r="C7971" t="str">
            <v>【HPEプロアクティブケア】メーカー推奨／低価格で国内専用窓口の高品質な保守により、システム運用における安心を提供します。</v>
          </cell>
        </row>
        <row r="7972">
          <cell r="A7972" t="str">
            <v>U1GB5PE</v>
          </cell>
          <cell r="B7972" t="str">
            <v>PW PC 24x7 DMR 1年 StoreEasy1830用</v>
          </cell>
          <cell r="C7972" t="str">
            <v>【HPEプロアクティブケア】メーカー推奨／低価格で国内専用窓口の高品質な保守により、システム運用における安心を提供します。</v>
          </cell>
        </row>
        <row r="7973">
          <cell r="A7973" t="str">
            <v>U1GC3PE</v>
          </cell>
          <cell r="B7973" t="str">
            <v>PW PC 24x7 1年 StoreEasy3830用</v>
          </cell>
          <cell r="C7973" t="str">
            <v>【HPEプロアクティブケア】メーカー推奨／低価格で国内専用窓口の高品質な保守により、システム運用における安心を提供します。</v>
          </cell>
        </row>
        <row r="7974">
          <cell r="A7974" t="str">
            <v>U1GC4PE</v>
          </cell>
          <cell r="B7974" t="str">
            <v>PW PC 24x7 DMR 1年 StoreEasy3830用</v>
          </cell>
          <cell r="C7974" t="str">
            <v>【HPEプロアクティブケア】メーカー推奨／低価格で国内専用窓口の高品質な保守により、システム運用における安心を提供します。</v>
          </cell>
        </row>
        <row r="7975">
          <cell r="A7975" t="str">
            <v>U1GD2PE</v>
          </cell>
          <cell r="B7975" t="str">
            <v>PW PC 24x7 1年 SE 3830sb用</v>
          </cell>
          <cell r="C7975" t="str">
            <v>【HPEプロアクティブケア】メーカー推奨／低価格で国内専用窓口の高品質な保守により、システム運用における安心を提供します。</v>
          </cell>
        </row>
        <row r="7976">
          <cell r="A7976" t="str">
            <v>U1GD3PE</v>
          </cell>
          <cell r="B7976" t="str">
            <v>PW PC 24x7 DMR 1年 SE 3830sb用</v>
          </cell>
          <cell r="C7976" t="str">
            <v>【HPEプロアクティブケア】メーカー推奨／低価格で国内専用窓口の高品質な保守により、システム運用における安心を提供します。</v>
          </cell>
        </row>
        <row r="7977">
          <cell r="A7977" t="str">
            <v>U1GE1PE</v>
          </cell>
          <cell r="B7977" t="str">
            <v>HPE PW PC24x7 1年 StoreEasy 5530用</v>
          </cell>
          <cell r="C7977" t="str">
            <v>【HPEプロアクティブケア】メーカー推奨／低価格で国内専用窓口の高品質な保守により、システム運用における安心を提供します。</v>
          </cell>
        </row>
        <row r="7978">
          <cell r="A7978" t="str">
            <v>U1GE2PE</v>
          </cell>
          <cell r="B7978" t="str">
            <v>HPE PW PC24x7DMR 1年 StoreEasy 5530用</v>
          </cell>
          <cell r="C7978" t="str">
            <v>【HPEプロアクティブケア】メーカー推奨／低価格で国内専用窓口の高品質な保守により、システム運用における安心を提供します。</v>
          </cell>
        </row>
        <row r="7979">
          <cell r="A7979" t="str">
            <v>U1GJ9PE</v>
          </cell>
          <cell r="B7979" t="str">
            <v>HPE PW PC24x7 1年 D2200sb Bndl SAAP用</v>
          </cell>
          <cell r="C7979" t="str">
            <v>【HPEプロアクティブケア】メーカー推奨／低価格で国内専用窓口の高品質な保守により、システム運用における安心を提供します。</v>
          </cell>
        </row>
        <row r="7980">
          <cell r="A7980" t="str">
            <v>U1GK0PE</v>
          </cell>
          <cell r="B7980" t="str">
            <v>HPE PW PC24x7DMR 1年 D2200sb Bndl SAAP用</v>
          </cell>
          <cell r="C7980" t="str">
            <v>【HPEプロアクティブケア】メーカー推奨／低価格で国内専用窓口の高品質な保守により、システム運用における安心を提供します。</v>
          </cell>
        </row>
        <row r="7981">
          <cell r="A7981" t="str">
            <v>U1GM9PE</v>
          </cell>
          <cell r="B7981" t="str">
            <v>PW ProCare 24x7 1年 Blade SANスイッチ B</v>
          </cell>
          <cell r="C7981" t="str">
            <v>【HPEプロアクティブケア】メーカー推奨／低価格で国内専用窓口の高品質な保守により、システム運用における安心を提供します。</v>
          </cell>
        </row>
        <row r="7982">
          <cell r="A7982" t="str">
            <v>U1GN7PE</v>
          </cell>
          <cell r="B7982" t="str">
            <v>PW ProCare 24x7 1年 BLc SB40c用</v>
          </cell>
          <cell r="C7982" t="str">
            <v>【HPEプロアクティブケア】メーカー推奨／低価格で国内専用窓口の高品質な保守により、システム運用における安心を提供します。</v>
          </cell>
        </row>
        <row r="7983">
          <cell r="A7983" t="str">
            <v>U1GP0PE</v>
          </cell>
          <cell r="B7983" t="str">
            <v>PW ProCare HD返却不要24x7 1年 BLc SB40c</v>
          </cell>
          <cell r="C7983" t="str">
            <v>【HPEプロアクティブケア】メーカー推奨／低価格で国内専用窓口の高品質な保守により、システム運用における安心を提供します。</v>
          </cell>
        </row>
        <row r="7984">
          <cell r="A7984" t="str">
            <v>U1GQ6E</v>
          </cell>
          <cell r="B7984" t="str">
            <v>FC Exch 3年 RDX160/500用</v>
          </cell>
          <cell r="C7984" t="str">
            <v>【ファウンデーションケア】</v>
          </cell>
        </row>
        <row r="7985">
          <cell r="A7985" t="str">
            <v>U1HB6PE</v>
          </cell>
          <cell r="B7985" t="str">
            <v>PW ProCare 24x7 1年 SANスイッチ 8/20q用</v>
          </cell>
          <cell r="C7985" t="str">
            <v>【HPEプロアクティブケア】メーカー推奨／低価格で国内専用窓口の高品質な保守により、システム運用における安心を提供します。</v>
          </cell>
        </row>
        <row r="7986">
          <cell r="A7986" t="str">
            <v>U1HJ2PE</v>
          </cell>
          <cell r="B7986" t="str">
            <v>PW ProCare 24x7 1年 EVA4400用(Old)</v>
          </cell>
          <cell r="C7986" t="str">
            <v>【HPEプロアクティブケア】メーカー推奨／低価格で国内専用窓口の高品質な保守により、システム運用における安心を提供します。</v>
          </cell>
        </row>
        <row r="7987">
          <cell r="A7987" t="str">
            <v>U1HJ5PE</v>
          </cell>
          <cell r="B7987" t="str">
            <v>PW ProCare 24x7 1年 EVA4400エンクロ(Old)</v>
          </cell>
          <cell r="C7987" t="str">
            <v>【HPEプロアクティブケア】メーカー推奨／低価格で国内専用窓口の高品質な保守により、システム運用における安心を提供します。</v>
          </cell>
        </row>
        <row r="7988">
          <cell r="A7988" t="str">
            <v>U1HK3PE</v>
          </cell>
          <cell r="B7988" t="str">
            <v>PW ProCare 24x7 1年EVA4400 400GHDD(Old)</v>
          </cell>
          <cell r="C7988" t="str">
            <v>【HPEプロアクティブケア】メーカー推奨／低価格で国内専用窓口の高品質な保守により、システム運用における安心を提供します。</v>
          </cell>
        </row>
        <row r="7989">
          <cell r="A7989" t="str">
            <v>U1HK4PE</v>
          </cell>
          <cell r="B7989" t="str">
            <v>PWProCare DMR24x7 1年EVA4400 400GHD(Old)</v>
          </cell>
          <cell r="C7989" t="str">
            <v>【HPEプロアクティブケア】メーカー推奨／低価格で国内専用窓口の高品質な保守により、システム運用における安心を提供します。</v>
          </cell>
        </row>
        <row r="7990">
          <cell r="A7990" t="str">
            <v>U1HK7PE</v>
          </cell>
          <cell r="B7990" t="str">
            <v>PW ProCare 24x7 1年 EVA4400 1TBHDD(Old)</v>
          </cell>
          <cell r="C7990" t="str">
            <v>【HPEプロアクティブケア】メーカー推奨／低価格で国内専用窓口の高品質な保守により、システム運用における安心を提供します。</v>
          </cell>
        </row>
        <row r="7991">
          <cell r="A7991" t="str">
            <v>U1HL1PE</v>
          </cell>
          <cell r="B7991" t="str">
            <v>PW ProCare DMR24x7 1年EVA4400 1TBHD(Old)</v>
          </cell>
          <cell r="C7991" t="str">
            <v>【HPEプロアクティブケア】メーカー推奨／低価格で国内専用窓口の高品質な保守により、システム運用における安心を提供します。</v>
          </cell>
        </row>
        <row r="7992">
          <cell r="A7992" t="str">
            <v>U1HU0PE</v>
          </cell>
          <cell r="B7992" t="str">
            <v>ProCare 24x7 1年 MSA2000 Encl</v>
          </cell>
          <cell r="C7992" t="str">
            <v>【HPEプロアクティブケア】メーカー推奨／低価格で国内専用窓口の高品質な保守により、システム運用における安心を提供します。</v>
          </cell>
        </row>
        <row r="7993">
          <cell r="A7993" t="str">
            <v>U1HU6PE</v>
          </cell>
          <cell r="B7993" t="str">
            <v>ProCare HD返却不要24x7 1年 MSA2000 Encl</v>
          </cell>
          <cell r="C7993" t="str">
            <v>【HPEプロアクティブケア】メーカー推奨／低価格で国内専用窓口の高品質な保守により、システム運用における安心を提供します。</v>
          </cell>
        </row>
        <row r="7994">
          <cell r="A7994" t="str">
            <v>U1HV2PE</v>
          </cell>
          <cell r="B7994" t="str">
            <v>PW ProCare 24x7 1年 SANスイッチ 8/8-24用</v>
          </cell>
          <cell r="C7994" t="str">
            <v>【HPEプロアクティブケア】メーカー推奨／低価格で国内専用窓口の高品質な保守により、システム運用における安心を提供します。</v>
          </cell>
        </row>
        <row r="7995">
          <cell r="A7995" t="str">
            <v>U1JD1PE</v>
          </cell>
          <cell r="B7995" t="str">
            <v>PW ProCare 24x7 1年 SANスイッチ 8/80用</v>
          </cell>
          <cell r="C7995" t="str">
            <v>【HPEプロアクティブケア】メーカー推奨／低価格で国内専用窓口の高品質な保守により、システム運用における安心を提供します。</v>
          </cell>
        </row>
        <row r="7996">
          <cell r="A7996" t="str">
            <v>U1JD6PE</v>
          </cell>
          <cell r="B7996" t="str">
            <v>PW ProCare 24x7 1年 SANスイッチ8/80PP</v>
          </cell>
          <cell r="C7996" t="str">
            <v>【HPEプロアクティブケア】メーカー推奨／低価格で国内専用窓口の高品質な保守により、システム運用における安心を提供します。</v>
          </cell>
        </row>
        <row r="7997">
          <cell r="A7997" t="str">
            <v>U1JE2PE</v>
          </cell>
          <cell r="B7997" t="str">
            <v>PW ProCare 24x7 1年 D2D2500 BkupSys</v>
          </cell>
          <cell r="C7997" t="str">
            <v>【HPEプロアクティブケア】メーカー推奨／低価格で国内専用窓口の高品質な保守により、システム運用における安心を提供します。</v>
          </cell>
        </row>
        <row r="7998">
          <cell r="A7998" t="str">
            <v>U1JE8PE</v>
          </cell>
          <cell r="B7998" t="str">
            <v>PW ProCare DMR 24x7 1年 D2D2500 BkupSys</v>
          </cell>
          <cell r="C7998" t="str">
            <v>【HPEプロアクティブケア】メーカー推奨／低価格で国内専用窓口の高品質な保守により、システム運用における安心を提供します。</v>
          </cell>
        </row>
        <row r="7999">
          <cell r="A7999" t="str">
            <v>U1JQ1PE</v>
          </cell>
          <cell r="B7999" t="str">
            <v>PW ProCare24x7 1年BladeSANスイッチ8/24PP</v>
          </cell>
          <cell r="C7999" t="str">
            <v>【HPEプロアクティブケア】メーカー推奨／低価格で国内専用窓口の高品質な保守により、システム運用における安心を提供します。</v>
          </cell>
        </row>
        <row r="8000">
          <cell r="A8000" t="str">
            <v>U1JS5PE</v>
          </cell>
          <cell r="B8000" t="str">
            <v>PW ProCare 24x7 1年 SAS BLスイッチ用</v>
          </cell>
          <cell r="C8000" t="str">
            <v>【HPEプロアクティブケア】メーカー推奨／低価格で国内専用窓口の高品質な保守により、システム運用における安心を提供します。</v>
          </cell>
        </row>
        <row r="8001">
          <cell r="A8001" t="str">
            <v>U1JZ2PE</v>
          </cell>
          <cell r="B8001" t="str">
            <v>PW ProCare 24x7 1年 Dual SAS BLスイッチ</v>
          </cell>
          <cell r="C8001" t="str">
            <v>【HPEプロアクティブケア】メーカー推奨／低価格で国内専用窓口の高品質な保守により、システム運用における安心を提供します。</v>
          </cell>
        </row>
        <row r="8002">
          <cell r="A8002" t="str">
            <v>U1KA9PE</v>
          </cell>
          <cell r="B8002" t="str">
            <v>PW ProCare 24x7 1年 IOアクセラレータ用</v>
          </cell>
          <cell r="C8002" t="str">
            <v>【HPEプロアクティブケア】メーカー推奨／低価格で国内専用窓口の高品質な保守により、システム運用における安心を提供します。</v>
          </cell>
        </row>
        <row r="8003">
          <cell r="A8003" t="str">
            <v>U1KB0PE</v>
          </cell>
          <cell r="B8003" t="str">
            <v>PW ProCare DMR 24x7 1年 IOアクセラレータ</v>
          </cell>
          <cell r="C8003" t="str">
            <v>【HPEプロアクティブケア】メーカー推奨／低価格で国内専用窓口の高品質な保守により、システム運用における安心を提供します。</v>
          </cell>
        </row>
        <row r="8004">
          <cell r="A8004" t="str">
            <v>U1KB8PE</v>
          </cell>
          <cell r="B8004" t="str">
            <v>PW ProCare 24x7 1年 D2D4112 BkupSys</v>
          </cell>
          <cell r="C8004" t="str">
            <v>【HPEプロアクティブケア】メーカー推奨／低価格で国内専用窓口の高品質な保守により、システム運用における安心を提供します。</v>
          </cell>
        </row>
        <row r="8005">
          <cell r="A8005" t="str">
            <v>U1KJ4PE</v>
          </cell>
          <cell r="B8005" t="str">
            <v>PW ProCare DMR 24x7 1年 D2D4112 BkupSys</v>
          </cell>
          <cell r="C8005" t="str">
            <v>【HPEプロアクティブケア】メーカー推奨／低価格で国内専用窓口の高品質な保守により、システム運用における安心を提供します。</v>
          </cell>
        </row>
        <row r="8006">
          <cell r="A8006" t="str">
            <v>U1KJ7PE</v>
          </cell>
          <cell r="B8006" t="str">
            <v>PW ProCare 24x7 1年 D2D4112/4312 CapUpg</v>
          </cell>
          <cell r="C8006" t="str">
            <v>【HPEプロアクティブケア】メーカー推奨／低価格で国内専用窓口の高品質な保守により、システム運用における安心を提供します。</v>
          </cell>
        </row>
        <row r="8007">
          <cell r="A8007" t="str">
            <v>U1KK3PE</v>
          </cell>
          <cell r="B8007" t="str">
            <v>PWProCare DMR24x7 1年D2D4112/4312 CapUpg</v>
          </cell>
          <cell r="C8007" t="str">
            <v>【HPEプロアクティブケア】メーカー推奨／低価格で国内専用窓口の高品質な保守により、システム運用における安心を提供します。</v>
          </cell>
        </row>
        <row r="8008">
          <cell r="A8008" t="str">
            <v>U1KL3PE</v>
          </cell>
          <cell r="B8008" t="str">
            <v>PW ProCare 24x7 1年 EVA4400用（New）</v>
          </cell>
          <cell r="C8008" t="str">
            <v>【HPEプロアクティブケア】メーカー推奨／低価格で国内専用窓口の高品質な保守により、システム運用における安心を提供します。</v>
          </cell>
        </row>
        <row r="8009">
          <cell r="A8009" t="str">
            <v>U1KQ1PE</v>
          </cell>
          <cell r="B8009" t="str">
            <v>PW ProCare 24x7 1年 EVA4400 400GHDD(New)</v>
          </cell>
          <cell r="C8009" t="str">
            <v>【HPEプロアクティブケア】メーカー推奨／低価格で国内専用窓口の高品質な保守により、システム運用における安心を提供します。</v>
          </cell>
        </row>
        <row r="8010">
          <cell r="A8010" t="str">
            <v>U1KQ5PE</v>
          </cell>
          <cell r="B8010" t="str">
            <v>PWProCare DMR24x7 1年EVA4400 400GHD(New)</v>
          </cell>
          <cell r="C8010" t="str">
            <v>【HPEプロアクティブケア】メーカー推奨／低価格で国内専用窓口の高品質な保守により、システム運用における安心を提供します。</v>
          </cell>
        </row>
        <row r="8011">
          <cell r="A8011" t="str">
            <v>U1KQ7PE</v>
          </cell>
          <cell r="B8011" t="str">
            <v>PW ProCare 24x7 1年 EVA4400 1TBHDD(New)</v>
          </cell>
          <cell r="C8011" t="str">
            <v>【HPEプロアクティブケア】メーカー推奨／低価格で国内専用窓口の高品質な保守により、システム運用における安心を提供します。</v>
          </cell>
        </row>
        <row r="8012">
          <cell r="A8012" t="str">
            <v>U1KR1PE</v>
          </cell>
          <cell r="B8012" t="str">
            <v>PW ProCare DMR24x7 1年EVA4400 1TBHD(New)</v>
          </cell>
          <cell r="C8012" t="str">
            <v>【HPEプロアクティブケア】メーカー推奨／低価格で国内専用窓口の高品質な保守により、システム運用における安心を提供します。</v>
          </cell>
        </row>
        <row r="8013">
          <cell r="A8013" t="str">
            <v>U1KR4PE</v>
          </cell>
          <cell r="B8013" t="str">
            <v>PW ProCare 24x7 1年 EVA4400エンクロ(New)</v>
          </cell>
          <cell r="C8013" t="str">
            <v>【HPEプロアクティブケア】メーカー推奨／低価格で国内専用窓口の高品質な保守により、システム運用における安心を提供します。</v>
          </cell>
        </row>
        <row r="8014">
          <cell r="A8014" t="str">
            <v>U1KT0PE</v>
          </cell>
          <cell r="B8014" t="str">
            <v>PW ProCare 24x7 1年 MDS600用</v>
          </cell>
          <cell r="C8014" t="str">
            <v>【HPEプロアクティブケア】メーカー推奨／低価格で国内専用窓口の高品質な保守により、システム運用における安心を提供します。</v>
          </cell>
        </row>
        <row r="8015">
          <cell r="A8015" t="str">
            <v>U1KZ2PE</v>
          </cell>
          <cell r="B8015" t="str">
            <v>PW ProCare HD返却不要24x7 1年 MDS600用</v>
          </cell>
          <cell r="C8015" t="str">
            <v>【HPEプロアクティブケア】メーカー推奨／低価格で国内専用窓口の高品質な保守により、システム運用における安心を提供します。</v>
          </cell>
        </row>
        <row r="8016">
          <cell r="A8016" t="str">
            <v>U1LA5PE</v>
          </cell>
          <cell r="B8016" t="str">
            <v>PW PC 24x7 1年 2408 FCoE PP用</v>
          </cell>
          <cell r="C8016" t="str">
            <v>【HPEプロアクティブケア】メーカー推奨／低価格で国内専用窓口の高品質な保守により、システム運用における安心を提供します。</v>
          </cell>
        </row>
        <row r="8017">
          <cell r="A8017" t="str">
            <v>U1LG5PE</v>
          </cell>
          <cell r="B8017" t="str">
            <v>PW ProCare 24x7 1年 D2000用</v>
          </cell>
          <cell r="C8017" t="str">
            <v>【HPEプロアクティブケア】メーカー推奨／低価格で国内専用窓口の高品質な保守により、システム運用における安心を提供します。</v>
          </cell>
        </row>
        <row r="8018">
          <cell r="A8018" t="str">
            <v>U1LH3PE</v>
          </cell>
          <cell r="B8018" t="str">
            <v>PW ProCare HD返却不要24x7 1年 D2000用</v>
          </cell>
          <cell r="C8018" t="str">
            <v>【HPEプロアクティブケア】メーカー推奨／低価格で国内専用窓口の高品質な保守により、システム運用における安心を提供します。</v>
          </cell>
        </row>
        <row r="8019">
          <cell r="A8019" t="str">
            <v>U1LP8PE</v>
          </cell>
          <cell r="B8019" t="str">
            <v>PW PC 24x7 1年 SN6000 Switch用</v>
          </cell>
          <cell r="C8019" t="str">
            <v>【HPEプロアクティブケア】メーカー推奨／低価格で国内専用窓口の高品質な保守により、システム運用における安心を提供します。</v>
          </cell>
        </row>
        <row r="8020">
          <cell r="A8020" t="str">
            <v>U1LV8PE</v>
          </cell>
          <cell r="B8020" t="str">
            <v>PW ProCare HD返却不要24x7 1年 P2000 MSA</v>
          </cell>
          <cell r="C8020" t="str">
            <v>【HPEプロアクティブケア】メーカー推奨／低価格で国内専用窓口の高品質な保守により、システム運用における安心を提供します。</v>
          </cell>
        </row>
        <row r="8021">
          <cell r="A8021" t="str">
            <v>U1LW5PE</v>
          </cell>
          <cell r="B8021" t="str">
            <v>PW ProCare 24x7 1年 P2000 MSA用</v>
          </cell>
          <cell r="C8021" t="str">
            <v>【HPEプロアクティブケア】メーカー推奨／低価格で国内専用窓口の高品質な保守により、システム運用における安心を提供します。</v>
          </cell>
        </row>
        <row r="8022">
          <cell r="A8022" t="str">
            <v>U1LZ1PE</v>
          </cell>
          <cell r="B8022" t="str">
            <v>PW ProCare 24x7 1年 P2KSAN StartKit</v>
          </cell>
          <cell r="C8022" t="str">
            <v>【HPEプロアクティブケア】メーカー推奨／低価格で国内専用窓口の高品質な保守により、システム運用における安心を提供します。</v>
          </cell>
        </row>
        <row r="8023">
          <cell r="A8023" t="str">
            <v>U1LZ8PE</v>
          </cell>
          <cell r="B8023" t="str">
            <v>PW PC 24x7 1年 D2D4312 BU Sys用</v>
          </cell>
          <cell r="C8023" t="str">
            <v>【HPEプロアクティブケア】メーカー推奨／低価格で国内専用窓口の高品質な保守により、システム運用における安心を提供します。</v>
          </cell>
        </row>
        <row r="8024">
          <cell r="A8024" t="str">
            <v>U1MA4PE</v>
          </cell>
          <cell r="B8024" t="str">
            <v>PW PC 24x7 DMR 1年 D2D4312 BU Sys用</v>
          </cell>
          <cell r="C8024" t="str">
            <v>【HPEプロアクティブケア】メーカー推奨／低価格で国内専用窓口の高品質な保守により、システム運用における安心を提供します。</v>
          </cell>
        </row>
        <row r="8025">
          <cell r="A8025" t="str">
            <v>U1MD7PE</v>
          </cell>
          <cell r="B8025" t="str">
            <v>PW ProCare 24x7 1年 D2200sb用</v>
          </cell>
          <cell r="C8025" t="str">
            <v>【HPEプロアクティブケア】メーカー推奨／低価格で国内専用窓口の高品質な保守により、システム運用における安心を提供します。</v>
          </cell>
        </row>
        <row r="8026">
          <cell r="A8026" t="str">
            <v>U1ME3PE</v>
          </cell>
          <cell r="B8026" t="str">
            <v>PW ProCare HD返却不要24x7 1年 D2200sb用</v>
          </cell>
          <cell r="C8026" t="str">
            <v>【HPEプロアクティブケア】メーカー推奨／低価格で国内専用窓口の高品質な保守により、システム運用における安心を提供します。</v>
          </cell>
        </row>
        <row r="8027">
          <cell r="A8027" t="str">
            <v>U1MF6PE</v>
          </cell>
          <cell r="B8027" t="str">
            <v>HPE PW PC24x7 1年 MDS 8/12c+8/24c ｽｲｯﾁ用</v>
          </cell>
          <cell r="C8027" t="str">
            <v>【HPEプロアクティブケア】メーカー推奨／低価格で国内専用窓口の高品質な保守により、システム運用における安心を提供します。</v>
          </cell>
        </row>
        <row r="8028">
          <cell r="A8028" t="str">
            <v>U1MG9PE</v>
          </cell>
          <cell r="B8028" t="str">
            <v>PW PC 24x7 1年 SO 4700 System用</v>
          </cell>
          <cell r="C8028" t="str">
            <v>【HPEプロアクティブケア】メーカー推奨／低価格で国内専用窓口の高品質な保守により、システム運用における安心を提供します。</v>
          </cell>
        </row>
        <row r="8029">
          <cell r="A8029" t="str">
            <v>U1MH5PE</v>
          </cell>
          <cell r="B8029" t="str">
            <v>PW PC 24x7 DMR 1年 SO 4700 System用</v>
          </cell>
          <cell r="C8029" t="str">
            <v>【HPEプロアクティブケア】メーカー推奨／低価格で国内専用窓口の高品質な保守により、システム運用における安心を提供します。</v>
          </cell>
        </row>
        <row r="8030">
          <cell r="A8030" t="str">
            <v>U1MH8PE</v>
          </cell>
          <cell r="B8030" t="str">
            <v>PW PC 24x7 1年 D2D4324 CptyUpg用</v>
          </cell>
          <cell r="C8030" t="str">
            <v>【HPEプロアクティブケア】メーカー推奨／低価格で国内専用窓口の高品質な保守により、システム運用における安心を提供します。</v>
          </cell>
        </row>
        <row r="8031">
          <cell r="A8031" t="str">
            <v>U1MJ4PE</v>
          </cell>
          <cell r="B8031" t="str">
            <v>PW PC 24x7 DMR 1年 D2D4324 CptyUpg用</v>
          </cell>
          <cell r="C8031" t="str">
            <v>【HPEプロアクティブケア】メーカー推奨／低価格で国内専用窓口の高品質な保守により、システム運用における安心を提供します。</v>
          </cell>
        </row>
        <row r="8032">
          <cell r="A8032" t="str">
            <v>U1MK7PE</v>
          </cell>
          <cell r="B8032" t="str">
            <v>HPE PW PC24x7 1年 P6000 ｴﾝｸﾛｰｼﾞｬｰ用</v>
          </cell>
          <cell r="C8032" t="str">
            <v>【HPEプロアクティブケア】メーカー推奨／低価格で国内専用窓口の高品質な保守により、システム運用における安心を提供します。</v>
          </cell>
        </row>
        <row r="8033">
          <cell r="A8033" t="str">
            <v>U1MM1PE</v>
          </cell>
          <cell r="B8033" t="str">
            <v>HPE PW PC24x7 1年 P6000 EVA HDD用</v>
          </cell>
          <cell r="C8033" t="str">
            <v>【HPEプロアクティブケア】メーカー推奨／低価格で国内専用窓口の高品質な保守により、システム運用における安心を提供します。</v>
          </cell>
        </row>
        <row r="8034">
          <cell r="A8034" t="str">
            <v>U1MM5PE</v>
          </cell>
          <cell r="B8034" t="str">
            <v>HPE PW PC24x7DMR 1年 P6000 EVA HDD用</v>
          </cell>
          <cell r="C8034" t="str">
            <v>【HPEプロアクティブケア】メーカー推奨／低価格で国内専用窓口の高品質な保守により、システム運用における安心を提供します。</v>
          </cell>
        </row>
        <row r="8035">
          <cell r="A8035" t="str">
            <v>U1MM7PE</v>
          </cell>
          <cell r="B8035" t="str">
            <v>HPE PW PC24x7 1年 P6300 ｺﾝﾄﾛｰﾗｾｯﾄ用</v>
          </cell>
          <cell r="C8035" t="str">
            <v>【HPEプロアクティブケア】メーカー推奨／低価格で国内専用窓口の高品質な保守により、システム運用における安心を提供します。</v>
          </cell>
        </row>
        <row r="8036">
          <cell r="A8036" t="str">
            <v>U1MN1PE</v>
          </cell>
          <cell r="B8036" t="str">
            <v>PW PC 24x7 1年 SN6000B 16Gb 48/24用</v>
          </cell>
          <cell r="C8036" t="str">
            <v>【HPEプロアクティブケア】メーカー推奨／低価格で国内専用窓口の高品質な保守により、システム運用における安心を提供します。</v>
          </cell>
        </row>
        <row r="8037">
          <cell r="A8037" t="str">
            <v>U1MN7PE</v>
          </cell>
          <cell r="B8037" t="str">
            <v>PW PC 24x7 1年 SN6000 16G48/24Swtc用</v>
          </cell>
          <cell r="C8037" t="str">
            <v>【HPEプロアクティブケア】メーカー推奨／低価格で国内専用窓口の高品質な保守により、システム運用における安心を提供します。</v>
          </cell>
        </row>
        <row r="8038">
          <cell r="A8038" t="str">
            <v>U1MT1PE</v>
          </cell>
          <cell r="B8038" t="str">
            <v>PW PC 24x7 1年 StoreVirtual 41/43XX用</v>
          </cell>
          <cell r="C8038" t="str">
            <v>【HPEプロアクティブケア】メーカー推奨／低価格で国内専用窓口の高品質な保守により、システム運用における安心を提供します。</v>
          </cell>
        </row>
        <row r="8039">
          <cell r="A8039" t="str">
            <v>U1MT3PE</v>
          </cell>
          <cell r="B8039" t="str">
            <v>PW PC 24x7 DMR 1年 StoreVirtua 41/43XX用</v>
          </cell>
          <cell r="C8039" t="str">
            <v>【HPEプロアクティブケア】メーカー推奨／低価格で国内専用窓口の高品質な保守により、システム運用における安心を提供します。</v>
          </cell>
        </row>
        <row r="8040">
          <cell r="A8040" t="str">
            <v>U1MV2PE</v>
          </cell>
          <cell r="B8040" t="str">
            <v>PW PC 24x7 1年 StoreVirtual 45/46/47XX用</v>
          </cell>
          <cell r="C8040" t="str">
            <v>【HPEプロアクティブケア】メーカー推奨／低価格で国内専用窓口の高品質な保守により、システム運用における安心を提供します。</v>
          </cell>
        </row>
        <row r="8041">
          <cell r="A8041" t="str">
            <v>U1MV7PE</v>
          </cell>
          <cell r="B8041" t="str">
            <v>PW PC 24x7 DMR 1年 StoreVir 45/46/47XX用</v>
          </cell>
          <cell r="C8041" t="str">
            <v>【HPEプロアクティブケア】メーカー推奨／低価格で国内専用窓口の高品質な保守により、システム運用における安心を提供します。</v>
          </cell>
        </row>
        <row r="8042">
          <cell r="A8042" t="str">
            <v>U1MW1PE</v>
          </cell>
          <cell r="B8042" t="str">
            <v>PW PC 24x7 1年 SN6500B16GB用</v>
          </cell>
          <cell r="C8042" t="str">
            <v>【HPEプロアクティブケア】メーカー推奨／低価格で国内専用窓口の高品質な保守により、システム運用における安心を提供します。</v>
          </cell>
        </row>
        <row r="8043">
          <cell r="A8043" t="str">
            <v>U1MW4PE</v>
          </cell>
          <cell r="B8043" t="str">
            <v>PW PC 24x7 1年 SBD SN6500B 16GB PP用</v>
          </cell>
          <cell r="C8043" t="str">
            <v>【HPEプロアクティブケア】メーカー推奨／低価格で国内専用窓口の高品質な保守により、システム運用における安心を提供します。</v>
          </cell>
        </row>
        <row r="8044">
          <cell r="A8044" t="str">
            <v>U1WU0E</v>
          </cell>
          <cell r="B8044" t="str">
            <v>ProCare 24x7 3年 StorOnce2700 SecuPak用</v>
          </cell>
          <cell r="C8044" t="str">
            <v>【HPEプロアクティブケア】メーカー推奨／低価格で国内専用窓口の高品質な保守により、システム運用における安心を提供します。</v>
          </cell>
        </row>
        <row r="8045">
          <cell r="A8045" t="str">
            <v>U1WU3E</v>
          </cell>
          <cell r="B8045" t="str">
            <v>ProCare 24x7 4年 StorOnce2700 SecuPak用</v>
          </cell>
          <cell r="C8045" t="str">
            <v>【HPEプロアクティブケア】メーカー推奨／低価格で国内専用窓口の高品質な保守により、システム運用における安心を提供します。</v>
          </cell>
        </row>
        <row r="8046">
          <cell r="A8046" t="str">
            <v>U1WU6E</v>
          </cell>
          <cell r="B8046" t="str">
            <v>ProCare 24x7 5年 StorOnce2700 SecuPak用</v>
          </cell>
          <cell r="C8046" t="str">
            <v>【HPEプロアクティブケア】メーカー推奨／低価格で国内専用窓口の高品質な保守により、システム運用における安心を提供します。</v>
          </cell>
        </row>
        <row r="8047">
          <cell r="A8047" t="str">
            <v>U1WW2E</v>
          </cell>
          <cell r="B8047" t="str">
            <v>ProCare 24x7 3年 StorOnce4700 SecuPak用</v>
          </cell>
          <cell r="C8047" t="str">
            <v>【HPEプロアクティブケア】メーカー推奨／低価格で国内専用窓口の高品質な保守により、システム運用における安心を提供します。</v>
          </cell>
        </row>
        <row r="8048">
          <cell r="A8048" t="str">
            <v>U1WW5E</v>
          </cell>
          <cell r="B8048" t="str">
            <v>ProCare 24x7 4年 StorOnce4700 SecuPak用</v>
          </cell>
          <cell r="C8048" t="str">
            <v>【HPEプロアクティブケア】メーカー推奨／低価格で国内専用窓口の高品質な保守により、システム運用における安心を提供します。</v>
          </cell>
        </row>
        <row r="8049">
          <cell r="A8049" t="str">
            <v>U1WW8E</v>
          </cell>
          <cell r="B8049" t="str">
            <v>ProCare 24x7 5年 StorOnce4700 SecuPak用</v>
          </cell>
          <cell r="C8049" t="str">
            <v>【HPEプロアクティブケア】メーカー推奨／低価格で国内専用窓口の高品質な保守により、システム運用における安心を提供します。</v>
          </cell>
        </row>
        <row r="8050">
          <cell r="A8050" t="str">
            <v>U2E05E</v>
          </cell>
          <cell r="B8050" t="str">
            <v>ProCare24x7 3年SN6000B 16Gb FCスイッチPP</v>
          </cell>
          <cell r="C8050" t="str">
            <v>【HPEプロアクティブケア】メーカー推奨／低価格で国内専用窓口の高品質な保守により、システム運用における安心を提供します。</v>
          </cell>
        </row>
        <row r="8051">
          <cell r="A8051" t="str">
            <v>U2E06E</v>
          </cell>
          <cell r="B8051" t="str">
            <v>ProCare24x7 4年SN6000B 16Gb FCスイッチPP</v>
          </cell>
          <cell r="C8051" t="str">
            <v>【HPEプロアクティブケア】メーカー推奨／低価格で国内専用窓口の高品質な保守により、システム運用における安心を提供します。</v>
          </cell>
        </row>
        <row r="8052">
          <cell r="A8052" t="str">
            <v>U2E07E</v>
          </cell>
          <cell r="B8052" t="str">
            <v>ProCare24x7 5年SN6000B 16Gb FCスイッチPP</v>
          </cell>
          <cell r="C8052" t="str">
            <v>【HPEプロアクティブケア】メーカー推奨／低価格で国内専用窓口の高品質な保守により、システム運用における安心を提供します。</v>
          </cell>
        </row>
        <row r="8053">
          <cell r="A8053" t="str">
            <v>U2E13E</v>
          </cell>
          <cell r="B8053" t="str">
            <v>ProCare24x7 3年Blade SANスイッチ 8/24 PP</v>
          </cell>
          <cell r="C8053" t="str">
            <v>【HPEプロアクティブケア】メーカー推奨／低価格で国内専用窓口の高品質な保守により、システム運用における安心を提供します。</v>
          </cell>
        </row>
        <row r="8054">
          <cell r="A8054" t="str">
            <v>U2E14E</v>
          </cell>
          <cell r="B8054" t="str">
            <v>ProCare24x7 4年Blade SANスイッチ 8/24 PP</v>
          </cell>
          <cell r="C8054" t="str">
            <v>【HPEプロアクティブケア】メーカー推奨／低価格で国内専用窓口の高品質な保守により、システム運用における安心を提供します。</v>
          </cell>
        </row>
        <row r="8055">
          <cell r="A8055" t="str">
            <v>U2E15E</v>
          </cell>
          <cell r="B8055" t="str">
            <v>ProCare24x7 5年Blade SANスイッチ 8/24 PP</v>
          </cell>
          <cell r="C8055" t="str">
            <v>【HPEプロアクティブケア】メーカー推奨／低価格で国内専用窓口の高品質な保守により、システム運用における安心を提供します。</v>
          </cell>
        </row>
        <row r="8056">
          <cell r="A8056" t="str">
            <v>U2E45E</v>
          </cell>
          <cell r="B8056" t="str">
            <v>ProCare 24x7 3年 D2000用</v>
          </cell>
          <cell r="C8056" t="str">
            <v>【HPEプロアクティブケア】メーカー推奨／低価格で国内専用窓口の高品質な保守により、システム運用における安心を提供します。</v>
          </cell>
        </row>
        <row r="8057">
          <cell r="A8057" t="str">
            <v>U2E46E</v>
          </cell>
          <cell r="B8057" t="str">
            <v>ProCare 24x7 4年 D2000用</v>
          </cell>
          <cell r="C8057" t="str">
            <v>【HPEプロアクティブケア】メーカー推奨／低価格で国内専用窓口の高品質な保守により、システム運用における安心を提供します。</v>
          </cell>
        </row>
        <row r="8058">
          <cell r="A8058" t="str">
            <v>U2E47E</v>
          </cell>
          <cell r="B8058" t="str">
            <v>ProCare 24x7 5年 D2000用</v>
          </cell>
          <cell r="C8058" t="str">
            <v>【HPEプロアクティブケア】メーカー推奨／低価格で国内専用窓口の高品質な保守により、システム運用における安心を提供します。</v>
          </cell>
        </row>
        <row r="8059">
          <cell r="A8059" t="str">
            <v>U2E69E</v>
          </cell>
          <cell r="B8059" t="str">
            <v>ProCare 24x7 3年 SN6000B 16Gb FCスイッチ</v>
          </cell>
          <cell r="C8059" t="str">
            <v>【HPEプロアクティブケア】メーカー推奨／低価格で国内専用窓口の高品質な保守により、システム運用における安心を提供します。</v>
          </cell>
        </row>
        <row r="8060">
          <cell r="A8060" t="str">
            <v>U2E70E</v>
          </cell>
          <cell r="B8060" t="str">
            <v>ProCare 24x7 4年 SN6000B 16Gb FCスイッチ</v>
          </cell>
          <cell r="C8060" t="str">
            <v>【HPEプロアクティブケア】メーカー推奨／低価格で国内専用窓口の高品質な保守により、システム運用における安心を提供します。</v>
          </cell>
        </row>
        <row r="8061">
          <cell r="A8061" t="str">
            <v>U2E71E</v>
          </cell>
          <cell r="B8061" t="str">
            <v>ProCare 24x7 5年 SN6000B 16Gb FCスイッチ</v>
          </cell>
          <cell r="C8061" t="str">
            <v>【HPEプロアクティブケア】メーカー推奨／低価格で国内専用窓口の高品質な保守により、システム運用における安心を提供します。</v>
          </cell>
        </row>
        <row r="8062">
          <cell r="A8062" t="str">
            <v>U2F15E</v>
          </cell>
          <cell r="B8062" t="str">
            <v>ProCare HD返却不要 24x7 3年 D2000用</v>
          </cell>
          <cell r="C8062" t="str">
            <v>【HPEプロアクティブケア】メーカー推奨／低価格で国内専用窓口の高品質な保守により、システム運用における安心を提供します。</v>
          </cell>
        </row>
        <row r="8063">
          <cell r="A8063" t="str">
            <v>U2F16E</v>
          </cell>
          <cell r="B8063" t="str">
            <v>ProCare HD返却不要 24x7 4年 D2000用</v>
          </cell>
          <cell r="C8063" t="str">
            <v>【HPEプロアクティブケア】メーカー推奨／低価格で国内専用窓口の高品質な保守により、システム運用における安心を提供します。</v>
          </cell>
        </row>
        <row r="8064">
          <cell r="A8064" t="str">
            <v>U2F17E</v>
          </cell>
          <cell r="B8064" t="str">
            <v>ProCare HD返却不要 24x7 5年 D2000用</v>
          </cell>
          <cell r="C8064" t="str">
            <v>【HPEプロアクティブケア】メーカー推奨／低価格で国内専用窓口の高品質な保守により、システム運用における安心を提供します。</v>
          </cell>
        </row>
        <row r="8065">
          <cell r="A8065" t="str">
            <v>U2KA4PE</v>
          </cell>
          <cell r="B8065" t="str">
            <v>PW FC 24x7 1年 EVA4400用（New）</v>
          </cell>
          <cell r="C8065" t="str">
            <v>【ファウンデーションケア】</v>
          </cell>
        </row>
        <row r="8066">
          <cell r="A8066" t="str">
            <v>U2KC6PE</v>
          </cell>
          <cell r="B8066" t="str">
            <v>PW FC 24x7 1年 EVA4400 エンクロ(New)</v>
          </cell>
          <cell r="C8066" t="str">
            <v>【ファウンデーションケア】</v>
          </cell>
        </row>
        <row r="8067">
          <cell r="A8067" t="str">
            <v>U2KC7E</v>
          </cell>
          <cell r="B8067" t="str">
            <v>FC 24x7 HD返却不要 5年 MSA2000 Encl用</v>
          </cell>
          <cell r="C8067" t="str">
            <v>【ファウンデーションケア】</v>
          </cell>
        </row>
        <row r="8068">
          <cell r="A8068" t="str">
            <v>U2KC9E</v>
          </cell>
          <cell r="B8068" t="str">
            <v>FC 24x7 HD返却不要 4年 MSA2000 Encl用</v>
          </cell>
          <cell r="C8068" t="str">
            <v>【ファウンデーションケア】</v>
          </cell>
        </row>
        <row r="8069">
          <cell r="A8069" t="str">
            <v>U2KD6PE</v>
          </cell>
          <cell r="B8069" t="str">
            <v>PW FC 24x7 HD返却不要 1年 MSA2000 Encl</v>
          </cell>
          <cell r="C8069" t="str">
            <v>【ファウンデーションケア】</v>
          </cell>
        </row>
        <row r="8070">
          <cell r="A8070" t="str">
            <v>U2KD9E</v>
          </cell>
          <cell r="B8070" t="str">
            <v>FC 24x7 5年 MSA2000 Enclosure用</v>
          </cell>
          <cell r="C8070" t="str">
            <v>【ファウンデーションケア】</v>
          </cell>
        </row>
        <row r="8071">
          <cell r="A8071" t="str">
            <v>U2KF7E</v>
          </cell>
          <cell r="B8071" t="str">
            <v>FC 24x7 3年 MSA2000 Enclosure用</v>
          </cell>
          <cell r="C8071" t="str">
            <v>【ファウンデーションケア】</v>
          </cell>
        </row>
        <row r="8072">
          <cell r="A8072" t="str">
            <v>U2KF8E</v>
          </cell>
          <cell r="B8072" t="str">
            <v>FC 24x7 4年 MSA2000 Enclosure用</v>
          </cell>
          <cell r="C8072" t="str">
            <v>【ファウンデーションケア】</v>
          </cell>
        </row>
        <row r="8073">
          <cell r="A8073" t="str">
            <v>U2KG1PE</v>
          </cell>
          <cell r="B8073" t="str">
            <v>PW FC 24x7 1年 MSA2000 Encl</v>
          </cell>
          <cell r="C8073" t="str">
            <v>【ファウンデーションケア】</v>
          </cell>
        </row>
        <row r="8074">
          <cell r="A8074" t="str">
            <v>U2KG2E</v>
          </cell>
          <cell r="B8074" t="str">
            <v>FC 24x7 HD返却不要 3年 MSA2000 Encl用</v>
          </cell>
          <cell r="C8074" t="str">
            <v>【ファウンデーションケア】</v>
          </cell>
        </row>
        <row r="8075">
          <cell r="A8075" t="str">
            <v>U2KG7E</v>
          </cell>
          <cell r="B8075" t="str">
            <v>FC 24x7 5年 BladeSys SANスイッチ B</v>
          </cell>
          <cell r="C8075" t="str">
            <v>【ファウンデーションケア】</v>
          </cell>
        </row>
        <row r="8076">
          <cell r="A8076" t="str">
            <v>U2KH2E</v>
          </cell>
          <cell r="B8076" t="str">
            <v>FC 24x7 3年 BladeSys SANスイッチ B</v>
          </cell>
          <cell r="C8076" t="str">
            <v>【ファウンデーションケア】</v>
          </cell>
        </row>
        <row r="8077">
          <cell r="A8077" t="str">
            <v>U2KH3E</v>
          </cell>
          <cell r="B8077" t="str">
            <v>FC 24x7 4年 BladeSys SANスイッチ B</v>
          </cell>
          <cell r="C8077" t="str">
            <v>【ファウンデーションケア】</v>
          </cell>
        </row>
        <row r="8078">
          <cell r="A8078" t="str">
            <v>U2KH6PE</v>
          </cell>
          <cell r="B8078" t="str">
            <v>PW FC 24x7 1年 Blade SANスイッチ B</v>
          </cell>
          <cell r="C8078" t="str">
            <v>【ファウンデーションケア】</v>
          </cell>
        </row>
        <row r="8079">
          <cell r="A8079" t="str">
            <v>U2KH9E</v>
          </cell>
          <cell r="B8079" t="str">
            <v>FC 24x7 5年 SAS BLスイッチ用</v>
          </cell>
          <cell r="C8079" t="str">
            <v>【ファウンデーションケア】</v>
          </cell>
        </row>
        <row r="8080">
          <cell r="A8080" t="str">
            <v>U2KJ4E</v>
          </cell>
          <cell r="B8080" t="str">
            <v>FC 24x7 3年 SAS BLスイッチ用</v>
          </cell>
          <cell r="C8080" t="str">
            <v>【ファウンデーションケア】</v>
          </cell>
        </row>
        <row r="8081">
          <cell r="A8081" t="str">
            <v>U2KJ5E</v>
          </cell>
          <cell r="B8081" t="str">
            <v>FC 24x7 4年 SAS BLスイッチ用</v>
          </cell>
          <cell r="C8081" t="str">
            <v>【ファウンデーションケア】</v>
          </cell>
        </row>
        <row r="8082">
          <cell r="A8082" t="str">
            <v>U2KJ8PE</v>
          </cell>
          <cell r="B8082" t="str">
            <v>PW FC 24x7 1年 SAS BLスイッチ用</v>
          </cell>
          <cell r="C8082" t="str">
            <v>【ファウンデーションケア】</v>
          </cell>
        </row>
        <row r="8083">
          <cell r="A8083" t="str">
            <v>U2KM6PE</v>
          </cell>
          <cell r="B8083" t="str">
            <v>PW FC 24x7 1年 MDS600用</v>
          </cell>
          <cell r="C8083" t="str">
            <v>【ファウンデーションケア】</v>
          </cell>
        </row>
        <row r="8084">
          <cell r="A8084" t="str">
            <v>U2KN9PE</v>
          </cell>
          <cell r="B8084" t="str">
            <v>PW FC 24x7 1年 SANスイッチ 8/20q用</v>
          </cell>
          <cell r="C8084" t="str">
            <v>【ファウンデーションケア】</v>
          </cell>
        </row>
        <row r="8085">
          <cell r="A8085" t="str">
            <v>U2KP2E</v>
          </cell>
          <cell r="B8085" t="str">
            <v>FC 24x7 5年 SANスイッチ 8/8-24用</v>
          </cell>
          <cell r="C8085" t="str">
            <v>【ファウンデーションケア】</v>
          </cell>
        </row>
        <row r="8086">
          <cell r="A8086" t="str">
            <v>U2KP7E</v>
          </cell>
          <cell r="B8086" t="str">
            <v>FC 24x7 3年 SANスイッチ 8/8-24用</v>
          </cell>
          <cell r="C8086" t="str">
            <v>【ファウンデーションケア】</v>
          </cell>
        </row>
        <row r="8087">
          <cell r="A8087" t="str">
            <v>U2KP8E</v>
          </cell>
          <cell r="B8087" t="str">
            <v>FC 24x7 4年 SANスイッチ 8/8-24用</v>
          </cell>
          <cell r="C8087" t="str">
            <v>【ファウンデーションケア】</v>
          </cell>
        </row>
        <row r="8088">
          <cell r="A8088" t="str">
            <v>U2KQ1PE</v>
          </cell>
          <cell r="B8088" t="str">
            <v>PW FC 24x7 1年 SANスイッチ 8/8-24用</v>
          </cell>
          <cell r="C8088" t="str">
            <v>【ファウンデーションケア】</v>
          </cell>
        </row>
        <row r="8089">
          <cell r="A8089" t="str">
            <v>U2KT7PE</v>
          </cell>
          <cell r="B8089" t="str">
            <v>PW FC 24x7 1年 SANスイッチ 8/80用</v>
          </cell>
          <cell r="C8089" t="str">
            <v>【ファウンデーションケア】</v>
          </cell>
        </row>
        <row r="8090">
          <cell r="A8090" t="str">
            <v>U2KW1PE</v>
          </cell>
          <cell r="B8090" t="str">
            <v>HPE PW FC24x7DMR 1年 P6000 EVA HDD用</v>
          </cell>
          <cell r="C8090" t="str">
            <v>【ファウンデーションケア】</v>
          </cell>
        </row>
        <row r="8091">
          <cell r="A8091" t="str">
            <v>U2KX3PE</v>
          </cell>
          <cell r="B8091" t="str">
            <v>HPE PW FC24x7 1年 P6000 EVA HDD用</v>
          </cell>
          <cell r="C8091" t="str">
            <v>【ファウンデーションケア】</v>
          </cell>
        </row>
        <row r="8092">
          <cell r="A8092" t="str">
            <v>U2KX5E</v>
          </cell>
          <cell r="B8092" t="str">
            <v>FC 24x7 HD返却不要 5年 D2000用</v>
          </cell>
          <cell r="C8092" t="str">
            <v>【ファウンデーションケア】</v>
          </cell>
        </row>
        <row r="8093">
          <cell r="A8093" t="str">
            <v>U2KX8E</v>
          </cell>
          <cell r="B8093" t="str">
            <v>FC 24x7 HD返却不要 3年 D2000用</v>
          </cell>
          <cell r="C8093" t="str">
            <v>【ファウンデーションケア】</v>
          </cell>
        </row>
        <row r="8094">
          <cell r="A8094" t="str">
            <v>U2KY4PE</v>
          </cell>
          <cell r="B8094" t="str">
            <v>PW FC 24x7 HD返却不要 1年 D2000用</v>
          </cell>
          <cell r="C8094" t="str">
            <v>【ファウンデーションケア】</v>
          </cell>
        </row>
        <row r="8095">
          <cell r="A8095" t="str">
            <v>U2LA5E</v>
          </cell>
          <cell r="B8095" t="str">
            <v>FC 24x7 3年 D2000用</v>
          </cell>
          <cell r="C8095" t="str">
            <v>【ファウンデーションケア】</v>
          </cell>
        </row>
        <row r="8096">
          <cell r="A8096" t="str">
            <v>U2LA8PE</v>
          </cell>
          <cell r="B8096" t="str">
            <v>PW FC 24x7 1年 D2000用</v>
          </cell>
          <cell r="C8096" t="str">
            <v>【ファウンデーションケア】</v>
          </cell>
        </row>
        <row r="8097">
          <cell r="A8097" t="str">
            <v>U2LA9E</v>
          </cell>
          <cell r="B8097" t="str">
            <v>FC 24x7 4年 D2000用</v>
          </cell>
          <cell r="C8097" t="str">
            <v>【ファウンデーションケア】</v>
          </cell>
        </row>
        <row r="8098">
          <cell r="A8098" t="str">
            <v>U2LB0E</v>
          </cell>
          <cell r="B8098" t="str">
            <v>FC 24x7 5年 D2000用</v>
          </cell>
          <cell r="C8098" t="str">
            <v>【ファウンデーションケア】</v>
          </cell>
        </row>
        <row r="8099">
          <cell r="A8099" t="str">
            <v>U2LD8PE</v>
          </cell>
          <cell r="B8099" t="str">
            <v>PW FC 24x7 HD返却不要1年D2D2500 BkupSys</v>
          </cell>
          <cell r="C8099" t="str">
            <v>【ファウンデーションケア】</v>
          </cell>
        </row>
        <row r="8100">
          <cell r="A8100" t="str">
            <v>U2LF4PE</v>
          </cell>
          <cell r="B8100" t="str">
            <v>PW FC 24x7 1年 D2D2500 BkupSys</v>
          </cell>
          <cell r="C8100" t="str">
            <v>【ファウンデーションケア】</v>
          </cell>
        </row>
        <row r="8101">
          <cell r="A8101" t="str">
            <v>U2LG4PE</v>
          </cell>
          <cell r="B8101" t="str">
            <v>PW FC24x7 HD返却不要1年 D2D4112 BkupSys</v>
          </cell>
          <cell r="C8101" t="str">
            <v>【ファウンデーションケア】</v>
          </cell>
        </row>
        <row r="8102">
          <cell r="A8102" t="str">
            <v>U2LJ5PE</v>
          </cell>
          <cell r="B8102" t="str">
            <v>PW FC 24x7 1年 D2D4112 BkupSys</v>
          </cell>
          <cell r="C8102" t="str">
            <v>【ファウンデーションケア】</v>
          </cell>
        </row>
        <row r="8103">
          <cell r="A8103" t="str">
            <v>U2LK7PE</v>
          </cell>
          <cell r="B8103" t="str">
            <v>PW FC 24x7DMR 1年 D2D4312 BU Sys用</v>
          </cell>
          <cell r="C8103" t="str">
            <v>【ファウンデーションケア】</v>
          </cell>
        </row>
        <row r="8104">
          <cell r="A8104" t="str">
            <v>U2LN1PE</v>
          </cell>
          <cell r="B8104" t="str">
            <v>PW FC24x7 1年 D2D4312 BU Sys用</v>
          </cell>
          <cell r="C8104" t="str">
            <v>【ファウンデーションケア】</v>
          </cell>
        </row>
        <row r="8105">
          <cell r="A8105" t="str">
            <v>U2LP3PE</v>
          </cell>
          <cell r="B8105" t="str">
            <v>PW FC 24x7DMR 1年 SO 4700 System用</v>
          </cell>
          <cell r="C8105" t="str">
            <v>【ファウンデーションケア】</v>
          </cell>
        </row>
        <row r="8106">
          <cell r="A8106" t="str">
            <v>U2LR7PE</v>
          </cell>
          <cell r="B8106" t="str">
            <v>PW FC24x7 1年 SO 4700 System用</v>
          </cell>
          <cell r="C8106" t="str">
            <v>【ファウンデーションケア】</v>
          </cell>
        </row>
        <row r="8107">
          <cell r="A8107" t="str">
            <v>U2LS4PE</v>
          </cell>
          <cell r="B8107" t="str">
            <v>PW FC24x7HD返却不要1年D2D4112/4312CapUpg</v>
          </cell>
          <cell r="C8107" t="str">
            <v>【ファウンデーションケア】</v>
          </cell>
        </row>
        <row r="8108">
          <cell r="A8108" t="str">
            <v>U2LU3PE</v>
          </cell>
          <cell r="B8108" t="str">
            <v>PW FC 24x7 1年 D2D4112/4312 CapUpg</v>
          </cell>
          <cell r="C8108" t="str">
            <v>【ファウンデーションケア】</v>
          </cell>
        </row>
        <row r="8109">
          <cell r="A8109" t="str">
            <v>U2LU7E</v>
          </cell>
          <cell r="B8109" t="str">
            <v>FC 24x7 5年 Dual SAS BLスイッチ用</v>
          </cell>
          <cell r="C8109" t="str">
            <v>【ファウンデーションケア】</v>
          </cell>
        </row>
        <row r="8110">
          <cell r="A8110" t="str">
            <v>U2LV2E</v>
          </cell>
          <cell r="B8110" t="str">
            <v>FC 24x7 3年 Dual SAS BLスイッチ用</v>
          </cell>
          <cell r="C8110" t="str">
            <v>【ファウンデーションケア】</v>
          </cell>
        </row>
        <row r="8111">
          <cell r="A8111" t="str">
            <v>U2LV3E</v>
          </cell>
          <cell r="B8111" t="str">
            <v>FC 24x7 4年 Dual SAS BLスイッチ用</v>
          </cell>
          <cell r="C8111" t="str">
            <v>【ファウンデーションケア】</v>
          </cell>
        </row>
        <row r="8112">
          <cell r="A8112" t="str">
            <v>U2LV6PE</v>
          </cell>
          <cell r="B8112" t="str">
            <v>PW FC 24x7 1年 Dual SAS BLスイッチ用</v>
          </cell>
          <cell r="C8112" t="str">
            <v>【ファウンデーションケア】</v>
          </cell>
        </row>
        <row r="8113">
          <cell r="A8113" t="str">
            <v>U2LV7E</v>
          </cell>
          <cell r="B8113" t="str">
            <v>FC 24x7 HD返却不要 5年SO45/4700 24TUp</v>
          </cell>
          <cell r="C8113" t="str">
            <v>【ファウンデーションケア】</v>
          </cell>
        </row>
        <row r="8114">
          <cell r="A8114" t="str">
            <v>U2LW7PE</v>
          </cell>
          <cell r="B8114" t="str">
            <v>PW FC 24x7DMR 1年 D2D4324 CptyUpg用</v>
          </cell>
          <cell r="C8114" t="str">
            <v>【ファウンデーションケア】</v>
          </cell>
        </row>
        <row r="8115">
          <cell r="A8115" t="str">
            <v>U2LX0E</v>
          </cell>
          <cell r="B8115" t="str">
            <v>FC 24x7 5年 StoOn4500/4700 24T Up用</v>
          </cell>
          <cell r="C8115" t="str">
            <v>【ファウンデーションケア】</v>
          </cell>
        </row>
        <row r="8116">
          <cell r="A8116" t="str">
            <v>U2LY7E</v>
          </cell>
          <cell r="B8116" t="str">
            <v>FC 24x7 3年 StoOn4500/4700 24T Up用</v>
          </cell>
          <cell r="C8116" t="str">
            <v>【ファウンデーションケア】</v>
          </cell>
        </row>
        <row r="8117">
          <cell r="A8117" t="str">
            <v>U2LY8E</v>
          </cell>
          <cell r="B8117" t="str">
            <v>FC 24x7 4年 StoOn4500/4700 24T Up用</v>
          </cell>
          <cell r="C8117" t="str">
            <v>【ファウンデーションケア】</v>
          </cell>
        </row>
        <row r="8118">
          <cell r="A8118" t="str">
            <v>U2LZ1PE</v>
          </cell>
          <cell r="B8118" t="str">
            <v>PW FC24x7 1年 D2D4324 CptyUpg用</v>
          </cell>
          <cell r="C8118" t="str">
            <v>【ファウンデーションケア】</v>
          </cell>
        </row>
        <row r="8119">
          <cell r="A8119" t="str">
            <v>U2LZ2E</v>
          </cell>
          <cell r="B8119" t="str">
            <v>FC 24x7 HD返却不要 3年SO45/4700 24TUp</v>
          </cell>
          <cell r="C8119" t="str">
            <v>【ファウンデーションケア】</v>
          </cell>
        </row>
        <row r="8120">
          <cell r="A8120" t="str">
            <v>U2MP7PE</v>
          </cell>
          <cell r="B8120" t="str">
            <v>PW FC 24x7 HD返却不要 1年 P2000 MSA用</v>
          </cell>
          <cell r="C8120" t="str">
            <v>【ファウンデーションケア】</v>
          </cell>
        </row>
        <row r="8121">
          <cell r="A8121" t="str">
            <v>U2MR5PE</v>
          </cell>
          <cell r="B8121" t="str">
            <v>PW FC 24x7 1年 P2000 MSA用</v>
          </cell>
          <cell r="C8121" t="str">
            <v>【ファウンデーションケア】</v>
          </cell>
        </row>
        <row r="8122">
          <cell r="A8122" t="str">
            <v>U2MT2PE</v>
          </cell>
          <cell r="B8122" t="str">
            <v>PW FC24x7 HD返却不要 1年 P2KSAN StartKit</v>
          </cell>
          <cell r="C8122" t="str">
            <v>【ファウンデーションケア】</v>
          </cell>
        </row>
        <row r="8123">
          <cell r="A8123" t="str">
            <v>U2MV0PE</v>
          </cell>
          <cell r="B8123" t="str">
            <v>PW FC 24x7 1年 P2KSAN StartKit</v>
          </cell>
          <cell r="C8123" t="str">
            <v>【ファウンデーションケア】</v>
          </cell>
        </row>
        <row r="8124">
          <cell r="A8124" t="str">
            <v>U2NC1E</v>
          </cell>
          <cell r="B8124" t="str">
            <v>FC 24x7 3年 Blade SANスイッチ 8/24 PP</v>
          </cell>
          <cell r="C8124" t="str">
            <v>【ファウンデーションケア】</v>
          </cell>
        </row>
        <row r="8125">
          <cell r="A8125" t="str">
            <v>U2NC4PE</v>
          </cell>
          <cell r="B8125" t="str">
            <v>PW FC 24x7 1年 Blade SANスイッチ8/24PP</v>
          </cell>
          <cell r="C8125" t="str">
            <v>【ファウンデーションケア】</v>
          </cell>
        </row>
        <row r="8126">
          <cell r="A8126" t="str">
            <v>U2NC7E</v>
          </cell>
          <cell r="B8126" t="str">
            <v>FC 24x7 4年 Blade SANスイッチ 8/24 PP</v>
          </cell>
          <cell r="C8126" t="str">
            <v>【ファウンデーションケア】</v>
          </cell>
        </row>
        <row r="8127">
          <cell r="A8127" t="str">
            <v>U2NC8E</v>
          </cell>
          <cell r="B8127" t="str">
            <v>FC 24x7 5年 Blade SANスイッチ 8/24 PP</v>
          </cell>
          <cell r="C8127" t="str">
            <v>【ファウンデーションケア】</v>
          </cell>
        </row>
        <row r="8128">
          <cell r="A8128" t="str">
            <v>U2NE8PE</v>
          </cell>
          <cell r="B8128" t="str">
            <v>PW FC 24x7 1年 SANスイッチ8/80PowerPack</v>
          </cell>
          <cell r="C8128" t="str">
            <v>【ファウンデーションケア】</v>
          </cell>
        </row>
        <row r="8129">
          <cell r="A8129" t="str">
            <v>U2NF6PE</v>
          </cell>
          <cell r="B8129" t="str">
            <v>PW FC24x7 1年 2408 FCoE PP用</v>
          </cell>
          <cell r="C8129" t="str">
            <v>【ファウンデーションケア】</v>
          </cell>
        </row>
        <row r="8130">
          <cell r="A8130" t="str">
            <v>U2NK1PE</v>
          </cell>
          <cell r="B8130" t="str">
            <v>PW FC24x7 1年 SN6000 Switch用</v>
          </cell>
          <cell r="C8130" t="str">
            <v>【ファウンデーションケア】</v>
          </cell>
        </row>
        <row r="8131">
          <cell r="A8131" t="str">
            <v>U2NM7E</v>
          </cell>
          <cell r="B8131" t="str">
            <v>FC 24x7 3年 SN6500B16GB PP用</v>
          </cell>
          <cell r="C8131" t="str">
            <v>【ファウンデーションケア】</v>
          </cell>
        </row>
        <row r="8132">
          <cell r="A8132" t="str">
            <v>U2NM9PE</v>
          </cell>
          <cell r="B8132" t="str">
            <v>PW FC24x7 1年 SBD SN6500B 16GB PP用</v>
          </cell>
          <cell r="C8132" t="str">
            <v>【ファウンデーションケア】</v>
          </cell>
        </row>
        <row r="8133">
          <cell r="A8133" t="str">
            <v>U2NN2E</v>
          </cell>
          <cell r="B8133" t="str">
            <v>FC 24x7 4年 SN6500B 16GB PP用</v>
          </cell>
          <cell r="C8133" t="str">
            <v>【ファウンデーションケア】</v>
          </cell>
        </row>
        <row r="8134">
          <cell r="A8134" t="str">
            <v>U2NN3E</v>
          </cell>
          <cell r="B8134" t="str">
            <v>FC 24x7 5年 SN6500B 16GB PP用</v>
          </cell>
          <cell r="C8134" t="str">
            <v>【ファウンデーションケア】</v>
          </cell>
        </row>
        <row r="8135">
          <cell r="A8135" t="str">
            <v>U2NP3E</v>
          </cell>
          <cell r="B8135" t="str">
            <v>FC 24x7 3年 SN6000B 16Gb 48/24用</v>
          </cell>
          <cell r="C8135" t="str">
            <v>【ファウンデーションケア】</v>
          </cell>
        </row>
        <row r="8136">
          <cell r="A8136" t="str">
            <v>U2NP5PE</v>
          </cell>
          <cell r="B8136" t="str">
            <v>PW FC24x7 1年 SN6000B 16Gb 48/24用</v>
          </cell>
          <cell r="C8136" t="str">
            <v>【ファウンデーションケア】</v>
          </cell>
        </row>
        <row r="8137">
          <cell r="A8137" t="str">
            <v>U2NP8E</v>
          </cell>
          <cell r="B8137" t="str">
            <v>FC 24x7 4年 SN6000B 16Gb 48/24用</v>
          </cell>
          <cell r="C8137" t="str">
            <v>【ファウンデーションケア】</v>
          </cell>
        </row>
        <row r="8138">
          <cell r="A8138" t="str">
            <v>U2NP9E</v>
          </cell>
          <cell r="B8138" t="str">
            <v>FC 24x7 5年 SN6000B 16Gb 48/24用</v>
          </cell>
          <cell r="C8138" t="str">
            <v>【ファウンデーションケア】</v>
          </cell>
        </row>
        <row r="8139">
          <cell r="A8139" t="str">
            <v>U2NX0E</v>
          </cell>
          <cell r="B8139" t="str">
            <v>FC 24x7 HD返却不要 3年 SVirt41/43XX用</v>
          </cell>
          <cell r="C8139" t="str">
            <v>【ファウンデーションケア】</v>
          </cell>
        </row>
        <row r="8140">
          <cell r="A8140" t="str">
            <v>U2NX4E</v>
          </cell>
          <cell r="B8140" t="str">
            <v>FC 24x7 HD返却不要 5年 SV41XX 43XX用</v>
          </cell>
          <cell r="C8140" t="str">
            <v>【ファウンデーションケア】</v>
          </cell>
        </row>
        <row r="8141">
          <cell r="A8141" t="str">
            <v>U2NX6PE</v>
          </cell>
          <cell r="B8141" t="str">
            <v>PW FC 24x7DMR 1年 StoreVirtual 41/43XX用</v>
          </cell>
          <cell r="C8141" t="str">
            <v>【ファウンデーションケア】</v>
          </cell>
        </row>
        <row r="8142">
          <cell r="A8142" t="str">
            <v>U2NY5E</v>
          </cell>
          <cell r="B8142" t="str">
            <v>FC 24x7 3年 StoreVirtual 41/43XX用</v>
          </cell>
          <cell r="C8142" t="str">
            <v>【ファウンデーションケア】</v>
          </cell>
        </row>
        <row r="8143">
          <cell r="A8143" t="str">
            <v>U2NY7PE</v>
          </cell>
          <cell r="B8143" t="str">
            <v>PW FC24x7 1年 StoreVirtual 41/43XX用</v>
          </cell>
          <cell r="C8143" t="str">
            <v>【ファウンデーションケア】</v>
          </cell>
        </row>
        <row r="8144">
          <cell r="A8144" t="str">
            <v>U2NZ0E</v>
          </cell>
          <cell r="B8144" t="str">
            <v>FC 24x7 4年 StorVirt 41/43XX用</v>
          </cell>
          <cell r="C8144" t="str">
            <v>【ファウンデーションケア】</v>
          </cell>
        </row>
        <row r="8145">
          <cell r="A8145" t="str">
            <v>U2NZ1E</v>
          </cell>
          <cell r="B8145" t="str">
            <v>FC 24x7 5年 StorVirt 41/43XX用</v>
          </cell>
          <cell r="C8145" t="str">
            <v>【ファウンデーションケア】</v>
          </cell>
        </row>
        <row r="8146">
          <cell r="A8146" t="str">
            <v>U2NZ3E</v>
          </cell>
          <cell r="B8146" t="str">
            <v>FC 24x7 HD返却不要 3年 G3 StVirtual用</v>
          </cell>
          <cell r="C8146" t="str">
            <v>【ファウンデーションケア】</v>
          </cell>
        </row>
        <row r="8147">
          <cell r="A8147" t="str">
            <v>U2NZ7E</v>
          </cell>
          <cell r="B8147" t="str">
            <v>FC 24x7 HD返却不要 5年 G3 StVirtual用</v>
          </cell>
          <cell r="C8147" t="str">
            <v>【ファウンデーションケア】</v>
          </cell>
        </row>
        <row r="8148">
          <cell r="A8148" t="str">
            <v>U2NZ9PE</v>
          </cell>
          <cell r="B8148" t="str">
            <v>PW FC 24x7DMR 1年 StoreVirt 45/46/47XX用</v>
          </cell>
          <cell r="C8148" t="str">
            <v>【ファウンデーションケア】</v>
          </cell>
        </row>
        <row r="8149">
          <cell r="A8149" t="str">
            <v>U2PA8E</v>
          </cell>
          <cell r="B8149" t="str">
            <v>FC 24x7 3年 StoreVirtual用</v>
          </cell>
          <cell r="C8149" t="str">
            <v>【ファウンデーションケア】</v>
          </cell>
        </row>
        <row r="8150">
          <cell r="A8150" t="str">
            <v>U2PB0PE</v>
          </cell>
          <cell r="B8150" t="str">
            <v>PW FC24x7 1年 StoreVirtual 45/46/47XX用</v>
          </cell>
          <cell r="C8150" t="str">
            <v>【ファウンデーションケア】</v>
          </cell>
        </row>
        <row r="8151">
          <cell r="A8151" t="str">
            <v>U2PB3E</v>
          </cell>
          <cell r="B8151" t="str">
            <v>FC 24x7 4年 StoreVirtual用</v>
          </cell>
          <cell r="C8151" t="str">
            <v>【ファウンデーションケア】</v>
          </cell>
        </row>
        <row r="8152">
          <cell r="A8152" t="str">
            <v>U2PB4E</v>
          </cell>
          <cell r="B8152" t="str">
            <v>FC 24x7 5年 G3 StoreVirtual用</v>
          </cell>
          <cell r="C8152" t="str">
            <v>【ファウンデーションケア】</v>
          </cell>
        </row>
        <row r="8153">
          <cell r="A8153" t="str">
            <v>U2QD1PE</v>
          </cell>
          <cell r="B8153" t="str">
            <v>HPE PW FC24x7 1年 P6300 ｺﾝﾄﾛｰﾗｾｯﾄ用</v>
          </cell>
          <cell r="C8153" t="str">
            <v>【ファウンデーションケア】</v>
          </cell>
        </row>
        <row r="8154">
          <cell r="A8154" t="str">
            <v>U2RR1PE</v>
          </cell>
          <cell r="B8154" t="str">
            <v>PW FC 9x5 HD返却不要 1年 MSA2000 Encl</v>
          </cell>
          <cell r="C8154" t="str">
            <v>【ファウンデーションケア】</v>
          </cell>
        </row>
        <row r="8155">
          <cell r="A8155" t="str">
            <v>U2RR2E</v>
          </cell>
          <cell r="B8155" t="str">
            <v>FC 9x5 HD返却不要 3年 MSA2000 Encl用</v>
          </cell>
          <cell r="C8155" t="str">
            <v>【ファウンデーションケア】</v>
          </cell>
        </row>
        <row r="8156">
          <cell r="A8156" t="str">
            <v>U2RR3E</v>
          </cell>
          <cell r="B8156" t="str">
            <v>FC 9x5 HD返却不要 4年 MSA2000 Encl用</v>
          </cell>
          <cell r="C8156" t="str">
            <v>【ファウンデーションケア】</v>
          </cell>
        </row>
        <row r="8157">
          <cell r="A8157" t="str">
            <v>U2RR4E</v>
          </cell>
          <cell r="B8157" t="str">
            <v>FC 9x5 HD返却不要 5年 MSA2000 Encl用</v>
          </cell>
          <cell r="C8157" t="str">
            <v>【ファウンデーションケア】</v>
          </cell>
        </row>
        <row r="8158">
          <cell r="A8158" t="str">
            <v>U2RR5E</v>
          </cell>
          <cell r="B8158" t="str">
            <v>FC 9x5 3年 MSA2000 Enclosure用</v>
          </cell>
          <cell r="C8158" t="str">
            <v>【ファウンデーションケア】</v>
          </cell>
        </row>
        <row r="8159">
          <cell r="A8159" t="str">
            <v>U2RR6E</v>
          </cell>
          <cell r="B8159" t="str">
            <v>FC 9x5 5年 MSA2000 Enclosure用</v>
          </cell>
          <cell r="C8159" t="str">
            <v>【ファウンデーションケア】</v>
          </cell>
        </row>
        <row r="8160">
          <cell r="A8160" t="str">
            <v>U2RR7E</v>
          </cell>
          <cell r="B8160" t="str">
            <v>FC 9x5 4年 MSA2000 Enclosure用</v>
          </cell>
          <cell r="C8160" t="str">
            <v>【ファウンデーションケア】</v>
          </cell>
        </row>
        <row r="8161">
          <cell r="A8161" t="str">
            <v>U2RR8PE</v>
          </cell>
          <cell r="B8161" t="str">
            <v>PW FC 9x5 1年 MSA2000 Encl</v>
          </cell>
          <cell r="C8161" t="str">
            <v>【ファウンデーションケア】</v>
          </cell>
        </row>
        <row r="8162">
          <cell r="A8162" t="str">
            <v>U2RR9E</v>
          </cell>
          <cell r="B8162" t="str">
            <v>FC 9x5 3年 BladeSys SANスイッチ B</v>
          </cell>
          <cell r="C8162" t="str">
            <v>【ファウンデーションケア】</v>
          </cell>
        </row>
        <row r="8163">
          <cell r="A8163" t="str">
            <v>U2RS0E</v>
          </cell>
          <cell r="B8163" t="str">
            <v>FC 9x5 5年 BladeSys SANスイッチ B</v>
          </cell>
          <cell r="C8163" t="str">
            <v>【ファウンデーションケア】</v>
          </cell>
        </row>
        <row r="8164">
          <cell r="A8164" t="str">
            <v>U2RS1E</v>
          </cell>
          <cell r="B8164" t="str">
            <v>FC 9x5 4年 BladeSys SANスイッチ B</v>
          </cell>
          <cell r="C8164" t="str">
            <v>【ファウンデーションケア】</v>
          </cell>
        </row>
        <row r="8165">
          <cell r="A8165" t="str">
            <v>U2RS2PE</v>
          </cell>
          <cell r="B8165" t="str">
            <v>PW FC 9x5 1年 Blade SANスイッチ B</v>
          </cell>
          <cell r="C8165" t="str">
            <v>【ファウンデーションケア】</v>
          </cell>
        </row>
        <row r="8166">
          <cell r="A8166" t="str">
            <v>U2RS3E</v>
          </cell>
          <cell r="B8166" t="str">
            <v>FC 9x5 3年 SAS BLスイッチ用</v>
          </cell>
          <cell r="C8166" t="str">
            <v>【ファウンデーションケア】</v>
          </cell>
        </row>
        <row r="8167">
          <cell r="A8167" t="str">
            <v>U2RS4E</v>
          </cell>
          <cell r="B8167" t="str">
            <v>FC 9x5 5年 SAS BLスイッチ用</v>
          </cell>
          <cell r="C8167" t="str">
            <v>【ファウンデーションケア】</v>
          </cell>
        </row>
        <row r="8168">
          <cell r="A8168" t="str">
            <v>U2RS5E</v>
          </cell>
          <cell r="B8168" t="str">
            <v>FC 9x5 4年 SAS BLスイッチ用</v>
          </cell>
          <cell r="C8168" t="str">
            <v>【ファウンデーションケア】</v>
          </cell>
        </row>
        <row r="8169">
          <cell r="A8169" t="str">
            <v>U2RS6PE</v>
          </cell>
          <cell r="B8169" t="str">
            <v>PW FC 9x5 1年 SAS BLスイッチ用</v>
          </cell>
          <cell r="C8169" t="str">
            <v>【ファウンデーションケア】</v>
          </cell>
        </row>
        <row r="8170">
          <cell r="A8170" t="str">
            <v>U2RT3PE</v>
          </cell>
          <cell r="B8170" t="str">
            <v>PW FC 9x5 1年 MDS600用</v>
          </cell>
          <cell r="C8170" t="str">
            <v>【ファウンデーションケア】</v>
          </cell>
        </row>
        <row r="8171">
          <cell r="A8171" t="str">
            <v>U2RT7PE</v>
          </cell>
          <cell r="B8171" t="str">
            <v>PW FC 9x5 1年 SANスイッチ 8/20q用</v>
          </cell>
          <cell r="C8171" t="str">
            <v>【ファウンデーションケア】</v>
          </cell>
        </row>
        <row r="8172">
          <cell r="A8172" t="str">
            <v>U2RT8E</v>
          </cell>
          <cell r="B8172" t="str">
            <v>FC 9x5 3年 SANスイッチ 8/8-24用</v>
          </cell>
          <cell r="C8172" t="str">
            <v>【ファウンデーションケア】</v>
          </cell>
        </row>
        <row r="8173">
          <cell r="A8173" t="str">
            <v>U2RT9E</v>
          </cell>
          <cell r="B8173" t="str">
            <v>FC 9x5 5年 SANスイッチ 8/8-24用</v>
          </cell>
          <cell r="C8173" t="str">
            <v>【ファウンデーションケア】</v>
          </cell>
        </row>
        <row r="8174">
          <cell r="A8174" t="str">
            <v>U2RU0E</v>
          </cell>
          <cell r="B8174" t="str">
            <v>FC 9x5 4年 SANスイッチ 8/8-24用</v>
          </cell>
          <cell r="C8174" t="str">
            <v>【ファウンデーションケア】</v>
          </cell>
        </row>
        <row r="8175">
          <cell r="A8175" t="str">
            <v>U2RU1PE</v>
          </cell>
          <cell r="B8175" t="str">
            <v>PW FC 9x5 1年 SANスイッチ 8/8-24用</v>
          </cell>
          <cell r="C8175" t="str">
            <v>【ファウンデーションケア】</v>
          </cell>
        </row>
        <row r="8176">
          <cell r="A8176" t="str">
            <v>U2RU9PE</v>
          </cell>
          <cell r="B8176" t="str">
            <v>PW FC 9x5 1年 SANスイッチ 8/80用</v>
          </cell>
          <cell r="C8176" t="str">
            <v>【ファウンデーションケア】</v>
          </cell>
        </row>
        <row r="8177">
          <cell r="A8177" t="str">
            <v>U2RV4PE</v>
          </cell>
          <cell r="B8177" t="str">
            <v>PW FC 9x5 HD返却不要 1年 D2000用</v>
          </cell>
          <cell r="C8177" t="str">
            <v>【ファウンデーションケア】</v>
          </cell>
        </row>
        <row r="8178">
          <cell r="A8178" t="str">
            <v>U2RV5E</v>
          </cell>
          <cell r="B8178" t="str">
            <v>FC 9x5 HD返却不要 3年 D2000用</v>
          </cell>
          <cell r="C8178" t="str">
            <v>【ファウンデーションケア】</v>
          </cell>
        </row>
        <row r="8179">
          <cell r="A8179" t="str">
            <v>U2RV6E</v>
          </cell>
          <cell r="B8179" t="str">
            <v>FC 9x5 3年 D2000用</v>
          </cell>
          <cell r="C8179" t="str">
            <v>【ファウンデーションケア】</v>
          </cell>
        </row>
        <row r="8180">
          <cell r="A8180" t="str">
            <v>U2RV7E</v>
          </cell>
          <cell r="B8180" t="str">
            <v>FC 9x5 5年 D2000用</v>
          </cell>
          <cell r="C8180" t="str">
            <v>【ファウンデーションケア】</v>
          </cell>
        </row>
        <row r="8181">
          <cell r="A8181" t="str">
            <v>U2RV8E</v>
          </cell>
          <cell r="B8181" t="str">
            <v>FC 9x5 4年 D2000用</v>
          </cell>
          <cell r="C8181" t="str">
            <v>【ファウンデーションケア】</v>
          </cell>
        </row>
        <row r="8182">
          <cell r="A8182" t="str">
            <v>U2RV9PE</v>
          </cell>
          <cell r="B8182" t="str">
            <v>PW FC 9x5 1年 D2000用</v>
          </cell>
          <cell r="C8182" t="str">
            <v>【ファウンデーションケア】</v>
          </cell>
        </row>
        <row r="8183">
          <cell r="A8183" t="str">
            <v>U2RW0PE</v>
          </cell>
          <cell r="B8183" t="str">
            <v>PW FC 9x5 HD返却不要1年 D2D2500 BkupSys</v>
          </cell>
          <cell r="C8183" t="str">
            <v>【ファウンデーションケア】</v>
          </cell>
        </row>
        <row r="8184">
          <cell r="A8184" t="str">
            <v>U2RW3PE</v>
          </cell>
          <cell r="B8184" t="str">
            <v>PW FC 9x5 1年 D2D2500 BkupSys</v>
          </cell>
          <cell r="C8184" t="str">
            <v>【ファウンデーションケア】</v>
          </cell>
        </row>
        <row r="8185">
          <cell r="A8185" t="str">
            <v>U2RW4PE</v>
          </cell>
          <cell r="B8185" t="str">
            <v>PW FC9x5 HD返却不要 1年 D2D4112 BkupSys</v>
          </cell>
          <cell r="C8185" t="str">
            <v>【ファウンデーションケア】</v>
          </cell>
        </row>
        <row r="8186">
          <cell r="A8186" t="str">
            <v>U2RW9PE</v>
          </cell>
          <cell r="B8186" t="str">
            <v>PW FC 9x5 1年 D2D4112 BkupSys</v>
          </cell>
          <cell r="C8186" t="str">
            <v>【ファウンデーションケア】</v>
          </cell>
        </row>
        <row r="8187">
          <cell r="A8187" t="str">
            <v>U2RX0PE</v>
          </cell>
          <cell r="B8187" t="str">
            <v>PW FC 9x5 DMR 1年 D2D4312 BU Sys用</v>
          </cell>
          <cell r="C8187" t="str">
            <v>【ファウンデーションケア】</v>
          </cell>
        </row>
        <row r="8188">
          <cell r="A8188" t="str">
            <v>U2RX7PE</v>
          </cell>
          <cell r="B8188" t="str">
            <v>PW FC 9x5 1年 D2D4312 BU Sys用</v>
          </cell>
          <cell r="C8188" t="str">
            <v>【ファウンデーションケア】</v>
          </cell>
        </row>
        <row r="8189">
          <cell r="A8189" t="str">
            <v>U2RX8PE</v>
          </cell>
          <cell r="B8189" t="str">
            <v>PW FC 9x5 DMR 1年 SO 4700 System用</v>
          </cell>
          <cell r="C8189" t="str">
            <v>【ファウンデーションケア】</v>
          </cell>
        </row>
        <row r="8190">
          <cell r="A8190" t="str">
            <v>U2RY5PE</v>
          </cell>
          <cell r="B8190" t="str">
            <v>PW FC 9x5 1年 SO 4700 System用</v>
          </cell>
          <cell r="C8190" t="str">
            <v>【ファウンデーションケア】</v>
          </cell>
        </row>
        <row r="8191">
          <cell r="A8191" t="str">
            <v>U2RY6PE</v>
          </cell>
          <cell r="B8191" t="str">
            <v>PW FC9x5 HD返却不要1年D2D4112/4312CapUpg</v>
          </cell>
          <cell r="C8191" t="str">
            <v>【ファウンデーションケア】</v>
          </cell>
        </row>
        <row r="8192">
          <cell r="A8192" t="str">
            <v>U2RZ0PE</v>
          </cell>
          <cell r="B8192" t="str">
            <v>PW FC 9x5 1年 D2D4112/4312 CapUpg</v>
          </cell>
          <cell r="C8192" t="str">
            <v>【ファウンデーションケア】</v>
          </cell>
        </row>
        <row r="8193">
          <cell r="A8193" t="str">
            <v>U2RZ1E</v>
          </cell>
          <cell r="B8193" t="str">
            <v>FC 9x5 3年 Dual SAS BLスイッチ用</v>
          </cell>
          <cell r="C8193" t="str">
            <v>【ファウンデーションケア】</v>
          </cell>
        </row>
        <row r="8194">
          <cell r="A8194" t="str">
            <v>U2ZA9E</v>
          </cell>
          <cell r="B8194" t="str">
            <v>FC 9x5 5年 Dual SAS BLスイッチ用</v>
          </cell>
          <cell r="C8194" t="str">
            <v>【ファウンデーションケア】</v>
          </cell>
        </row>
        <row r="8195">
          <cell r="A8195" t="str">
            <v>U2ZB0E</v>
          </cell>
          <cell r="B8195" t="str">
            <v>FC 9x5 4年 Dual SAS BLスイッチ用</v>
          </cell>
          <cell r="C8195" t="str">
            <v>【ファウンデーションケア】</v>
          </cell>
        </row>
        <row r="8196">
          <cell r="A8196" t="str">
            <v>U2ZB1PE</v>
          </cell>
          <cell r="B8196" t="str">
            <v>PW FC 9x5 1年 Dual SAS BLスイッチ用</v>
          </cell>
          <cell r="C8196" t="str">
            <v>【ファウンデーションケア】</v>
          </cell>
        </row>
        <row r="8197">
          <cell r="A8197" t="str">
            <v>U2ZB2PE</v>
          </cell>
          <cell r="B8197" t="str">
            <v>PW FC 9x5 DMR 1年 D2D4324 CptyUpg用</v>
          </cell>
          <cell r="C8197" t="str">
            <v>【ファウンデーションケア】</v>
          </cell>
        </row>
        <row r="8198">
          <cell r="A8198" t="str">
            <v>U2ZB3E</v>
          </cell>
          <cell r="B8198" t="str">
            <v>FC 9x5 HD返却不要 3年 SO45/4700 24TUp</v>
          </cell>
          <cell r="C8198" t="str">
            <v>【ファウンデーションケア】</v>
          </cell>
        </row>
        <row r="8199">
          <cell r="A8199" t="str">
            <v>U2ZB5E</v>
          </cell>
          <cell r="B8199" t="str">
            <v>FC 9x5 HD返却不要 5年 SO45/4700 24TUp</v>
          </cell>
          <cell r="C8199" t="str">
            <v>【ファウンデーションケア】</v>
          </cell>
        </row>
        <row r="8200">
          <cell r="A8200" t="str">
            <v>U2ZB6E</v>
          </cell>
          <cell r="B8200" t="str">
            <v>FC 9x5 3年 StoOn4500/4700 24T Up用</v>
          </cell>
          <cell r="C8200" t="str">
            <v>【ファウンデーションケア】</v>
          </cell>
        </row>
        <row r="8201">
          <cell r="A8201" t="str">
            <v>U2ZB7E</v>
          </cell>
          <cell r="B8201" t="str">
            <v>FC 9x5 5年 StoOn4500/4700 24T Up用</v>
          </cell>
          <cell r="C8201" t="str">
            <v>【ファウンデーションケア】</v>
          </cell>
        </row>
        <row r="8202">
          <cell r="A8202" t="str">
            <v>U2ZB8E</v>
          </cell>
          <cell r="B8202" t="str">
            <v>FC 9x5 4年 StoOn4500/4700 24T Up用</v>
          </cell>
          <cell r="C8202" t="str">
            <v>【ファウンデーションケア】</v>
          </cell>
        </row>
        <row r="8203">
          <cell r="A8203" t="str">
            <v>U2ZB9PE</v>
          </cell>
          <cell r="B8203" t="str">
            <v>PW FC 9x5 1年 D2D4324 CptyUpg用</v>
          </cell>
          <cell r="C8203" t="str">
            <v>【ファウンデーションケア】</v>
          </cell>
        </row>
        <row r="8204">
          <cell r="A8204" t="str">
            <v>U2ZD8PE</v>
          </cell>
          <cell r="B8204" t="str">
            <v>PW FC 9x5 HD返却不要 1年 P2000 MSA用</v>
          </cell>
          <cell r="C8204" t="str">
            <v>【ファウンデーションケア】</v>
          </cell>
        </row>
        <row r="8205">
          <cell r="A8205" t="str">
            <v>U2ZE0PE</v>
          </cell>
          <cell r="B8205" t="str">
            <v>PW FC 9x5 1年 P2000 MSA用</v>
          </cell>
          <cell r="C8205" t="str">
            <v>【ファウンデーションケア】</v>
          </cell>
        </row>
        <row r="8206">
          <cell r="A8206" t="str">
            <v>U2ZE6PE</v>
          </cell>
          <cell r="B8206" t="str">
            <v>PW FC9x5 HD返却不要 1年 P2KSAN StartKit</v>
          </cell>
          <cell r="C8206" t="str">
            <v>【ファウンデーションケア】</v>
          </cell>
        </row>
        <row r="8207">
          <cell r="A8207" t="str">
            <v>U2ZE8PE</v>
          </cell>
          <cell r="B8207" t="str">
            <v>PW FC 9x5 1年 P2KSAN StartKit</v>
          </cell>
          <cell r="C8207" t="str">
            <v>【ファウンデーションケア】</v>
          </cell>
        </row>
        <row r="8208">
          <cell r="A8208" t="str">
            <v>U2ZG7E</v>
          </cell>
          <cell r="B8208" t="str">
            <v>FC 9x5 3年 Blade SANスイッチ 8/24 PP</v>
          </cell>
          <cell r="C8208" t="str">
            <v>【ファウンデーションケア】</v>
          </cell>
        </row>
        <row r="8209">
          <cell r="A8209" t="str">
            <v>U2ZG8PE</v>
          </cell>
          <cell r="B8209" t="str">
            <v>PW FC 9x5 1年 Blade SANスイッチ8/24PP</v>
          </cell>
          <cell r="C8209" t="str">
            <v>【ファウンデーションケア】</v>
          </cell>
        </row>
        <row r="8210">
          <cell r="A8210" t="str">
            <v>U2ZG9E</v>
          </cell>
          <cell r="B8210" t="str">
            <v>FC 9x5 4年 Blade SANスイッチ 8/24 PP</v>
          </cell>
          <cell r="C8210" t="str">
            <v>【ファウンデーションケア】</v>
          </cell>
        </row>
        <row r="8211">
          <cell r="A8211" t="str">
            <v>U2ZH0E</v>
          </cell>
          <cell r="B8211" t="str">
            <v>FC 9x5 5年 Blade SANスイッチ 8/24 PP</v>
          </cell>
          <cell r="C8211" t="str">
            <v>【ファウンデーションケア】</v>
          </cell>
        </row>
        <row r="8212">
          <cell r="A8212" t="str">
            <v>U2ZH6PE</v>
          </cell>
          <cell r="B8212" t="str">
            <v>PW FC 9x5 1年 SANスイッチ8/80PowerPack</v>
          </cell>
          <cell r="C8212" t="str">
            <v>【ファウンデーションケア】</v>
          </cell>
        </row>
        <row r="8213">
          <cell r="A8213" t="str">
            <v>U2ZJ0PE</v>
          </cell>
          <cell r="B8213" t="str">
            <v>PW FC 9x5 1年 2408 FCoE PP用</v>
          </cell>
          <cell r="C8213" t="str">
            <v>【ファウンデーションケア】</v>
          </cell>
        </row>
        <row r="8214">
          <cell r="A8214" t="str">
            <v>U2ZJ8PE</v>
          </cell>
          <cell r="B8214" t="str">
            <v>PW FC 9x5 1年 SN6000 Switch用</v>
          </cell>
          <cell r="C8214" t="str">
            <v>【ファウンデーションケア】</v>
          </cell>
        </row>
        <row r="8215">
          <cell r="A8215" t="str">
            <v>U2ZK1E</v>
          </cell>
          <cell r="B8215" t="str">
            <v>FC 9x5 3年 SN6500B 16GB PP用</v>
          </cell>
          <cell r="C8215" t="str">
            <v>【ファウンデーションケア】</v>
          </cell>
        </row>
        <row r="8216">
          <cell r="A8216" t="str">
            <v>U2ZK2PE</v>
          </cell>
          <cell r="B8216" t="str">
            <v>PW FC 9x5 1年 SBD SN6500B 16GB PP用</v>
          </cell>
          <cell r="C8216" t="str">
            <v>【ファウンデーションケア】</v>
          </cell>
        </row>
        <row r="8217">
          <cell r="A8217" t="str">
            <v>U2ZK3E</v>
          </cell>
          <cell r="B8217" t="str">
            <v>FC 9x5 4年 SN6500B 16GB PP用</v>
          </cell>
          <cell r="C8217" t="str">
            <v>【ファウンデーションケア】</v>
          </cell>
        </row>
        <row r="8218">
          <cell r="A8218" t="str">
            <v>U2ZK4E</v>
          </cell>
          <cell r="B8218" t="str">
            <v>FC 9x5 5年 SN6500B 16GB PP用</v>
          </cell>
          <cell r="C8218" t="str">
            <v>【ファウンデーションケア】</v>
          </cell>
        </row>
        <row r="8219">
          <cell r="A8219" t="str">
            <v>U2ZK5E</v>
          </cell>
          <cell r="B8219" t="str">
            <v>FC 9x5 3年 SN6000B 16Gb 48/24用</v>
          </cell>
          <cell r="C8219" t="str">
            <v>【ファウンデーションケア】</v>
          </cell>
        </row>
        <row r="8220">
          <cell r="A8220" t="str">
            <v>U2ZK6PE</v>
          </cell>
          <cell r="B8220" t="str">
            <v>PW FC 9x5 1年 SN6000B 16Gb 48/24用</v>
          </cell>
          <cell r="C8220" t="str">
            <v>【ファウンデーションケア】</v>
          </cell>
        </row>
        <row r="8221">
          <cell r="A8221" t="str">
            <v>U2ZK7E</v>
          </cell>
          <cell r="B8221" t="str">
            <v>FC 9x5 4年 SN6000B 16Gb 48/24用</v>
          </cell>
          <cell r="C8221" t="str">
            <v>【ファウンデーションケア】</v>
          </cell>
        </row>
        <row r="8222">
          <cell r="A8222" t="str">
            <v>U2ZK8E</v>
          </cell>
          <cell r="B8222" t="str">
            <v>FC 9x5 5年 SN6000B 16Gb 48/24用</v>
          </cell>
          <cell r="C8222" t="str">
            <v>【ファウンデーションケア】</v>
          </cell>
        </row>
        <row r="8223">
          <cell r="A8223" t="str">
            <v>U2ZN3E</v>
          </cell>
          <cell r="B8223" t="str">
            <v>FC 9x5 HD返却不要 3年 SVirt 41/43XX用</v>
          </cell>
          <cell r="C8223" t="str">
            <v>【ファウンデーションケア】</v>
          </cell>
        </row>
        <row r="8224">
          <cell r="A8224" t="str">
            <v>U2ZN6E</v>
          </cell>
          <cell r="B8224" t="str">
            <v>FC 9x5 HD返却不要 5年 SVirt 41/43XX用</v>
          </cell>
          <cell r="C8224" t="str">
            <v>【ファウンデーションケア】</v>
          </cell>
        </row>
        <row r="8225">
          <cell r="A8225" t="str">
            <v>U2ZN7PE</v>
          </cell>
          <cell r="B8225" t="str">
            <v>PW FC 9x5 DMR 1年 StoreVirtual 41/43XX用</v>
          </cell>
          <cell r="C8225" t="str">
            <v>【ファウンデーションケア】</v>
          </cell>
        </row>
        <row r="8226">
          <cell r="A8226" t="str">
            <v>U2ZN8E</v>
          </cell>
          <cell r="B8226" t="str">
            <v>FC 9x5 3年 StoreVirtual 41/43XX用</v>
          </cell>
          <cell r="C8226" t="str">
            <v>【ファウンデーションケア】</v>
          </cell>
        </row>
        <row r="8227">
          <cell r="A8227" t="str">
            <v>U2ZN9PE</v>
          </cell>
          <cell r="B8227" t="str">
            <v>PW FC 9x5 1年 StoreVirtual 41/43XX用</v>
          </cell>
          <cell r="C8227" t="str">
            <v>【ファウンデーションケア】</v>
          </cell>
        </row>
        <row r="8228">
          <cell r="A8228" t="str">
            <v>U2ZP0E</v>
          </cell>
          <cell r="B8228" t="str">
            <v>FC 9x5 4年 StoreVirtual 41/43XX用</v>
          </cell>
          <cell r="C8228" t="str">
            <v>【ファウンデーションケア】</v>
          </cell>
        </row>
        <row r="8229">
          <cell r="A8229" t="str">
            <v>U2ZP1E</v>
          </cell>
          <cell r="B8229" t="str">
            <v>FC 9x5 5年 StoreVirtual 41/43XX用</v>
          </cell>
          <cell r="C8229" t="str">
            <v>【ファウンデーションケア】</v>
          </cell>
        </row>
        <row r="8230">
          <cell r="A8230" t="str">
            <v>U2ZP2E</v>
          </cell>
          <cell r="B8230" t="str">
            <v>FC 9x5 HD返却不要 3年 StoreVirtual用</v>
          </cell>
          <cell r="C8230" t="str">
            <v>【ファウンデーションケア】</v>
          </cell>
        </row>
        <row r="8231">
          <cell r="A8231" t="str">
            <v>U2ZP4E</v>
          </cell>
          <cell r="B8231" t="str">
            <v>FC 9x5 HD返却不要 5年 G3StorVirtual用</v>
          </cell>
          <cell r="C8231" t="str">
            <v>【ファウンデーションケア】</v>
          </cell>
        </row>
        <row r="8232">
          <cell r="A8232" t="str">
            <v>U2ZP5PE</v>
          </cell>
          <cell r="B8232" t="str">
            <v>PW FC 9x5 DMR 1年 StoreVirt 45/46/47XX用</v>
          </cell>
          <cell r="C8232" t="str">
            <v>【ファウンデーションケア】</v>
          </cell>
        </row>
        <row r="8233">
          <cell r="A8233" t="str">
            <v>U2ZP6E</v>
          </cell>
          <cell r="B8233" t="str">
            <v>FC 9x5 3年 StoreVirtual用</v>
          </cell>
          <cell r="C8233" t="str">
            <v>【ファウンデーションケア】</v>
          </cell>
        </row>
        <row r="8234">
          <cell r="A8234" t="str">
            <v>U2ZP7PE</v>
          </cell>
          <cell r="B8234" t="str">
            <v>PW FC 9x5 1年 StoreVirtual 45/46/47XX用</v>
          </cell>
          <cell r="C8234" t="str">
            <v>【ファウンデーションケア】</v>
          </cell>
        </row>
        <row r="8235">
          <cell r="A8235" t="str">
            <v>U2ZP8E</v>
          </cell>
          <cell r="B8235" t="str">
            <v>FC 9x5 4年 G3 StoreVirtual用</v>
          </cell>
          <cell r="C8235" t="str">
            <v>【ファウンデーションケア】</v>
          </cell>
        </row>
        <row r="8236">
          <cell r="A8236" t="str">
            <v>U2ZP9E</v>
          </cell>
          <cell r="B8236" t="str">
            <v>FC 9x5 5年 G3 StoreVirtual用</v>
          </cell>
          <cell r="C8236" t="str">
            <v>【ファウンデーションケア】</v>
          </cell>
        </row>
        <row r="8237">
          <cell r="A8237" t="str">
            <v>U2ZY0PE</v>
          </cell>
          <cell r="B8237" t="str">
            <v>HPE PW FC9x5 1年 P6300 ｺﾝﾄﾛｰﾗｾｯﾄ用</v>
          </cell>
          <cell r="C8237" t="str">
            <v>【ファウンデーションケア】</v>
          </cell>
        </row>
        <row r="8238">
          <cell r="A8238" t="str">
            <v>U3AH0E</v>
          </cell>
          <cell r="B8238" t="str">
            <v>FC 24x7 5年 SN6500B16Gb用</v>
          </cell>
          <cell r="C8238" t="str">
            <v>【ファウンデーションケア】</v>
          </cell>
        </row>
        <row r="8239">
          <cell r="A8239" t="str">
            <v>U3AH3E</v>
          </cell>
          <cell r="B8239" t="str">
            <v>FC 24x7 3年 SN6500B16Gb用</v>
          </cell>
          <cell r="C8239" t="str">
            <v>【ファウンデーションケア】</v>
          </cell>
        </row>
        <row r="8240">
          <cell r="A8240" t="str">
            <v>U3AH4E</v>
          </cell>
          <cell r="B8240" t="str">
            <v>FC 24x7 4年 SN6500B16Gb用</v>
          </cell>
          <cell r="C8240" t="str">
            <v>【ファウンデーションケア】</v>
          </cell>
        </row>
        <row r="8241">
          <cell r="A8241" t="str">
            <v>U3AH6E</v>
          </cell>
          <cell r="B8241" t="str">
            <v>FC 24x7 5年 SN6000B 16Gb FCスイッチ用</v>
          </cell>
          <cell r="C8241" t="str">
            <v>【ファウンデーションケア】</v>
          </cell>
        </row>
        <row r="8242">
          <cell r="A8242" t="str">
            <v>U3AH9E</v>
          </cell>
          <cell r="B8242" t="str">
            <v>FC 24x7 3年 SN6000B 16Gb FCスイッチ用</v>
          </cell>
          <cell r="C8242" t="str">
            <v>【ファウンデーションケア】</v>
          </cell>
        </row>
        <row r="8243">
          <cell r="A8243" t="str">
            <v>U3AJ0E</v>
          </cell>
          <cell r="B8243" t="str">
            <v>FC 24x7 4年 SN6000B 16Gb FCスイッチ用</v>
          </cell>
          <cell r="C8243" t="str">
            <v>【ファウンデーションケア】</v>
          </cell>
        </row>
        <row r="8244">
          <cell r="A8244" t="str">
            <v>U3AJ2PE</v>
          </cell>
          <cell r="B8244" t="str">
            <v>PW FC24x7 1年 SN6500B16GB用</v>
          </cell>
          <cell r="C8244" t="str">
            <v>【ファウンデーションケア】</v>
          </cell>
        </row>
        <row r="8245">
          <cell r="A8245" t="str">
            <v>U3AJ6PE</v>
          </cell>
          <cell r="B8245" t="str">
            <v>PW FC24x7 1年 SN6000 16G48/24Swtc用</v>
          </cell>
          <cell r="C8245" t="str">
            <v>【ファウンデーションケア】</v>
          </cell>
        </row>
        <row r="8246">
          <cell r="A8246" t="str">
            <v>U3AJ9E</v>
          </cell>
          <cell r="B8246" t="str">
            <v>FC 9x5 3年 SN6500B 16Gb用</v>
          </cell>
          <cell r="C8246" t="str">
            <v>【ファウンデーションケア】</v>
          </cell>
        </row>
        <row r="8247">
          <cell r="A8247" t="str">
            <v>U3AK0E</v>
          </cell>
          <cell r="B8247" t="str">
            <v>FC 9x5 5年 SN6500B 16Gb用</v>
          </cell>
          <cell r="C8247" t="str">
            <v>【ファウンデーションケア】</v>
          </cell>
        </row>
        <row r="8248">
          <cell r="A8248" t="str">
            <v>U3AK1E</v>
          </cell>
          <cell r="B8248" t="str">
            <v>FC 9x5 4年 SN6500B 16Gb用</v>
          </cell>
          <cell r="C8248" t="str">
            <v>【ファウンデーションケア】</v>
          </cell>
        </row>
        <row r="8249">
          <cell r="A8249" t="str">
            <v>U3AK2E</v>
          </cell>
          <cell r="B8249" t="str">
            <v>FC 9x5 3年 SN6000B 16Gb FCスイッチ用</v>
          </cell>
          <cell r="C8249" t="str">
            <v>【ファウンデーションケア】</v>
          </cell>
        </row>
        <row r="8250">
          <cell r="A8250" t="str">
            <v>U3AK3E</v>
          </cell>
          <cell r="B8250" t="str">
            <v>FC 9x5 5年 SN6000B 16Gb FCスイッチ用</v>
          </cell>
          <cell r="C8250" t="str">
            <v>【ファウンデーションケア】</v>
          </cell>
        </row>
        <row r="8251">
          <cell r="A8251" t="str">
            <v>U3AK4E</v>
          </cell>
          <cell r="B8251" t="str">
            <v>FC 9x5 4年 SN6000B 16Gb FCスイッチ用</v>
          </cell>
          <cell r="C8251" t="str">
            <v>【ファウンデーションケア】</v>
          </cell>
        </row>
        <row r="8252">
          <cell r="A8252" t="str">
            <v>U3AL4PE</v>
          </cell>
          <cell r="B8252" t="str">
            <v>HPE PW FC9x5 1年 P6000 ｴﾝｸﾛｰｼﾞｬｰ用</v>
          </cell>
          <cell r="C8252" t="str">
            <v>【ファウンデーションケア】</v>
          </cell>
        </row>
        <row r="8253">
          <cell r="A8253" t="str">
            <v>U3AP0PE</v>
          </cell>
          <cell r="B8253" t="str">
            <v>PW FC 24x7 1年 3U RKMT TapeDrvEncl</v>
          </cell>
          <cell r="C8253" t="str">
            <v>【ファウンデーションケア】</v>
          </cell>
        </row>
        <row r="8254">
          <cell r="A8254" t="str">
            <v>U3AR1E</v>
          </cell>
          <cell r="B8254" t="str">
            <v>FC 24x7 3年 LTO Autoloader用</v>
          </cell>
          <cell r="C8254" t="str">
            <v>【ファウンデーションケア】</v>
          </cell>
        </row>
        <row r="8255">
          <cell r="A8255" t="str">
            <v>U3AR2E</v>
          </cell>
          <cell r="B8255" t="str">
            <v>FC 24x7 4年 LTO Autoloader用</v>
          </cell>
          <cell r="C8255" t="str">
            <v>【ファウンデーションケア】</v>
          </cell>
        </row>
        <row r="8256">
          <cell r="A8256" t="str">
            <v>U3AR3E</v>
          </cell>
          <cell r="B8256" t="str">
            <v>FC 24x7 5年 LTO Autoloader用</v>
          </cell>
          <cell r="C8256" t="str">
            <v>【ファウンデーションケア】</v>
          </cell>
        </row>
        <row r="8257">
          <cell r="A8257" t="str">
            <v>U3AR4PE</v>
          </cell>
          <cell r="B8257" t="str">
            <v>PW FC 24x7 1年 LTOオートローダ</v>
          </cell>
          <cell r="C8257" t="str">
            <v>【ファウンデーションケア】</v>
          </cell>
        </row>
        <row r="8258">
          <cell r="A8258" t="str">
            <v>U3AT8PE</v>
          </cell>
          <cell r="B8258" t="str">
            <v>PW FC 24x7 1年 4 Bay Rack Tape用</v>
          </cell>
          <cell r="C8258" t="str">
            <v>【ファウンデーションケア】</v>
          </cell>
        </row>
        <row r="8259">
          <cell r="A8259" t="str">
            <v>U3AW2PE</v>
          </cell>
          <cell r="B8259" t="str">
            <v>PW FC 24x7 1年 外付DATドライブ用</v>
          </cell>
          <cell r="C8259" t="str">
            <v>【ファウンデーションケア】</v>
          </cell>
        </row>
        <row r="8260">
          <cell r="A8260" t="str">
            <v>U3AY3E</v>
          </cell>
          <cell r="B8260" t="str">
            <v>FC 24x7 3年 外付LTOドライブ用</v>
          </cell>
          <cell r="C8260" t="str">
            <v>【ファウンデーションケア】</v>
          </cell>
        </row>
        <row r="8261">
          <cell r="A8261" t="str">
            <v>U3AY4E</v>
          </cell>
          <cell r="B8261" t="str">
            <v>FC 24x7 4年 外付LTOドライブ用</v>
          </cell>
          <cell r="C8261" t="str">
            <v>【ファウンデーションケア】</v>
          </cell>
        </row>
        <row r="8262">
          <cell r="A8262" t="str">
            <v>U3AY5E</v>
          </cell>
          <cell r="B8262" t="str">
            <v>FC 24x7 5年 外付LTOドライブ用</v>
          </cell>
          <cell r="C8262" t="str">
            <v>【ファウンデーションケア】</v>
          </cell>
        </row>
        <row r="8263">
          <cell r="A8263" t="str">
            <v>U3AY6PE</v>
          </cell>
          <cell r="B8263" t="str">
            <v>PW FC 24x7 1年 外付LTOドライブ用</v>
          </cell>
          <cell r="C8263" t="str">
            <v>【ファウンデーションケア】</v>
          </cell>
        </row>
        <row r="8264">
          <cell r="A8264" t="str">
            <v>U3BA7E</v>
          </cell>
          <cell r="B8264" t="str">
            <v>FC 24x7 3年 1U Rackmnt kit用</v>
          </cell>
          <cell r="C8264" t="str">
            <v>【ファウンデーションケア】</v>
          </cell>
        </row>
        <row r="8265">
          <cell r="A8265" t="str">
            <v>U3BA8E</v>
          </cell>
          <cell r="B8265" t="str">
            <v>FC 24x7 4年 1U Rackmnt kit用</v>
          </cell>
          <cell r="C8265" t="str">
            <v>【ファウンデーションケア】</v>
          </cell>
        </row>
        <row r="8266">
          <cell r="A8266" t="str">
            <v>U3BA9E</v>
          </cell>
          <cell r="B8266" t="str">
            <v>FC 24x7 5年 1U Rackmnt kit用</v>
          </cell>
          <cell r="C8266" t="str">
            <v>【ファウンデーションケア】</v>
          </cell>
        </row>
        <row r="8267">
          <cell r="A8267" t="str">
            <v>U3BB0PE</v>
          </cell>
          <cell r="B8267" t="str">
            <v>PW FC 24x7 1年 1Uラックマウントkit</v>
          </cell>
          <cell r="C8267" t="str">
            <v>【ファウンデーションケア】</v>
          </cell>
        </row>
        <row r="8268">
          <cell r="A8268" t="str">
            <v>U3BD1E</v>
          </cell>
          <cell r="B8268" t="str">
            <v>FC 24x7 3年 MSL4048用</v>
          </cell>
          <cell r="C8268" t="str">
            <v>【ファウンデーションケア】</v>
          </cell>
        </row>
        <row r="8269">
          <cell r="A8269" t="str">
            <v>U3BD2E</v>
          </cell>
          <cell r="B8269" t="str">
            <v>FC 24x7 4年 MSL4048用</v>
          </cell>
          <cell r="C8269" t="str">
            <v>【ファウンデーションケア】</v>
          </cell>
        </row>
        <row r="8270">
          <cell r="A8270" t="str">
            <v>U3BD3E</v>
          </cell>
          <cell r="B8270" t="str">
            <v>FC 24x7 5年 MSL4048用</v>
          </cell>
          <cell r="C8270" t="str">
            <v>【ファウンデーションケア】</v>
          </cell>
        </row>
        <row r="8271">
          <cell r="A8271" t="str">
            <v>U3BD4PE</v>
          </cell>
          <cell r="B8271" t="str">
            <v>PW FC 24x7 1年 MSL4048用</v>
          </cell>
          <cell r="C8271" t="str">
            <v>【ファウンデーションケア】</v>
          </cell>
        </row>
        <row r="8272">
          <cell r="A8272" t="str">
            <v>U3BF5E</v>
          </cell>
          <cell r="B8272" t="str">
            <v>FC 24x7 3年 MSL 2024用</v>
          </cell>
          <cell r="C8272" t="str">
            <v>【ファウンデーションケア】</v>
          </cell>
        </row>
        <row r="8273">
          <cell r="A8273" t="str">
            <v>U3BF6E</v>
          </cell>
          <cell r="B8273" t="str">
            <v>FC 24x7 4年 MSL 2024用</v>
          </cell>
          <cell r="C8273" t="str">
            <v>【ファウンデーションケア】</v>
          </cell>
        </row>
        <row r="8274">
          <cell r="A8274" t="str">
            <v>U3BF7E</v>
          </cell>
          <cell r="B8274" t="str">
            <v>FC 24x7 5年 MSL 2024用</v>
          </cell>
          <cell r="C8274" t="str">
            <v>【ファウンデーションケア】</v>
          </cell>
        </row>
        <row r="8275">
          <cell r="A8275" t="str">
            <v>U3BF8PE</v>
          </cell>
          <cell r="B8275" t="str">
            <v>PW FC 24x7 1年 MSL2024用</v>
          </cell>
          <cell r="C8275" t="str">
            <v>【ファウンデーションケア】</v>
          </cell>
        </row>
        <row r="8276">
          <cell r="A8276" t="str">
            <v>U3BJ2PE</v>
          </cell>
          <cell r="B8276" t="str">
            <v>PW FC 24x7 1年 MSL8096用</v>
          </cell>
          <cell r="C8276" t="str">
            <v>【ファウンデーションケア】</v>
          </cell>
        </row>
        <row r="8277">
          <cell r="A8277" t="str">
            <v>U3BL3E</v>
          </cell>
          <cell r="B8277" t="str">
            <v>FC 24x7 3年 1U USB Rackmnt kit用</v>
          </cell>
          <cell r="C8277" t="str">
            <v>【ファウンデーションケア】</v>
          </cell>
        </row>
        <row r="8278">
          <cell r="A8278" t="str">
            <v>U3BL4E</v>
          </cell>
          <cell r="B8278" t="str">
            <v>FC 24x7 4年 1U USB Rackmnt kit用</v>
          </cell>
          <cell r="C8278" t="str">
            <v>【ファウンデーションケア】</v>
          </cell>
        </row>
        <row r="8279">
          <cell r="A8279" t="str">
            <v>U3BL5E</v>
          </cell>
          <cell r="B8279" t="str">
            <v>FC 24x7 5年 1U USB Rackmnt kit用</v>
          </cell>
          <cell r="C8279" t="str">
            <v>【ファウンデーションケア】</v>
          </cell>
        </row>
        <row r="8280">
          <cell r="A8280" t="str">
            <v>U3BL6PE</v>
          </cell>
          <cell r="B8280" t="str">
            <v>PW FC 24x7 1年 1U USB Rackmnt kit用</v>
          </cell>
          <cell r="C8280" t="str">
            <v>【ファウンデーションケア】</v>
          </cell>
        </row>
        <row r="8281">
          <cell r="A8281" t="str">
            <v>U3BT6PE</v>
          </cell>
          <cell r="B8281" t="str">
            <v>PW FC 24x7 1年 SE1430/1530用</v>
          </cell>
          <cell r="C8281" t="str">
            <v>【ファウンデーションケア】</v>
          </cell>
        </row>
        <row r="8282">
          <cell r="A8282" t="str">
            <v>U3BU0PE</v>
          </cell>
          <cell r="B8282" t="str">
            <v>PW FC24x7DMR 1年 SE1430/1530用</v>
          </cell>
          <cell r="C8282" t="str">
            <v>【ファウンデーションケア】</v>
          </cell>
        </row>
        <row r="8283">
          <cell r="A8283" t="str">
            <v>U3BX2PE</v>
          </cell>
          <cell r="B8283" t="str">
            <v>PW FC 24x7 1年 StoreEasy1630用</v>
          </cell>
          <cell r="C8283" t="str">
            <v>【ファウンデーションケア】</v>
          </cell>
        </row>
        <row r="8284">
          <cell r="A8284" t="str">
            <v>U3BX6PE</v>
          </cell>
          <cell r="B8284" t="str">
            <v>PW FC24x7DMR 1年 StoreEasy1630用</v>
          </cell>
          <cell r="C8284" t="str">
            <v>【ファウンデーションケア】</v>
          </cell>
        </row>
        <row r="8285">
          <cell r="A8285" t="str">
            <v>U3CA8PE</v>
          </cell>
          <cell r="B8285" t="str">
            <v>PW FC 24x7 1年 StoreEasy1830用</v>
          </cell>
          <cell r="C8285" t="str">
            <v>【ファウンデーションケア】</v>
          </cell>
        </row>
        <row r="8286">
          <cell r="A8286" t="str">
            <v>U3CB2PE</v>
          </cell>
          <cell r="B8286" t="str">
            <v>PW FC24x7DMR 1年 StoreEasy1830用</v>
          </cell>
          <cell r="C8286" t="str">
            <v>【ファウンデーションケア】</v>
          </cell>
        </row>
        <row r="8287">
          <cell r="A8287" t="str">
            <v>U3CE4PE</v>
          </cell>
          <cell r="B8287" t="str">
            <v>PW FC 24x7 1年 StoreEasy3830用</v>
          </cell>
          <cell r="C8287" t="str">
            <v>【ファウンデーションケア】</v>
          </cell>
        </row>
        <row r="8288">
          <cell r="A8288" t="str">
            <v>U3CE8PE</v>
          </cell>
          <cell r="B8288" t="str">
            <v>PW FC24x7DMR 1年 StoreEasy3830用</v>
          </cell>
          <cell r="C8288" t="str">
            <v>【ファウンデーションケア】</v>
          </cell>
        </row>
        <row r="8289">
          <cell r="A8289" t="str">
            <v>U3CJ0PE</v>
          </cell>
          <cell r="B8289" t="str">
            <v>PW FC 24x7 1年 SE 3830sb用</v>
          </cell>
          <cell r="C8289" t="str">
            <v>【ファウンデーションケア】</v>
          </cell>
        </row>
        <row r="8290">
          <cell r="A8290" t="str">
            <v>U3CJ4PE</v>
          </cell>
          <cell r="B8290" t="str">
            <v>PW FC24x7DMR 1年 SE 3830sb用</v>
          </cell>
          <cell r="C8290" t="str">
            <v>【ファウンデーションケア】</v>
          </cell>
        </row>
        <row r="8291">
          <cell r="A8291" t="str">
            <v>U3CM6PE</v>
          </cell>
          <cell r="B8291" t="str">
            <v>HPE PW FC24x7 1年 StoreEasy 5530用</v>
          </cell>
          <cell r="C8291" t="str">
            <v>【ファウンデーションケア】</v>
          </cell>
        </row>
        <row r="8292">
          <cell r="A8292" t="str">
            <v>U3CN0PE</v>
          </cell>
          <cell r="B8292" t="str">
            <v>HPE PW FC24x7DMR 1年 StoreEasy 5530用</v>
          </cell>
          <cell r="C8292" t="str">
            <v>【ファウンデーションケア】</v>
          </cell>
        </row>
        <row r="8293">
          <cell r="A8293" t="str">
            <v>U3DC0PE</v>
          </cell>
          <cell r="B8293" t="str">
            <v>PW FC 9x5 1年 3U RKMT TapeDrvEncl</v>
          </cell>
          <cell r="C8293" t="str">
            <v>【ファウンデーションケア】</v>
          </cell>
        </row>
        <row r="8294">
          <cell r="A8294" t="str">
            <v>U3DC1E</v>
          </cell>
          <cell r="B8294" t="str">
            <v>FC 9x5 3年 LTO Autoloader用</v>
          </cell>
          <cell r="C8294" t="str">
            <v>【ファウンデーションケア】</v>
          </cell>
        </row>
        <row r="8295">
          <cell r="A8295" t="str">
            <v>U3DC2E</v>
          </cell>
          <cell r="B8295" t="str">
            <v>FC 9x5 4年 LTO Autoloader用</v>
          </cell>
          <cell r="C8295" t="str">
            <v>【ファウンデーションケア】</v>
          </cell>
        </row>
        <row r="8296">
          <cell r="A8296" t="str">
            <v>U3DC3E</v>
          </cell>
          <cell r="B8296" t="str">
            <v>FC 9x5 5年 LTO Autoloader用</v>
          </cell>
          <cell r="C8296" t="str">
            <v>【ファウンデーションケア】</v>
          </cell>
        </row>
        <row r="8297">
          <cell r="A8297" t="str">
            <v>U3DC4PE</v>
          </cell>
          <cell r="B8297" t="str">
            <v>PW FC 9x5 1年 LTOオートローダ</v>
          </cell>
          <cell r="C8297" t="str">
            <v>【ファウンデーションケア】</v>
          </cell>
        </row>
        <row r="8298">
          <cell r="A8298" t="str">
            <v>U3DC8PE</v>
          </cell>
          <cell r="B8298" t="str">
            <v>PW FC 9x5 1年 4 Bay Rack Tape用</v>
          </cell>
          <cell r="C8298" t="str">
            <v>【ファウンデーションケア】</v>
          </cell>
        </row>
        <row r="8299">
          <cell r="A8299" t="str">
            <v>U3DD2PE</v>
          </cell>
          <cell r="B8299" t="str">
            <v>PW FC 9x5 1年 外付DATドライブ用</v>
          </cell>
          <cell r="C8299" t="str">
            <v>【ファウンデーションケア】</v>
          </cell>
        </row>
        <row r="8300">
          <cell r="A8300" t="str">
            <v>U3DD3E</v>
          </cell>
          <cell r="B8300" t="str">
            <v>FC 9x5 3年 外付LTOドライブ用</v>
          </cell>
          <cell r="C8300" t="str">
            <v>【ファウンデーションケア】</v>
          </cell>
        </row>
        <row r="8301">
          <cell r="A8301" t="str">
            <v>U3DD4E</v>
          </cell>
          <cell r="B8301" t="str">
            <v>FC 9x5 4年 外付LTOドライブ用</v>
          </cell>
          <cell r="C8301" t="str">
            <v>【ファウンデーションケア】</v>
          </cell>
        </row>
        <row r="8302">
          <cell r="A8302" t="str">
            <v>U3DD5E</v>
          </cell>
          <cell r="B8302" t="str">
            <v>FC 9x5 5年 外付LTOドライブ用</v>
          </cell>
          <cell r="C8302" t="str">
            <v>【ファウンデーションケア】</v>
          </cell>
        </row>
        <row r="8303">
          <cell r="A8303" t="str">
            <v>U3DD6PE</v>
          </cell>
          <cell r="B8303" t="str">
            <v>PW FC 9x5 1年 外付LTOドライブ用</v>
          </cell>
          <cell r="C8303" t="str">
            <v>【ファウンデーションケア】</v>
          </cell>
        </row>
        <row r="8304">
          <cell r="A8304" t="str">
            <v>U3DD7E</v>
          </cell>
          <cell r="B8304" t="str">
            <v>FC 9x5 3年 1U Rackmnt kit用</v>
          </cell>
          <cell r="C8304" t="str">
            <v>【ファウンデーションケア】</v>
          </cell>
        </row>
        <row r="8305">
          <cell r="A8305" t="str">
            <v>U3DD8E</v>
          </cell>
          <cell r="B8305" t="str">
            <v>FC 9x5 4年 1U Rackmnt kit用</v>
          </cell>
          <cell r="C8305" t="str">
            <v>【ファウンデーションケア】</v>
          </cell>
        </row>
        <row r="8306">
          <cell r="A8306" t="str">
            <v>U3DD9E</v>
          </cell>
          <cell r="B8306" t="str">
            <v>FC 9x5 5年 1U Rackmnt kit用</v>
          </cell>
          <cell r="C8306" t="str">
            <v>【ファウンデーションケア】</v>
          </cell>
        </row>
        <row r="8307">
          <cell r="A8307" t="str">
            <v>U3DE0PE</v>
          </cell>
          <cell r="B8307" t="str">
            <v>PW FC 9x5 1年 1Uラックマウントkit</v>
          </cell>
          <cell r="C8307" t="str">
            <v>【ファウンデーションケア】</v>
          </cell>
        </row>
        <row r="8308">
          <cell r="A8308" t="str">
            <v>U3DE1E</v>
          </cell>
          <cell r="B8308" t="str">
            <v>FC 9x5 3年 MSL4048用</v>
          </cell>
          <cell r="C8308" t="str">
            <v>【ファウンデーションケア】</v>
          </cell>
        </row>
        <row r="8309">
          <cell r="A8309" t="str">
            <v>U3DE2E</v>
          </cell>
          <cell r="B8309" t="str">
            <v>FC 9x5 4年 MSL4048用</v>
          </cell>
          <cell r="C8309" t="str">
            <v>【ファウンデーションケア】</v>
          </cell>
        </row>
        <row r="8310">
          <cell r="A8310" t="str">
            <v>U3DE3E</v>
          </cell>
          <cell r="B8310" t="str">
            <v>FC 9x5 5年 MSL4048用</v>
          </cell>
          <cell r="C8310" t="str">
            <v>【ファウンデーションケア】</v>
          </cell>
        </row>
        <row r="8311">
          <cell r="A8311" t="str">
            <v>U3DE4PE</v>
          </cell>
          <cell r="B8311" t="str">
            <v>PW FC 9x5 1年 MSL4048用</v>
          </cell>
          <cell r="C8311" t="str">
            <v>【ファウンデーションケア】</v>
          </cell>
        </row>
        <row r="8312">
          <cell r="A8312" t="str">
            <v>U3DE5E</v>
          </cell>
          <cell r="B8312" t="str">
            <v>FC 9x5 3年 MSL2024用</v>
          </cell>
          <cell r="C8312" t="str">
            <v>【ファウンデーションケア】</v>
          </cell>
        </row>
        <row r="8313">
          <cell r="A8313" t="str">
            <v>U3DE6E</v>
          </cell>
          <cell r="B8313" t="str">
            <v>FC 9x5 4年 MSL2024用</v>
          </cell>
          <cell r="C8313" t="str">
            <v>【ファウンデーションケア】</v>
          </cell>
        </row>
        <row r="8314">
          <cell r="A8314" t="str">
            <v>U3DE7E</v>
          </cell>
          <cell r="B8314" t="str">
            <v>FC 9x5 5年 MSL2024用</v>
          </cell>
          <cell r="C8314" t="str">
            <v>【ファウンデーションケア】</v>
          </cell>
        </row>
        <row r="8315">
          <cell r="A8315" t="str">
            <v>U3DE8PE</v>
          </cell>
          <cell r="B8315" t="str">
            <v>PW FC 9x5 1年 MSL2024用</v>
          </cell>
          <cell r="C8315" t="str">
            <v>【ファウンデーションケア】</v>
          </cell>
        </row>
        <row r="8316">
          <cell r="A8316" t="str">
            <v>U3DF2PE</v>
          </cell>
          <cell r="B8316" t="str">
            <v>PW FC 9x5 1年 MSL8096用</v>
          </cell>
          <cell r="C8316" t="str">
            <v>【ファウンデーションケア】</v>
          </cell>
        </row>
        <row r="8317">
          <cell r="A8317" t="str">
            <v>U3DF3E</v>
          </cell>
          <cell r="B8317" t="str">
            <v>FC 9x5 3年 1U USB Rackmnt kit用</v>
          </cell>
          <cell r="C8317" t="str">
            <v>【ファウンデーションケア】</v>
          </cell>
        </row>
        <row r="8318">
          <cell r="A8318" t="str">
            <v>U3DF4E</v>
          </cell>
          <cell r="B8318" t="str">
            <v>FC 9x5 4年 1U USB Rackmnt kit用</v>
          </cell>
          <cell r="C8318" t="str">
            <v>【ファウンデーションケア】</v>
          </cell>
        </row>
        <row r="8319">
          <cell r="A8319" t="str">
            <v>U3DF5E</v>
          </cell>
          <cell r="B8319" t="str">
            <v>FC 9x5 5年 1U USB Rackmnt kit用</v>
          </cell>
          <cell r="C8319" t="str">
            <v>【ファウンデーションケア】</v>
          </cell>
        </row>
        <row r="8320">
          <cell r="A8320" t="str">
            <v>U3DF6PE</v>
          </cell>
          <cell r="B8320" t="str">
            <v>PW FC 9x5 1年 1U USB Rackmnt kit用</v>
          </cell>
          <cell r="C8320" t="str">
            <v>【ファウンデーションケア】</v>
          </cell>
        </row>
        <row r="8321">
          <cell r="A8321" t="str">
            <v>U3DH6PE</v>
          </cell>
          <cell r="B8321" t="str">
            <v>PW FC 9x5 1年 SE1430/1530用</v>
          </cell>
          <cell r="C8321" t="str">
            <v>【ファウンデーションケア】</v>
          </cell>
        </row>
        <row r="8322">
          <cell r="A8322" t="str">
            <v>U3DJ0PE</v>
          </cell>
          <cell r="B8322" t="str">
            <v>PW FC 9x5 DMR 1年 SE1430/1530用</v>
          </cell>
          <cell r="C8322" t="str">
            <v>【ファウンデーションケア】</v>
          </cell>
        </row>
        <row r="8323">
          <cell r="A8323" t="str">
            <v>U3DJ4PE</v>
          </cell>
          <cell r="B8323" t="str">
            <v>PW FC 9x5 1年 StoreEasy1630用</v>
          </cell>
          <cell r="C8323" t="str">
            <v>【ファウンデーションケア】</v>
          </cell>
        </row>
        <row r="8324">
          <cell r="A8324" t="str">
            <v>U3DJ8PE</v>
          </cell>
          <cell r="B8324" t="str">
            <v>PW FC 9x5 DMR 1年 StoreEasy1630用</v>
          </cell>
          <cell r="C8324" t="str">
            <v>【ファウンデーションケア】</v>
          </cell>
        </row>
        <row r="8325">
          <cell r="A8325" t="str">
            <v>U3DK2PE</v>
          </cell>
          <cell r="B8325" t="str">
            <v>PW FC 9x5 1年 StoreEasy1830用</v>
          </cell>
          <cell r="C8325" t="str">
            <v>【ファウンデーションケア】</v>
          </cell>
        </row>
        <row r="8326">
          <cell r="A8326" t="str">
            <v>U3DK6PE</v>
          </cell>
          <cell r="B8326" t="str">
            <v>PW FC 9x5 DMR 1年 StoreEasy1830用</v>
          </cell>
          <cell r="C8326" t="str">
            <v>【ファウンデーションケア】</v>
          </cell>
        </row>
        <row r="8327">
          <cell r="A8327" t="str">
            <v>U3DL0PE</v>
          </cell>
          <cell r="B8327" t="str">
            <v>PW FC 9x5 1年 StoreEasy3830用</v>
          </cell>
          <cell r="C8327" t="str">
            <v>【ファウンデーションケア】</v>
          </cell>
        </row>
        <row r="8328">
          <cell r="A8328" t="str">
            <v>U3DL4PE</v>
          </cell>
          <cell r="B8328" t="str">
            <v>PW FC 9x5 DMR 1年 StoreEasy3830用</v>
          </cell>
          <cell r="C8328" t="str">
            <v>【ファウンデーションケア】</v>
          </cell>
        </row>
        <row r="8329">
          <cell r="A8329" t="str">
            <v>U3DL8PE</v>
          </cell>
          <cell r="B8329" t="str">
            <v>PW FC 9x5 1年 SE 3830sb用</v>
          </cell>
          <cell r="C8329" t="str">
            <v>【ファウンデーションケア】</v>
          </cell>
        </row>
        <row r="8330">
          <cell r="A8330" t="str">
            <v>U3DM2PE</v>
          </cell>
          <cell r="B8330" t="str">
            <v>PW FC 9x5 DMR 1年 SE 3830sb用</v>
          </cell>
          <cell r="C8330" t="str">
            <v>【ファウンデーションケア】</v>
          </cell>
        </row>
        <row r="8331">
          <cell r="A8331" t="str">
            <v>U3DM6PE</v>
          </cell>
          <cell r="B8331" t="str">
            <v>HPE PW FC9x5 1年 StoreEasy 5530用</v>
          </cell>
          <cell r="C8331" t="str">
            <v>【ファウンデーションケア】</v>
          </cell>
        </row>
        <row r="8332">
          <cell r="A8332" t="str">
            <v>U3DN0PE</v>
          </cell>
          <cell r="B8332" t="str">
            <v>HPE PW FC9x5DMR 1年 StoreEasy 5530用</v>
          </cell>
          <cell r="C8332" t="str">
            <v>【ファウンデーションケア】</v>
          </cell>
        </row>
        <row r="8333">
          <cell r="A8333" t="str">
            <v>U3DV3PE</v>
          </cell>
          <cell r="B8333" t="str">
            <v>PW FC24x7 HD返却不要1年 IOアクセラレータ</v>
          </cell>
          <cell r="C8333" t="str">
            <v>【ファウンデーションケア】</v>
          </cell>
        </row>
        <row r="8334">
          <cell r="A8334" t="str">
            <v>U3F30E</v>
          </cell>
          <cell r="B8334" t="str">
            <v>ProCare 24x7 5年 Dual SAS BLスイッチ用</v>
          </cell>
          <cell r="C8334" t="str">
            <v>【HPEプロアクティブケア】メーカー推奨／低価格で国内専用窓口の高品質な保守により、システム運用における安心を提供します。</v>
          </cell>
        </row>
        <row r="8335">
          <cell r="A8335" t="str">
            <v>U3F33E</v>
          </cell>
          <cell r="B8335" t="str">
            <v>ProCare 24x7 5年 SAS BLスイッチ用</v>
          </cell>
          <cell r="C8335" t="str">
            <v>【HPEプロアクティブケア】メーカー推奨／低価格で国内専用窓口の高品質な保守により、システム運用における安心を提供します。</v>
          </cell>
        </row>
        <row r="8336">
          <cell r="A8336" t="str">
            <v>U3F36E</v>
          </cell>
          <cell r="B8336" t="str">
            <v>ProCare 24x7 5年 SANスイッチ 8/8-24用</v>
          </cell>
          <cell r="C8336" t="str">
            <v>【HPEプロアクティブケア】メーカー推奨／低価格で国内専用窓口の高品質な保守により、システム運用における安心を提供します。</v>
          </cell>
        </row>
        <row r="8337">
          <cell r="A8337" t="str">
            <v>U3F43E</v>
          </cell>
          <cell r="B8337" t="str">
            <v>ProCare 24x7 3年 BladeSys SANスイッチ B</v>
          </cell>
          <cell r="C8337" t="str">
            <v>【HPEプロアクティブケア】メーカー推奨／低価格で国内専用窓口の高品質な保守により、システム運用における安心を提供します。</v>
          </cell>
        </row>
        <row r="8338">
          <cell r="A8338" t="str">
            <v>U3F44E</v>
          </cell>
          <cell r="B8338" t="str">
            <v>ProCare 24x7 4年 BladeSys SANスイッチ B</v>
          </cell>
          <cell r="C8338" t="str">
            <v>【HPEプロアクティブケア】メーカー推奨／低価格で国内専用窓口の高品質な保守により、システム運用における安心を提供します。</v>
          </cell>
        </row>
        <row r="8339">
          <cell r="A8339" t="str">
            <v>U3F45E</v>
          </cell>
          <cell r="B8339" t="str">
            <v>ProCare 24x7 5年 BladeSys SANスイッチ B</v>
          </cell>
          <cell r="C8339" t="str">
            <v>【HPEプロアクティブケア】メーカー推奨／低価格で国内専用窓口の高品質な保守により、システム運用における安心を提供します。</v>
          </cell>
        </row>
        <row r="8340">
          <cell r="A8340" t="str">
            <v>U3M93E</v>
          </cell>
          <cell r="B8340" t="str">
            <v>ProCare 24x7 3年 MSL4048用</v>
          </cell>
          <cell r="C8340" t="str">
            <v>【HPEプロアクティブケア】メーカー推奨／低価格で国内専用窓口の高品質な保守により、システム運用における安心を提供します。</v>
          </cell>
        </row>
        <row r="8341">
          <cell r="A8341" t="str">
            <v>U3M94E</v>
          </cell>
          <cell r="B8341" t="str">
            <v>ProCare 24x7 4年 MSL4048用</v>
          </cell>
          <cell r="C8341" t="str">
            <v>【HPEプロアクティブケア】メーカー推奨／低価格で国内専用窓口の高品質な保守により、システム運用における安心を提供します。</v>
          </cell>
        </row>
        <row r="8342">
          <cell r="A8342" t="str">
            <v>U3M95E</v>
          </cell>
          <cell r="B8342" t="str">
            <v>ProCare 24x7 5年 MSL4048用</v>
          </cell>
          <cell r="C8342" t="str">
            <v>【HPEプロアクティブケア】メーカー推奨／低価格で国内専用窓口の高品質な保守により、システム運用における安心を提供します。</v>
          </cell>
        </row>
        <row r="8343">
          <cell r="A8343" t="str">
            <v>U3S10E</v>
          </cell>
          <cell r="B8343" t="str">
            <v>ProCare 24x7 3年 外付LTOドライブ用</v>
          </cell>
          <cell r="C8343" t="str">
            <v>【HPEプロアクティブケア】メーカー推奨／低価格で国内専用窓口の高品質な保守により、システム運用における安心を提供します。</v>
          </cell>
        </row>
        <row r="8344">
          <cell r="A8344" t="str">
            <v>U3S11E</v>
          </cell>
          <cell r="B8344" t="str">
            <v>ProCare 24x7 4年 外付LTOドライブ用</v>
          </cell>
          <cell r="C8344" t="str">
            <v>【HPEプロアクティブケア】メーカー推奨／低価格で国内専用窓口の高品質な保守により、システム運用における安心を提供します。</v>
          </cell>
        </row>
        <row r="8345">
          <cell r="A8345" t="str">
            <v>U3S12E</v>
          </cell>
          <cell r="B8345" t="str">
            <v>ProCare 24x7 5年 外付LTOドライブ用</v>
          </cell>
          <cell r="C8345" t="str">
            <v>【HPEプロアクティブケア】メーカー推奨／低価格で国内専用窓口の高品質な保守により、システム運用における安心を提供します。</v>
          </cell>
        </row>
        <row r="8346">
          <cell r="A8346" t="str">
            <v>U3S37E</v>
          </cell>
          <cell r="B8346" t="str">
            <v>ProCare 24x7 3年 1U USB Rackmnt kit用</v>
          </cell>
          <cell r="C8346" t="str">
            <v>【HPEプロアクティブケア】メーカー推奨／低価格で国内専用窓口の高品質な保守により、システム運用における安心を提供します。</v>
          </cell>
        </row>
        <row r="8347">
          <cell r="A8347" t="str">
            <v>U3S38E</v>
          </cell>
          <cell r="B8347" t="str">
            <v>ProCare 24x7 4年 1U USB Rackmnt kit用</v>
          </cell>
          <cell r="C8347" t="str">
            <v>【HPEプロアクティブケア】メーカー推奨／低価格で国内専用窓口の高品質な保守により、システム運用における安心を提供します。</v>
          </cell>
        </row>
        <row r="8348">
          <cell r="A8348" t="str">
            <v>U3S39E</v>
          </cell>
          <cell r="B8348" t="str">
            <v>ProCare 24x7 5年 1U USB Rackmnt kit用</v>
          </cell>
          <cell r="C8348" t="str">
            <v>【HPEプロアクティブケア】メーカー推奨／低価格で国内専用窓口の高品質な保守により、システム運用における安心を提供します。</v>
          </cell>
        </row>
        <row r="8349">
          <cell r="A8349" t="str">
            <v>U3S46E</v>
          </cell>
          <cell r="B8349" t="str">
            <v>ProCare 24x7 3年 1U Rackmnt kit用</v>
          </cell>
          <cell r="C8349" t="str">
            <v>【HPEプロアクティブケア】メーカー推奨／低価格で国内専用窓口の高品質な保守により、システム運用における安心を提供します。</v>
          </cell>
        </row>
        <row r="8350">
          <cell r="A8350" t="str">
            <v>U3S47E</v>
          </cell>
          <cell r="B8350" t="str">
            <v>ProCare 24x7 4年 1U Rackmnt kit用</v>
          </cell>
          <cell r="C8350" t="str">
            <v>【HPEプロアクティブケア】メーカー推奨／低価格で国内専用窓口の高品質な保守により、システム運用における安心を提供します。</v>
          </cell>
        </row>
        <row r="8351">
          <cell r="A8351" t="str">
            <v>U3S48E</v>
          </cell>
          <cell r="B8351" t="str">
            <v>ProCare 24x7 5年 1U Rackmnt kit用</v>
          </cell>
          <cell r="C8351" t="str">
            <v>【HPEプロアクティブケア】メーカー推奨／低価格で国内専用窓口の高品質な保守により、システム運用における安心を提供します。</v>
          </cell>
        </row>
        <row r="8352">
          <cell r="A8352" t="str">
            <v>U3S55E</v>
          </cell>
          <cell r="B8352" t="str">
            <v>ProCare 24x7 3年 LTO Autoloader用</v>
          </cell>
          <cell r="C8352" t="str">
            <v>【HPEプロアクティブケア】メーカー推奨／低価格で国内専用窓口の高品質な保守により、システム運用における安心を提供します。</v>
          </cell>
        </row>
        <row r="8353">
          <cell r="A8353" t="str">
            <v>U3S56E</v>
          </cell>
          <cell r="B8353" t="str">
            <v>ProCare 24x7 4年 LTO Autoloader用</v>
          </cell>
          <cell r="C8353" t="str">
            <v>【HPEプロアクティブケア】メーカー推奨／低価格で国内専用窓口の高品質な保守により、システム運用における安心を提供します。</v>
          </cell>
        </row>
        <row r="8354">
          <cell r="A8354" t="str">
            <v>U3S57E</v>
          </cell>
          <cell r="B8354" t="str">
            <v>ProCare 24x7 5年 LTO Autoloader用</v>
          </cell>
          <cell r="C8354" t="str">
            <v>【HPEプロアクティブケア】メーカー推奨／低価格で国内専用窓口の高品質な保守により、システム運用における安心を提供します。</v>
          </cell>
        </row>
        <row r="8355">
          <cell r="A8355" t="str">
            <v>U3S73E</v>
          </cell>
          <cell r="B8355" t="str">
            <v>ProCare 24x7 3年 MSL 2024用</v>
          </cell>
          <cell r="C8355" t="str">
            <v>【HPEプロアクティブケア】メーカー推奨／低価格で国内専用窓口の高品質な保守により、システム運用における安心を提供します。</v>
          </cell>
        </row>
        <row r="8356">
          <cell r="A8356" t="str">
            <v>U3S74E</v>
          </cell>
          <cell r="B8356" t="str">
            <v>ProCare 24x7 4年 MSL 2024用</v>
          </cell>
          <cell r="C8356" t="str">
            <v>【HPEプロアクティブケア】メーカー推奨／低価格で国内専用窓口の高品質な保守により、システム運用における安心を提供します。</v>
          </cell>
        </row>
        <row r="8357">
          <cell r="A8357" t="str">
            <v>U3S75E</v>
          </cell>
          <cell r="B8357" t="str">
            <v>ProCare 24x7 5年 MSL 2024用</v>
          </cell>
          <cell r="C8357" t="str">
            <v>【HPEプロアクティブケア】メーカー推奨／低価格で国内専用窓口の高品質な保守により、システム運用における安心を提供します。</v>
          </cell>
        </row>
        <row r="8358">
          <cell r="A8358" t="str">
            <v>U3T92E</v>
          </cell>
          <cell r="B8358" t="str">
            <v>ProCare 24x7 3年 StoOn4500/4700 24T Up用</v>
          </cell>
          <cell r="C8358" t="str">
            <v>【HPEプロアクティブケア】メーカー推奨／低価格で国内専用窓口の高品質な保守により、システム運用における安心を提供します。</v>
          </cell>
        </row>
        <row r="8359">
          <cell r="A8359" t="str">
            <v>U3T93E</v>
          </cell>
          <cell r="B8359" t="str">
            <v>ProCare 24x7 4年 StoOn4500/4700 24T Up用</v>
          </cell>
          <cell r="C8359" t="str">
            <v>【HPEプロアクティブケア】メーカー推奨／低価格で国内専用窓口の高品質な保守により、システム運用における安心を提供します。</v>
          </cell>
        </row>
        <row r="8360">
          <cell r="A8360" t="str">
            <v>U3T94E</v>
          </cell>
          <cell r="B8360" t="str">
            <v>ProCare 24x7 5年 StoOn4500/4700 24T Up用</v>
          </cell>
          <cell r="C8360" t="str">
            <v>【HPEプロアクティブケア】メーカー推奨／低価格で国内専用窓口の高品質な保守により、システム運用における安心を提供します。</v>
          </cell>
        </row>
        <row r="8361">
          <cell r="A8361" t="str">
            <v>U3T95E</v>
          </cell>
          <cell r="B8361" t="str">
            <v>ProCareHD返却不要24x7 3年SO45/4700 24TUp</v>
          </cell>
          <cell r="C8361" t="str">
            <v>【HPEプロアクティブケア】メーカー推奨／低価格で国内専用窓口の高品質な保守により、システム運用における安心を提供します。</v>
          </cell>
        </row>
        <row r="8362">
          <cell r="A8362" t="str">
            <v>U3T96E</v>
          </cell>
          <cell r="B8362" t="str">
            <v>ProCareHD返却不要24x7 4年SO45/4700 24TUp</v>
          </cell>
          <cell r="C8362" t="str">
            <v>【HPEプロアクティブケア】メーカー推奨／低価格で国内専用窓口の高品質な保守により、システム運用における安心を提供します。</v>
          </cell>
        </row>
        <row r="8363">
          <cell r="A8363" t="str">
            <v>U3T97E</v>
          </cell>
          <cell r="B8363" t="str">
            <v>ProCareHD返却不要24x7 5年SO45/4700 24TUp</v>
          </cell>
          <cell r="C8363" t="str">
            <v>【HPEプロアクティブケア】メーカー推奨／低価格で国内専用窓口の高品質な保守により、システム運用における安心を提供します。</v>
          </cell>
        </row>
        <row r="8364">
          <cell r="A8364" t="str">
            <v>U3X64E</v>
          </cell>
          <cell r="B8364" t="str">
            <v>ProCare 24x7 3年 D2200sb用</v>
          </cell>
          <cell r="C8364" t="str">
            <v>【HPEプロアクティブケア】メーカー推奨／低価格で国内専用窓口の高品質な保守により、システム運用における安心を提供します。</v>
          </cell>
        </row>
        <row r="8365">
          <cell r="A8365" t="str">
            <v>U3X65E</v>
          </cell>
          <cell r="B8365" t="str">
            <v>ProCare 24x7 4年 D2200sb用</v>
          </cell>
          <cell r="C8365" t="str">
            <v>【HPEプロアクティブケア】メーカー推奨／低価格で国内専用窓口の高品質な保守により、システム運用における安心を提供します。</v>
          </cell>
        </row>
        <row r="8366">
          <cell r="A8366" t="str">
            <v>U3X66E</v>
          </cell>
          <cell r="B8366" t="str">
            <v>ProCare 24x7 5年 D2200sb用</v>
          </cell>
          <cell r="C8366" t="str">
            <v>【HPEプロアクティブケア】メーカー推奨／低価格で国内専用窓口の高品質な保守により、システム運用における安心を提供します。</v>
          </cell>
        </row>
        <row r="8367">
          <cell r="A8367" t="str">
            <v>U3X67E</v>
          </cell>
          <cell r="B8367" t="str">
            <v>ProCare HD返却不要 24x7 3年 D2200sb用</v>
          </cell>
          <cell r="C8367" t="str">
            <v>【HPEプロアクティブケア】メーカー推奨／低価格で国内専用窓口の高品質な保守により、システム運用における安心を提供します。</v>
          </cell>
        </row>
        <row r="8368">
          <cell r="A8368" t="str">
            <v>U3X68E</v>
          </cell>
          <cell r="B8368" t="str">
            <v>ProCare HD返却不要 24x7 4年 D2200sb用</v>
          </cell>
          <cell r="C8368" t="str">
            <v>【HPEプロアクティブケア】メーカー推奨／低価格で国内専用窓口の高品質な保守により、システム運用における安心を提供します。</v>
          </cell>
        </row>
        <row r="8369">
          <cell r="A8369" t="str">
            <v>U3X69E</v>
          </cell>
          <cell r="B8369" t="str">
            <v>ProCare HD返却不要 24x7 5年 D2200sb用</v>
          </cell>
          <cell r="C8369" t="str">
            <v>【HPEプロアクティブケア】メーカー推奨／低価格で国内専用窓口の高品質な保守により、システム運用における安心を提供します。</v>
          </cell>
        </row>
        <row r="8370">
          <cell r="A8370" t="str">
            <v>U4C05E</v>
          </cell>
          <cell r="B8370" t="str">
            <v>ProCare 24x7 3年 SAS BLスイッチ用</v>
          </cell>
          <cell r="C8370" t="str">
            <v>【HPEプロアクティブケア】メーカー推奨／低価格で国内専用窓口の高品質な保守により、システム運用における安心を提供します。</v>
          </cell>
        </row>
        <row r="8371">
          <cell r="A8371" t="str">
            <v>U4C06E</v>
          </cell>
          <cell r="B8371" t="str">
            <v>ProCare 24x7 4年 SAS BLスイッチ用</v>
          </cell>
          <cell r="C8371" t="str">
            <v>【HPEプロアクティブケア】メーカー推奨／低価格で国内専用窓口の高品質な保守により、システム運用における安心を提供します。</v>
          </cell>
        </row>
        <row r="8372">
          <cell r="A8372" t="str">
            <v>U4C07E</v>
          </cell>
          <cell r="B8372" t="str">
            <v>ProCare 24x7 3年 SANスイッチ 8/8-24用</v>
          </cell>
          <cell r="C8372" t="str">
            <v>【HPEプロアクティブケア】メーカー推奨／低価格で国内専用窓口の高品質な保守により、システム運用における安心を提供します。</v>
          </cell>
        </row>
        <row r="8373">
          <cell r="A8373" t="str">
            <v>U4C08E</v>
          </cell>
          <cell r="B8373" t="str">
            <v>ProCare 24x7 4年 SANスイッチ 8/8-24用</v>
          </cell>
          <cell r="C8373" t="str">
            <v>【HPEプロアクティブケア】メーカー推奨／低価格で国内専用窓口の高品質な保守により、システム運用における安心を提供します。</v>
          </cell>
        </row>
        <row r="8374">
          <cell r="A8374" t="str">
            <v>U4C09E</v>
          </cell>
          <cell r="B8374" t="str">
            <v>ProCare 24x7 3年 Dual SAS BLスイッチ用</v>
          </cell>
          <cell r="C8374" t="str">
            <v>【HPEプロアクティブケア】メーカー推奨／低価格で国内専用窓口の高品質な保守により、システム運用における安心を提供します。</v>
          </cell>
        </row>
        <row r="8375">
          <cell r="A8375" t="str">
            <v>U4C10E</v>
          </cell>
          <cell r="B8375" t="str">
            <v>ProCare 24x7 4年 Dual SAS BLスイッチ用</v>
          </cell>
          <cell r="C8375" t="str">
            <v>【HPEプロアクティブケア】メーカー推奨／低価格で国内専用窓口の高品質な保守により、システム運用における安心を提供します。</v>
          </cell>
        </row>
        <row r="8376">
          <cell r="A8376" t="str">
            <v>U4C32E</v>
          </cell>
          <cell r="B8376" t="str">
            <v>ProCare 24x7 3年 MSA2000 Enclosure用</v>
          </cell>
          <cell r="C8376" t="str">
            <v>【HPEプロアクティブケア】メーカー推奨／低価格で国内専用窓口の高品質な保守により、システム運用における安心を提供します。</v>
          </cell>
        </row>
        <row r="8377">
          <cell r="A8377" t="str">
            <v>U4C33E</v>
          </cell>
          <cell r="B8377" t="str">
            <v>ProCare 24x7 4年 MSA2000 Enclosure用</v>
          </cell>
          <cell r="C8377" t="str">
            <v>【HPEプロアクティブケア】メーカー推奨／低価格で国内専用窓口の高品質な保守により、システム運用における安心を提供します。</v>
          </cell>
        </row>
        <row r="8378">
          <cell r="A8378" t="str">
            <v>U4C34E</v>
          </cell>
          <cell r="B8378" t="str">
            <v>ProCare 24x7 5年 MSA2000 Enclosure用</v>
          </cell>
          <cell r="C8378" t="str">
            <v>【HPEプロアクティブケア】メーカー推奨／低価格で国内専用窓口の高品質な保守により、システム運用における安心を提供します。</v>
          </cell>
        </row>
        <row r="8379">
          <cell r="A8379" t="str">
            <v>U4C35E</v>
          </cell>
          <cell r="B8379" t="str">
            <v>ProCare HD返却不要24x7 3年MSA2000 Encl用</v>
          </cell>
          <cell r="C8379" t="str">
            <v>【HPEプロアクティブケア】メーカー推奨／低価格で国内専用窓口の高品質な保守により、システム運用における安心を提供します。</v>
          </cell>
        </row>
        <row r="8380">
          <cell r="A8380" t="str">
            <v>U4C36E</v>
          </cell>
          <cell r="B8380" t="str">
            <v>ProCare HD返却不要24x7 4年MSA2000 Encl用</v>
          </cell>
          <cell r="C8380" t="str">
            <v>【HPEプロアクティブケア】メーカー推奨／低価格で国内専用窓口の高品質な保守により、システム運用における安心を提供します。</v>
          </cell>
        </row>
        <row r="8381">
          <cell r="A8381" t="str">
            <v>U4C37E</v>
          </cell>
          <cell r="B8381" t="str">
            <v>ProCare HD返却不要24x7 5年MSA2000 Encl用</v>
          </cell>
          <cell r="C8381" t="str">
            <v>【HPEプロアクティブケア】メーカー推奨／低価格で国内専用窓口の高品質な保守により、システム運用における安心を提供します。</v>
          </cell>
        </row>
        <row r="8382">
          <cell r="A8382" t="str">
            <v>U4RC6PE</v>
          </cell>
          <cell r="B8382" t="str">
            <v>PW FC 9x5 1年 1440/1640用</v>
          </cell>
          <cell r="C8382" t="str">
            <v>【ファウンデーションケア】</v>
          </cell>
        </row>
        <row r="8383">
          <cell r="A8383" t="str">
            <v>U4RC7PE</v>
          </cell>
          <cell r="B8383" t="str">
            <v>PW FC 9x5 DMR 1年 1440/1640用</v>
          </cell>
          <cell r="C8383" t="str">
            <v>【ファウンデーションケア】</v>
          </cell>
        </row>
        <row r="8384">
          <cell r="A8384" t="str">
            <v>U4RD1PE</v>
          </cell>
          <cell r="B8384" t="str">
            <v>PW FC 24x7 1年 1440/1640用</v>
          </cell>
          <cell r="C8384" t="str">
            <v>【ファウンデーションケア】</v>
          </cell>
        </row>
        <row r="8385">
          <cell r="A8385" t="str">
            <v>U4RD2PE</v>
          </cell>
          <cell r="B8385" t="str">
            <v>PW FC24x7DMR 1年 1440/1640用</v>
          </cell>
          <cell r="C8385" t="str">
            <v>【ファウンデーションケア】</v>
          </cell>
        </row>
        <row r="8386">
          <cell r="A8386" t="str">
            <v>U4RD4PE</v>
          </cell>
          <cell r="B8386" t="str">
            <v>PW PC 24x7 1年 1440/1640用</v>
          </cell>
          <cell r="C8386" t="str">
            <v>【HPEプロアクティブケア】メーカー推奨／低価格で国内専用窓口の高品質な保守により、システム運用における安心を提供します。</v>
          </cell>
        </row>
        <row r="8387">
          <cell r="A8387" t="str">
            <v>U4RD5PE</v>
          </cell>
          <cell r="B8387" t="str">
            <v>PW PC 24x7 DMR 1年 1440/1640用</v>
          </cell>
          <cell r="C8387" t="str">
            <v>【HPEプロアクティブケア】メーカー推奨／低価格で国内専用窓口の高品質な保守により、システム運用における安心を提供します。</v>
          </cell>
        </row>
        <row r="8388">
          <cell r="A8388" t="str">
            <v>U4RL6PE</v>
          </cell>
          <cell r="B8388" t="str">
            <v>PW FC 9x5 1年 Store1540用</v>
          </cell>
          <cell r="C8388" t="str">
            <v>【ファウンデーションケア】</v>
          </cell>
        </row>
        <row r="8389">
          <cell r="A8389" t="str">
            <v>U4RL7PE</v>
          </cell>
          <cell r="B8389" t="str">
            <v>PW FC 9x5 DMR 1年 Store1540用</v>
          </cell>
          <cell r="C8389" t="str">
            <v>【ファウンデーションケア】</v>
          </cell>
        </row>
        <row r="8390">
          <cell r="A8390" t="str">
            <v>U4RM1PE</v>
          </cell>
          <cell r="B8390" t="str">
            <v>PW FC 24x7 1年 Store1540用</v>
          </cell>
          <cell r="C8390" t="str">
            <v>【ファウンデーションケア】</v>
          </cell>
        </row>
        <row r="8391">
          <cell r="A8391" t="str">
            <v>U4RM2PE</v>
          </cell>
          <cell r="B8391" t="str">
            <v>PW FC24x7DMR 1年 Store1540用</v>
          </cell>
          <cell r="C8391" t="str">
            <v>【ファウンデーションケア】</v>
          </cell>
        </row>
        <row r="8392">
          <cell r="A8392" t="str">
            <v>U4RM4PE</v>
          </cell>
          <cell r="B8392" t="str">
            <v>PW PC 24x7 1年 Store1540用</v>
          </cell>
          <cell r="C8392" t="str">
            <v>【HPEプロアクティブケア】メーカー推奨／低価格で国内専用窓口の高品質な保守により、システム運用における安心を提供します。</v>
          </cell>
        </row>
        <row r="8393">
          <cell r="A8393" t="str">
            <v>U4RM5PE</v>
          </cell>
          <cell r="B8393" t="str">
            <v>PW PC 24x7 DMR 1年 Store1540用</v>
          </cell>
          <cell r="C8393" t="str">
            <v>【HPEプロアクティブケア】メーカー推奨／低価格で国内専用窓口の高品質な保守により、システム運用における安心を提供します。</v>
          </cell>
        </row>
        <row r="8394">
          <cell r="A8394" t="str">
            <v>U4RU6PE</v>
          </cell>
          <cell r="B8394" t="str">
            <v>PW FC 9x5 1年 Store1840用</v>
          </cell>
          <cell r="C8394" t="str">
            <v>【ファウンデーションケア】</v>
          </cell>
        </row>
        <row r="8395">
          <cell r="A8395" t="str">
            <v>U4RU7PE</v>
          </cell>
          <cell r="B8395" t="str">
            <v>PW FC 9x5 DMR 1年 Store1840用</v>
          </cell>
          <cell r="C8395" t="str">
            <v>【ファウンデーションケア】</v>
          </cell>
        </row>
        <row r="8396">
          <cell r="A8396" t="str">
            <v>U4RV1PE</v>
          </cell>
          <cell r="B8396" t="str">
            <v>PW FC 24x7 1年 Store1840用</v>
          </cell>
          <cell r="C8396" t="str">
            <v>【ファウンデーションケア】</v>
          </cell>
        </row>
        <row r="8397">
          <cell r="A8397" t="str">
            <v>U4RV2PE</v>
          </cell>
          <cell r="B8397" t="str">
            <v>PW FC24x7DMR 1年 Store1840用</v>
          </cell>
          <cell r="C8397" t="str">
            <v>【ファウンデーションケア】</v>
          </cell>
        </row>
        <row r="8398">
          <cell r="A8398" t="str">
            <v>U4RV4PE</v>
          </cell>
          <cell r="B8398" t="str">
            <v>PW PC 24x7 1年 Store1840用</v>
          </cell>
          <cell r="C8398" t="str">
            <v>【HPEプロアクティブケア】メーカー推奨／低価格で国内専用窓口の高品質な保守により、システム運用における安心を提供します。</v>
          </cell>
        </row>
        <row r="8399">
          <cell r="A8399" t="str">
            <v>U4RV5PE</v>
          </cell>
          <cell r="B8399" t="str">
            <v>PW PC 24x7 DMR 1年 Store1840用</v>
          </cell>
          <cell r="C8399" t="str">
            <v>【HPEプロアクティブケア】メーカー推奨／低価格で国内専用窓口の高品質な保守により、システム運用における安心を提供します。</v>
          </cell>
        </row>
        <row r="8400">
          <cell r="A8400" t="str">
            <v>U4SC6PE</v>
          </cell>
          <cell r="B8400" t="str">
            <v>PW FC 9x5 1年 Stor3840sb用</v>
          </cell>
          <cell r="C8400" t="str">
            <v>【ファウンデーションケア】</v>
          </cell>
        </row>
        <row r="8401">
          <cell r="A8401" t="str">
            <v>U4SC7PE</v>
          </cell>
          <cell r="B8401" t="str">
            <v>PW FC 9x5 DMR 1年 Stor3840sb用</v>
          </cell>
          <cell r="C8401" t="str">
            <v>【ファウンデーションケア】</v>
          </cell>
        </row>
        <row r="8402">
          <cell r="A8402" t="str">
            <v>U4SD1PE</v>
          </cell>
          <cell r="B8402" t="str">
            <v>PW FC 24x7 1年 Stor3840sb用</v>
          </cell>
          <cell r="C8402" t="str">
            <v>【ファウンデーションケア】</v>
          </cell>
        </row>
        <row r="8403">
          <cell r="A8403" t="str">
            <v>U4SD2PE</v>
          </cell>
          <cell r="B8403" t="str">
            <v>PW FC24x7DMR 1年 Stor3840sb用</v>
          </cell>
          <cell r="C8403" t="str">
            <v>【ファウンデーションケア】</v>
          </cell>
        </row>
        <row r="8404">
          <cell r="A8404" t="str">
            <v>U4SD4PE</v>
          </cell>
          <cell r="B8404" t="str">
            <v>PW PC 24x7 1年 Stor3840sb用</v>
          </cell>
          <cell r="C8404" t="str">
            <v>【HPEプロアクティブケア】メーカー推奨／低価格で国内専用窓口の高品質な保守により、システム運用における安心を提供します。</v>
          </cell>
        </row>
        <row r="8405">
          <cell r="A8405" t="str">
            <v>U4SD5PE</v>
          </cell>
          <cell r="B8405" t="str">
            <v>PW PC 24x7 DMR 1年 Stor3840sb用</v>
          </cell>
          <cell r="C8405" t="str">
            <v>【HPEプロアクティブケア】メーカー推奨／低価格で国内専用窓口の高品質な保守により、システム運用における安心を提供します。</v>
          </cell>
        </row>
        <row r="8406">
          <cell r="A8406" t="str">
            <v>U4SL6PE</v>
          </cell>
          <cell r="B8406" t="str">
            <v>PW FC 9x5 1年 Store3840用</v>
          </cell>
          <cell r="C8406" t="str">
            <v>【ファウンデーションケア】</v>
          </cell>
        </row>
        <row r="8407">
          <cell r="A8407" t="str">
            <v>U4SL7PE</v>
          </cell>
          <cell r="B8407" t="str">
            <v>PW FC 9x5 DMR 1年 Store3840用</v>
          </cell>
          <cell r="C8407" t="str">
            <v>【ファウンデーションケア】</v>
          </cell>
        </row>
        <row r="8408">
          <cell r="A8408" t="str">
            <v>U4SM1PE</v>
          </cell>
          <cell r="B8408" t="str">
            <v>PW FC 24x7 1年 Store3840用</v>
          </cell>
          <cell r="C8408" t="str">
            <v>【ファウンデーションケア】</v>
          </cell>
        </row>
        <row r="8409">
          <cell r="A8409" t="str">
            <v>U4SM2PE</v>
          </cell>
          <cell r="B8409" t="str">
            <v>PW FC24x7DMR 1年 Store3840用</v>
          </cell>
          <cell r="C8409" t="str">
            <v>【ファウンデーションケア】</v>
          </cell>
        </row>
        <row r="8410">
          <cell r="A8410" t="str">
            <v>U4SM4PE</v>
          </cell>
          <cell r="B8410" t="str">
            <v>PW PC 24x7 1年 Store3840用</v>
          </cell>
          <cell r="C8410" t="str">
            <v>【HPEプロアクティブケア】メーカー推奨／低価格で国内専用窓口の高品質な保守により、システム運用における安心を提供します。</v>
          </cell>
        </row>
        <row r="8411">
          <cell r="A8411" t="str">
            <v>U4SM5PE</v>
          </cell>
          <cell r="B8411" t="str">
            <v>PW PC 24x7 DMR 1年 Store3840用</v>
          </cell>
          <cell r="C8411" t="str">
            <v>【HPEプロアクティブケア】メーカー推奨／低価格で国内専用窓口の高品質な保守により、システム運用における安心を提供します。</v>
          </cell>
        </row>
        <row r="8412">
          <cell r="A8412" t="str">
            <v>U4SX4E</v>
          </cell>
          <cell r="B8412" t="str">
            <v>FC 9x5 3年 SO4500 48TUpgrade</v>
          </cell>
          <cell r="C8412" t="str">
            <v>【ファウンデーションケア】</v>
          </cell>
        </row>
        <row r="8413">
          <cell r="A8413" t="str">
            <v>U4SX5E</v>
          </cell>
          <cell r="B8413" t="str">
            <v>FC 9x5 HD返却不要3年SO4500 48TUpgrade</v>
          </cell>
          <cell r="C8413" t="str">
            <v>【ファウンデーションケア】</v>
          </cell>
        </row>
        <row r="8414">
          <cell r="A8414" t="str">
            <v>U4SX9E</v>
          </cell>
          <cell r="B8414" t="str">
            <v>FC 24x7 3年 SO4500 48TUpgrade</v>
          </cell>
          <cell r="C8414" t="str">
            <v>【ファウンデーションケア】</v>
          </cell>
        </row>
        <row r="8415">
          <cell r="A8415" t="str">
            <v>U4SY0E</v>
          </cell>
          <cell r="B8415" t="str">
            <v>FC 24x7HD返却不要3年SO4500 48TUpgrade</v>
          </cell>
          <cell r="C8415" t="str">
            <v>【ファウンデーションケア】</v>
          </cell>
        </row>
        <row r="8416">
          <cell r="A8416" t="str">
            <v>U4SY2E</v>
          </cell>
          <cell r="B8416" t="str">
            <v>ProCare 24x7 3年 SO4500 48TUpgrade</v>
          </cell>
          <cell r="C8416" t="str">
            <v>【HPEプロアクティブケア】メーカー推奨／低価格で国内専用窓口の高品質な保守により、システム運用における安心を提供します。</v>
          </cell>
        </row>
        <row r="8417">
          <cell r="A8417" t="str">
            <v>U4SY3E</v>
          </cell>
          <cell r="B8417" t="str">
            <v>ProCareHD返却不24x7 3年SO4500 48TUpgrade</v>
          </cell>
          <cell r="C8417" t="str">
            <v>【HPEプロアクティブケア】メーカー推奨／低価格で国内専用窓口の高品質な保守により、システム運用における安心を提供します。</v>
          </cell>
        </row>
        <row r="8418">
          <cell r="A8418" t="str">
            <v>U4SZ4E</v>
          </cell>
          <cell r="B8418" t="str">
            <v>FC 9x5 4年 SO4500 48TUpgrade</v>
          </cell>
          <cell r="C8418" t="str">
            <v>【ファウンデーションケア】</v>
          </cell>
        </row>
        <row r="8419">
          <cell r="A8419" t="str">
            <v>U4SZ5E</v>
          </cell>
          <cell r="B8419" t="str">
            <v>FC 9x5 HD返却不要4年SO4500 48TUpgrade</v>
          </cell>
          <cell r="C8419" t="str">
            <v>【ファウンデーションケア】</v>
          </cell>
        </row>
        <row r="8420">
          <cell r="A8420" t="str">
            <v>U4SZ9E</v>
          </cell>
          <cell r="B8420" t="str">
            <v>FC 24x7 4年 SO4500 48TUpgrade</v>
          </cell>
          <cell r="C8420" t="str">
            <v>【ファウンデーションケア】</v>
          </cell>
        </row>
        <row r="8421">
          <cell r="A8421" t="str">
            <v>U4TA0E</v>
          </cell>
          <cell r="B8421" t="str">
            <v>FC 24x7HD返却不要4年SO4500 48TUpgrade</v>
          </cell>
          <cell r="C8421" t="str">
            <v>【ファウンデーションケア】</v>
          </cell>
        </row>
        <row r="8422">
          <cell r="A8422" t="str">
            <v>U4TA2E</v>
          </cell>
          <cell r="B8422" t="str">
            <v>ProCare 24x7 4年 SO4500 48TUpgrade</v>
          </cell>
          <cell r="C8422" t="str">
            <v>【HPEプロアクティブケア】メーカー推奨／低価格で国内専用窓口の高品質な保守により、システム運用における安心を提供します。</v>
          </cell>
        </row>
        <row r="8423">
          <cell r="A8423" t="str">
            <v>U4TA3E</v>
          </cell>
          <cell r="B8423" t="str">
            <v>ProCareHD返却不24x7 4年SO4500 48TUpgrade</v>
          </cell>
          <cell r="C8423" t="str">
            <v>【HPEプロアクティブケア】メーカー推奨／低価格で国内専用窓口の高品質な保守により、システム運用における安心を提供します。</v>
          </cell>
        </row>
        <row r="8424">
          <cell r="A8424" t="str">
            <v>U4TB4E</v>
          </cell>
          <cell r="B8424" t="str">
            <v>FC 9x5 5年 SO4500 48TUpgrade</v>
          </cell>
          <cell r="C8424" t="str">
            <v>【ファウンデーションケア】</v>
          </cell>
        </row>
        <row r="8425">
          <cell r="A8425" t="str">
            <v>U4TB5E</v>
          </cell>
          <cell r="B8425" t="str">
            <v>FC 9x5 HD返却不要5年SO4500 48TUpgrade</v>
          </cell>
          <cell r="C8425" t="str">
            <v>【ファウンデーションケア】</v>
          </cell>
        </row>
        <row r="8426">
          <cell r="A8426" t="str">
            <v>U4TB9E</v>
          </cell>
          <cell r="B8426" t="str">
            <v>FC 24x7 5年 SO4500 48TUpgrade</v>
          </cell>
          <cell r="C8426" t="str">
            <v>【ファウンデーションケア】</v>
          </cell>
        </row>
        <row r="8427">
          <cell r="A8427" t="str">
            <v>U4TC0E</v>
          </cell>
          <cell r="B8427" t="str">
            <v>FC 24x7HD返却不要5年SO4500 48TUpgrade</v>
          </cell>
          <cell r="C8427" t="str">
            <v>【ファウンデーションケア】</v>
          </cell>
        </row>
        <row r="8428">
          <cell r="A8428" t="str">
            <v>U4TC2E</v>
          </cell>
          <cell r="B8428" t="str">
            <v>ProCare 24x7 5年 SO4500 48TUpgrade</v>
          </cell>
          <cell r="C8428" t="str">
            <v>【HPEプロアクティブケア】メーカー推奨／低価格で国内専用窓口の高品質な保守により、システム運用における安心を提供します。</v>
          </cell>
        </row>
        <row r="8429">
          <cell r="A8429" t="str">
            <v>U4TC3E</v>
          </cell>
          <cell r="B8429" t="str">
            <v>ProCareHD返却不24x7 5年SO4500 48TUpgrade</v>
          </cell>
          <cell r="C8429" t="str">
            <v>【HPEプロアクティブケア】メーカー推奨／低価格で国内専用窓口の高品質な保守により、システム運用における安心を提供します。</v>
          </cell>
        </row>
        <row r="8430">
          <cell r="A8430" t="str">
            <v>U4TD4PE</v>
          </cell>
          <cell r="B8430" t="str">
            <v>PW FC 9x5 1年 4500 48TB Upgrade用</v>
          </cell>
          <cell r="C8430" t="str">
            <v>【ファウンデーションケア】</v>
          </cell>
        </row>
        <row r="8431">
          <cell r="A8431" t="str">
            <v>U4TD5PE</v>
          </cell>
          <cell r="B8431" t="str">
            <v>PW FC 9x5 DMR 1年 4500 48TB Upgrade用</v>
          </cell>
          <cell r="C8431" t="str">
            <v>【ファウンデーションケア】</v>
          </cell>
        </row>
        <row r="8432">
          <cell r="A8432" t="str">
            <v>U4TD9PE</v>
          </cell>
          <cell r="B8432" t="str">
            <v>PW FC24x7 1年 4500 48TB Upgrade用</v>
          </cell>
          <cell r="C8432" t="str">
            <v>【ファウンデーションケア】</v>
          </cell>
        </row>
        <row r="8433">
          <cell r="A8433" t="str">
            <v>U4TE0PE</v>
          </cell>
          <cell r="B8433" t="str">
            <v>PW FC 24x7DMR 1年 4500 48TB Upgrade用</v>
          </cell>
          <cell r="C8433" t="str">
            <v>【ファウンデーションケア】</v>
          </cell>
        </row>
        <row r="8434">
          <cell r="A8434" t="str">
            <v>U4TE2PE</v>
          </cell>
          <cell r="B8434" t="str">
            <v>PW PC 24x7 1年 4500 48TB Upgrade用</v>
          </cell>
          <cell r="C8434" t="str">
            <v>【HPEプロアクティブケア】メーカー推奨／低価格で国内専用窓口の高品質な保守により、システム運用における安心を提供します。</v>
          </cell>
        </row>
        <row r="8435">
          <cell r="A8435" t="str">
            <v>U4TE3PE</v>
          </cell>
          <cell r="B8435" t="str">
            <v>PW PC 24x7 DMR 1年 4500 48TB Upgrade用</v>
          </cell>
          <cell r="C8435" t="str">
            <v>【HPEプロアクティブケア】メーカー推奨／低価格で国内専用窓口の高品質な保守により、システム運用における安心を提供します。</v>
          </cell>
        </row>
        <row r="8436">
          <cell r="A8436" t="str">
            <v>U4WK8E</v>
          </cell>
          <cell r="B8436" t="str">
            <v>FC9x5 3年 D2200sb用</v>
          </cell>
          <cell r="C8436" t="str">
            <v>【ファウンデーションケア】</v>
          </cell>
        </row>
        <row r="8437">
          <cell r="A8437" t="str">
            <v>U4WL4E</v>
          </cell>
          <cell r="B8437" t="str">
            <v>FC9x5 HD返却不要 3年 D2200sb用</v>
          </cell>
          <cell r="C8437" t="str">
            <v>【ファウンデーションケア】</v>
          </cell>
        </row>
        <row r="8438">
          <cell r="A8438" t="str">
            <v>U4WM2E</v>
          </cell>
          <cell r="B8438" t="str">
            <v>FC9x5 4年 D2200sb用</v>
          </cell>
          <cell r="C8438" t="str">
            <v>【ファウンデーションケア】</v>
          </cell>
        </row>
        <row r="8439">
          <cell r="A8439" t="str">
            <v>U4WN7E</v>
          </cell>
          <cell r="B8439" t="str">
            <v>FC9x5 5年 D2200sb用</v>
          </cell>
          <cell r="C8439" t="str">
            <v>【ファウンデーションケア】</v>
          </cell>
        </row>
        <row r="8440">
          <cell r="A8440" t="str">
            <v>U4WP3E</v>
          </cell>
          <cell r="B8440" t="str">
            <v>FC9x5 HD返却不要 5年 D2000用</v>
          </cell>
          <cell r="C8440" t="str">
            <v>【ファウンデーションケア】</v>
          </cell>
        </row>
        <row r="8441">
          <cell r="A8441" t="str">
            <v>U4WP4E</v>
          </cell>
          <cell r="B8441" t="str">
            <v>FC9x5 HD返却不要 5年 D2200sb用</v>
          </cell>
          <cell r="C8441" t="str">
            <v>【ファウンデーションケア】</v>
          </cell>
        </row>
        <row r="8442">
          <cell r="A8442" t="str">
            <v>U4WQ0PE</v>
          </cell>
          <cell r="B8442" t="str">
            <v>HPE PW FC9x5 1年 MDS 8/12c+8/24c ｽｲｯﾁ用</v>
          </cell>
          <cell r="C8442" t="str">
            <v>【ファウンデーションケア】</v>
          </cell>
        </row>
        <row r="8443">
          <cell r="A8443" t="str">
            <v>U4WQ1PE</v>
          </cell>
          <cell r="B8443" t="str">
            <v>PW FC 9x5 1年 D2200sb用</v>
          </cell>
          <cell r="C8443" t="str">
            <v>【ファウンデーションケア】</v>
          </cell>
        </row>
        <row r="8444">
          <cell r="A8444" t="str">
            <v>U4WQ2PE</v>
          </cell>
          <cell r="B8444" t="str">
            <v>HPE PW FC9x5 1年 D2200sb Bndl SAAP用</v>
          </cell>
          <cell r="C8444" t="str">
            <v>【ファウンデーションケア】</v>
          </cell>
        </row>
        <row r="8445">
          <cell r="A8445" t="str">
            <v>U4WQ4PE</v>
          </cell>
          <cell r="B8445" t="str">
            <v>PW FC 9x5 1年EVA4400 450G/1TBHDD(New)</v>
          </cell>
          <cell r="C8445" t="str">
            <v>【ファウンデーションケア】</v>
          </cell>
        </row>
        <row r="8446">
          <cell r="A8446" t="str">
            <v>U4WQ6PE</v>
          </cell>
          <cell r="B8446" t="str">
            <v>PW FC 9x5 HD返却不要 1年 D2200sb用</v>
          </cell>
          <cell r="C8446" t="str">
            <v>【ファウンデーションケア】</v>
          </cell>
        </row>
        <row r="8447">
          <cell r="A8447" t="str">
            <v>U4WQ7PE</v>
          </cell>
          <cell r="B8447" t="str">
            <v>HPE PW FC9x5DMR 1年 D2200sb Bndl SAAP用</v>
          </cell>
          <cell r="C8447" t="str">
            <v>【ファウンデーションケア】</v>
          </cell>
        </row>
        <row r="8448">
          <cell r="A8448" t="str">
            <v>U4WW7PE</v>
          </cell>
          <cell r="B8448" t="str">
            <v>PW FC 24x7 HD返却不要 1年 MDS600用</v>
          </cell>
          <cell r="C8448" t="str">
            <v>【ファウンデーションケア】</v>
          </cell>
        </row>
        <row r="8449">
          <cell r="A8449" t="str">
            <v>U4XA3PE</v>
          </cell>
          <cell r="B8449" t="str">
            <v>HPE PW FC24x7 1年 P6000 ｴﾝｸﾛｰｼﾞｬｰ用</v>
          </cell>
          <cell r="C8449" t="str">
            <v>【ファウンデーションケア】</v>
          </cell>
        </row>
        <row r="8450">
          <cell r="A8450" t="str">
            <v>U4XA5PE</v>
          </cell>
          <cell r="B8450" t="str">
            <v>HPE PW FC24x7 1年 MDS 8/12c+8/24c ｽｲｯﾁ用</v>
          </cell>
          <cell r="C8450" t="str">
            <v>【ファウンデーションケア】</v>
          </cell>
        </row>
        <row r="8451">
          <cell r="A8451" t="str">
            <v>U4XB0PE</v>
          </cell>
          <cell r="B8451" t="str">
            <v>HPE PW FC24x7 1年 D2200sb Bndl SAAP用</v>
          </cell>
          <cell r="C8451" t="str">
            <v>【ファウンデーションケア】</v>
          </cell>
        </row>
        <row r="8452">
          <cell r="A8452" t="str">
            <v>U4XB9PE</v>
          </cell>
          <cell r="B8452" t="str">
            <v>PW FC 24x7 HD返却不要 1年 D2200sb用</v>
          </cell>
          <cell r="C8452" t="str">
            <v>【ファウンデーションケア】</v>
          </cell>
        </row>
        <row r="8453">
          <cell r="A8453" t="str">
            <v>U4XC0PE</v>
          </cell>
          <cell r="B8453" t="str">
            <v>HPE PW FC24x7DMR 1年 D2200sb Bndl SAAP用</v>
          </cell>
          <cell r="C8453" t="str">
            <v>【ファウンデーションケア】</v>
          </cell>
        </row>
        <row r="8454">
          <cell r="A8454" t="str">
            <v>U4YK5E</v>
          </cell>
          <cell r="B8454" t="str">
            <v>FC24x7 3年 D2200sb用</v>
          </cell>
          <cell r="C8454" t="str">
            <v>【ファウンデーションケア】</v>
          </cell>
        </row>
        <row r="8455">
          <cell r="A8455" t="str">
            <v>U4YL8E</v>
          </cell>
          <cell r="B8455" t="str">
            <v>FC24x7 4年 D2200sb用</v>
          </cell>
          <cell r="C8455" t="str">
            <v>【ファウンデーションケア】</v>
          </cell>
        </row>
        <row r="8456">
          <cell r="A8456" t="str">
            <v>U4YN1E</v>
          </cell>
          <cell r="B8456" t="str">
            <v>FC24x7 5年 D2200sb用</v>
          </cell>
          <cell r="C8456" t="str">
            <v>【ファウンデーションケア】</v>
          </cell>
        </row>
        <row r="8457">
          <cell r="A8457" t="str">
            <v>U4YP5E</v>
          </cell>
          <cell r="B8457" t="str">
            <v>FC24x7 HD返却不要 3年 D2200sb用</v>
          </cell>
          <cell r="C8457" t="str">
            <v>【ファウンデーションケア】</v>
          </cell>
        </row>
        <row r="8458">
          <cell r="A8458" t="str">
            <v>U4YU1E</v>
          </cell>
          <cell r="B8458" t="str">
            <v>FC24x7 HD返却不要 5年 D2200sb用</v>
          </cell>
          <cell r="C8458" t="str">
            <v>【ファウンデーションケア】</v>
          </cell>
        </row>
        <row r="8459">
          <cell r="A8459" t="str">
            <v>U5AP2PE</v>
          </cell>
          <cell r="B8459" t="str">
            <v>PW FC 9x5 1年 DAT 72x10オートローダー</v>
          </cell>
          <cell r="C8459" t="str">
            <v>【ファウンデーションケア】</v>
          </cell>
        </row>
        <row r="8460">
          <cell r="A8460" t="str">
            <v>U5AP3PE</v>
          </cell>
          <cell r="B8460" t="str">
            <v>PW FC 24x7 1年 DAT 72x10オートローダー</v>
          </cell>
          <cell r="C8460" t="str">
            <v>【ファウンデーションケア】</v>
          </cell>
        </row>
        <row r="8461">
          <cell r="A8461" t="str">
            <v>U5AP9PE</v>
          </cell>
          <cell r="B8461" t="str">
            <v>PW FC 9x5 1年 MSL6060用</v>
          </cell>
          <cell r="C8461" t="str">
            <v>【ファウンデーションケア】</v>
          </cell>
        </row>
        <row r="8462">
          <cell r="A8462" t="str">
            <v>U5AQ0PE</v>
          </cell>
          <cell r="B8462" t="str">
            <v>PW FC 24x7 1年 MSL6060用</v>
          </cell>
          <cell r="C8462" t="str">
            <v>【ファウンデーションケア】</v>
          </cell>
        </row>
        <row r="8463">
          <cell r="A8463" t="str">
            <v>U5BF3PE</v>
          </cell>
          <cell r="B8463" t="str">
            <v>HPE PW FC9x5DMR 1年 P6000 EVA HDD用</v>
          </cell>
          <cell r="C8463" t="str">
            <v>【ファウンデーションケア】</v>
          </cell>
        </row>
        <row r="8464">
          <cell r="A8464" t="str">
            <v>U5BK5PE</v>
          </cell>
          <cell r="B8464" t="str">
            <v>PW FC 9x5 HD返却不要 1年 MDS600用</v>
          </cell>
          <cell r="C8464" t="str">
            <v>【ファウンデーションケア】</v>
          </cell>
        </row>
        <row r="8465">
          <cell r="A8465" t="str">
            <v>U5BS8PE</v>
          </cell>
          <cell r="B8465" t="str">
            <v>PW FC 翌日 1年 BLc SB40c用</v>
          </cell>
          <cell r="C8465" t="str">
            <v>【ファウンデーションケア】</v>
          </cell>
        </row>
        <row r="8466">
          <cell r="A8466" t="str">
            <v>U5BY1PE</v>
          </cell>
          <cell r="B8466" t="str">
            <v>PW FC 24x7 1年 D2200sb用</v>
          </cell>
          <cell r="C8466" t="str">
            <v>【ファウンデーションケア】</v>
          </cell>
        </row>
        <row r="8467">
          <cell r="A8467" t="str">
            <v>U5BZ1PE</v>
          </cell>
          <cell r="B8467" t="str">
            <v>PW FC 24x7 1年 BLc SB40c用</v>
          </cell>
          <cell r="C8467" t="str">
            <v>【ファウンデーションケア】</v>
          </cell>
        </row>
        <row r="8468">
          <cell r="A8468" t="str">
            <v>U5BZ6PE</v>
          </cell>
          <cell r="B8468" t="str">
            <v>PW FC 24x7 1年 EVA4400 エンクロ(Old)</v>
          </cell>
          <cell r="C8468" t="str">
            <v>【ファウンデーションケア】</v>
          </cell>
        </row>
        <row r="8469">
          <cell r="A8469" t="str">
            <v>U5BZ8PE</v>
          </cell>
          <cell r="B8469" t="str">
            <v>PW FC 24x7 1年 EVA4400用(Old)</v>
          </cell>
          <cell r="C8469" t="str">
            <v>【ファウンデーションケア】</v>
          </cell>
        </row>
        <row r="8470">
          <cell r="A8470" t="str">
            <v>U5BZ9PE</v>
          </cell>
          <cell r="B8470" t="str">
            <v>PW FC24x7 1年 IOアクセラレータ用</v>
          </cell>
          <cell r="C8470" t="str">
            <v>【ファウンデーションケア】</v>
          </cell>
        </row>
        <row r="8471">
          <cell r="A8471" t="str">
            <v>U5CB2PE</v>
          </cell>
          <cell r="B8471" t="str">
            <v>PW FC 24x7 HD返却不要 1年 BLc SB40c用</v>
          </cell>
          <cell r="C8471" t="str">
            <v>【ファウンデーションケア】</v>
          </cell>
        </row>
        <row r="8472">
          <cell r="A8472" t="str">
            <v>U5CH3PE</v>
          </cell>
          <cell r="B8472" t="str">
            <v>PW FC 9x5 1年 BLc SB40c用</v>
          </cell>
          <cell r="C8472" t="str">
            <v>【ファウンデーションケア】</v>
          </cell>
        </row>
        <row r="8473">
          <cell r="A8473" t="str">
            <v>U5CH8PE</v>
          </cell>
          <cell r="B8473" t="str">
            <v>PW FC 9x51年 EVA4400 エンクロ(Old)</v>
          </cell>
          <cell r="C8473" t="str">
            <v>【ファウンデーションケア】</v>
          </cell>
        </row>
        <row r="8474">
          <cell r="A8474" t="str">
            <v>U5CH9PE</v>
          </cell>
          <cell r="B8474" t="str">
            <v>PW FC 9x5 1年 EVA4400用(New)</v>
          </cell>
          <cell r="C8474" t="str">
            <v>【ファウンデーションケア】</v>
          </cell>
        </row>
        <row r="8475">
          <cell r="A8475" t="str">
            <v>U5CJ0PE</v>
          </cell>
          <cell r="B8475" t="str">
            <v>PW FC9x5 1年 EVA4400用(Old)</v>
          </cell>
          <cell r="C8475" t="str">
            <v>【ファウンデーションケア】</v>
          </cell>
        </row>
        <row r="8476">
          <cell r="A8476" t="str">
            <v>U5CJ1PE</v>
          </cell>
          <cell r="B8476" t="str">
            <v>PW FC 9x5 1年 IOアクセラレータ用</v>
          </cell>
          <cell r="C8476" t="str">
            <v>【ファウンデーションケア】</v>
          </cell>
        </row>
        <row r="8477">
          <cell r="A8477" t="str">
            <v>U5CK4PE</v>
          </cell>
          <cell r="B8477" t="str">
            <v>PW FC 9x5 HD返却不要 1年 BLc SB40c用</v>
          </cell>
          <cell r="C8477" t="str">
            <v>【ファウンデーションケア】</v>
          </cell>
        </row>
        <row r="8478">
          <cell r="A8478" t="str">
            <v>U6NR5PE</v>
          </cell>
          <cell r="B8478" t="str">
            <v>PW FC 24x7 1年EVA4400 146-400GHD(New)</v>
          </cell>
          <cell r="C8478" t="str">
            <v>【ファウンデーションケア】</v>
          </cell>
        </row>
        <row r="8479">
          <cell r="A8479" t="str">
            <v>U6NS6PE</v>
          </cell>
          <cell r="B8479" t="str">
            <v>PW FC 24x7 1年EVA4400 450G/1TBHD(New)</v>
          </cell>
          <cell r="C8479" t="str">
            <v>【ファウンデーションケア】</v>
          </cell>
        </row>
        <row r="8480">
          <cell r="A8480" t="str">
            <v>U6NT7PE</v>
          </cell>
          <cell r="B8480" t="str">
            <v>PW FC 24x7 1年EVA4400 146-400GHD(Old)</v>
          </cell>
          <cell r="C8480" t="str">
            <v>【ファウンデーションケア】</v>
          </cell>
        </row>
        <row r="8481">
          <cell r="A8481" t="str">
            <v>U6NU8PE</v>
          </cell>
          <cell r="B8481" t="str">
            <v>PW FC 24x7 1年 EVA4400 450G/1TBHD(Old)</v>
          </cell>
          <cell r="C8481" t="str">
            <v>【ファウンデーションケア】</v>
          </cell>
        </row>
        <row r="8482">
          <cell r="A8482" t="str">
            <v>U6WL2PE</v>
          </cell>
          <cell r="B8482" t="str">
            <v>PW FC 9x5 1年EVA4400 146-400GHDD(New)</v>
          </cell>
          <cell r="C8482" t="str">
            <v>【ファウンデーションケア】</v>
          </cell>
        </row>
        <row r="8483">
          <cell r="A8483" t="str">
            <v>U6WL3PE</v>
          </cell>
          <cell r="B8483" t="str">
            <v>PW FC 9x51年EVA4400 146-400GHDD(Old)</v>
          </cell>
          <cell r="C8483" t="str">
            <v>【ファウンデーションケア】</v>
          </cell>
        </row>
        <row r="8484">
          <cell r="A8484" t="str">
            <v>U6WL4PE</v>
          </cell>
          <cell r="B8484" t="str">
            <v>PW FC 9x5 1年 EVA4400 450G/1TBHDD(Old)</v>
          </cell>
          <cell r="C8484" t="str">
            <v>【ファウンデーションケア】</v>
          </cell>
        </row>
        <row r="8485">
          <cell r="A8485" t="str">
            <v>U6WL7PE</v>
          </cell>
          <cell r="B8485" t="str">
            <v>PW FC 9x5 1年EVA4400 エンクロ(New)</v>
          </cell>
          <cell r="C8485" t="str">
            <v>【ファウンデーションケア】</v>
          </cell>
        </row>
        <row r="8486">
          <cell r="A8486" t="str">
            <v>U6WM3PE</v>
          </cell>
          <cell r="B8486" t="str">
            <v>PW FC 9x5 1年 Ext RDX用</v>
          </cell>
          <cell r="C8486" t="str">
            <v>【ファウンデーションケア】</v>
          </cell>
        </row>
        <row r="8487">
          <cell r="A8487" t="str">
            <v>U6WM4PE</v>
          </cell>
          <cell r="B8487" t="str">
            <v>HPE PW FC9x5 1年 P6000 EVA HDD用</v>
          </cell>
          <cell r="C8487" t="str">
            <v>【ファウンデーションケア】</v>
          </cell>
        </row>
        <row r="8488">
          <cell r="A8488" t="str">
            <v>U7MN5E</v>
          </cell>
          <cell r="B8488" t="str">
            <v>FC 9x5 3年 MSA2040 Flash Bndl用</v>
          </cell>
          <cell r="C8488" t="str">
            <v>【ファウンデーションケア】</v>
          </cell>
        </row>
        <row r="8489">
          <cell r="A8489" t="str">
            <v>U7MN6E</v>
          </cell>
          <cell r="B8489" t="str">
            <v>FC9x5HD返不 3年 MSA2040 Flash Bndl用</v>
          </cell>
          <cell r="C8489" t="str">
            <v>【ファウンデーションケア】</v>
          </cell>
        </row>
        <row r="8490">
          <cell r="A8490" t="str">
            <v>U7MP3E</v>
          </cell>
          <cell r="B8490" t="str">
            <v>FC 24x7 3年 MSA2040 Flash Bndl用</v>
          </cell>
          <cell r="C8490" t="str">
            <v>【ファウンデーションケア】</v>
          </cell>
        </row>
        <row r="8491">
          <cell r="A8491" t="str">
            <v>U7MP4E</v>
          </cell>
          <cell r="B8491" t="str">
            <v>FC24x7HD返不 3年 MSA2040 Flash Bndl用</v>
          </cell>
          <cell r="C8491" t="str">
            <v>【ファウンデーションケア】</v>
          </cell>
        </row>
        <row r="8492">
          <cell r="A8492" t="str">
            <v>U7MP6E</v>
          </cell>
          <cell r="B8492" t="str">
            <v>ProCare 24x7 3年 MSA2040 Flash Bndl用</v>
          </cell>
          <cell r="C8492" t="str">
            <v>【HPEプロアクティブケア】メーカー推奨／低価格で国内専用窓口の高品質な保守により、システム運用における安心を提供します。</v>
          </cell>
        </row>
        <row r="8493">
          <cell r="A8493" t="str">
            <v>U7MP7E</v>
          </cell>
          <cell r="B8493" t="str">
            <v>ProC HD返不24x7 3年 MSA2040 Flash Bndl用</v>
          </cell>
          <cell r="C8493" t="str">
            <v>【HPEプロアクティブケア】メーカー推奨／低価格で国内専用窓口の高品質な保守により、システム運用における安心を提供します。</v>
          </cell>
        </row>
        <row r="8494">
          <cell r="A8494" t="str">
            <v>U7MR4E</v>
          </cell>
          <cell r="B8494" t="str">
            <v>FC 9x5 4年 MSA2040 Flash Bndl用</v>
          </cell>
          <cell r="C8494" t="str">
            <v>【ファウンデーションケア】</v>
          </cell>
        </row>
        <row r="8495">
          <cell r="A8495" t="str">
            <v>U7MR5E</v>
          </cell>
          <cell r="B8495" t="str">
            <v>FC9x5HD返不 4年 MSA2040 Flash Bndl用</v>
          </cell>
          <cell r="C8495" t="str">
            <v>【ファウンデーションケア】</v>
          </cell>
        </row>
        <row r="8496">
          <cell r="A8496" t="str">
            <v>U7MS2E</v>
          </cell>
          <cell r="B8496" t="str">
            <v>FC 24x7 4年 MSA2040 Flash Bndl用</v>
          </cell>
          <cell r="C8496" t="str">
            <v>【ファウンデーションケア】</v>
          </cell>
        </row>
        <row r="8497">
          <cell r="A8497" t="str">
            <v>U7MS3E</v>
          </cell>
          <cell r="B8497" t="str">
            <v>FC24x7HD返不 4年 MSA2040 Flash Bndl用</v>
          </cell>
          <cell r="C8497" t="str">
            <v>【ファウンデーションケア】</v>
          </cell>
        </row>
        <row r="8498">
          <cell r="A8498" t="str">
            <v>U7MS5E</v>
          </cell>
          <cell r="B8498" t="str">
            <v>ProCare 24x7 4年 MSA2040 Flash Bndl用</v>
          </cell>
          <cell r="C8498" t="str">
            <v>【HPEプロアクティブケア】メーカー推奨／低価格で国内専用窓口の高品質な保守により、システム運用における安心を提供します。</v>
          </cell>
        </row>
        <row r="8499">
          <cell r="A8499" t="str">
            <v>U7MS6E</v>
          </cell>
          <cell r="B8499" t="str">
            <v>ProC HD返不24x7 4年 MSA2040 Flash Bndl用</v>
          </cell>
          <cell r="C8499" t="str">
            <v>【HPEプロアクティブケア】メーカー推奨／低価格で国内専用窓口の高品質な保守により、システム運用における安心を提供します。</v>
          </cell>
        </row>
        <row r="8500">
          <cell r="A8500" t="str">
            <v>U7MU3E</v>
          </cell>
          <cell r="B8500" t="str">
            <v>FC 9x5 5年 MSA2040 Flash Bndl用</v>
          </cell>
          <cell r="C8500" t="str">
            <v>【ファウンデーションケア】</v>
          </cell>
        </row>
        <row r="8501">
          <cell r="A8501" t="str">
            <v>U7MU4E</v>
          </cell>
          <cell r="B8501" t="str">
            <v>FC9x5HD返不 5年 MSA2040 Flash Bndl用</v>
          </cell>
          <cell r="C8501" t="str">
            <v>【ファウンデーションケア】</v>
          </cell>
        </row>
        <row r="8502">
          <cell r="A8502" t="str">
            <v>U7MV1E</v>
          </cell>
          <cell r="B8502" t="str">
            <v>FC 24x7 5年 MSA2040 Flash Bndl用</v>
          </cell>
          <cell r="C8502" t="str">
            <v>【ファウンデーションケア】</v>
          </cell>
        </row>
        <row r="8503">
          <cell r="A8503" t="str">
            <v>U7MV2E</v>
          </cell>
          <cell r="B8503" t="str">
            <v>FC24x7HD返不 5年 MSA2040 Flash Bndl用</v>
          </cell>
          <cell r="C8503" t="str">
            <v>【ファウンデーションケア】</v>
          </cell>
        </row>
        <row r="8504">
          <cell r="A8504" t="str">
            <v>U7MV4E</v>
          </cell>
          <cell r="B8504" t="str">
            <v>ProCare 24x7 5年 MSA2040 Flash Bndl用</v>
          </cell>
          <cell r="C8504" t="str">
            <v>【HPEプロアクティブケア】メーカー推奨／低価格で国内専用窓口の高品質な保守により、システム運用における安心を提供します。</v>
          </cell>
        </row>
        <row r="8505">
          <cell r="A8505" t="str">
            <v>U7MV5E</v>
          </cell>
          <cell r="B8505" t="str">
            <v>ProC HD返不24x7 5年 MSA2040 Flash Bndl用</v>
          </cell>
          <cell r="C8505" t="str">
            <v>【HPEプロアクティブケア】メーカー推奨／低価格で国内専用窓口の高品質な保守により、システム運用における安心を提供します。</v>
          </cell>
        </row>
        <row r="8506">
          <cell r="A8506" t="str">
            <v>U7X46E</v>
          </cell>
          <cell r="B8506" t="str">
            <v>ProCare 24x7 3年 StoreVirtual 41XX/43XX</v>
          </cell>
          <cell r="C8506" t="str">
            <v>【HPEプロアクティブケア】メーカー推奨／低価格で国内専用窓口の高品質な保守により、システム運用における安心を提供します。</v>
          </cell>
        </row>
        <row r="8507">
          <cell r="A8507" t="str">
            <v>U7X47E</v>
          </cell>
          <cell r="B8507" t="str">
            <v>ProCareHD返却不24x7 3年StorVirt41XX/43XX</v>
          </cell>
          <cell r="C8507" t="str">
            <v>【HPEプロアクティブケア】メーカー推奨／低価格で国内専用窓口の高品質な保守により、システム運用における安心を提供します。</v>
          </cell>
        </row>
        <row r="8508">
          <cell r="A8508" t="str">
            <v>U7X62E</v>
          </cell>
          <cell r="B8508" t="str">
            <v>ProCare 24x7 4年 StoreVirtual 41XX/43XX</v>
          </cell>
          <cell r="C8508" t="str">
            <v>【HPEプロアクティブケア】メーカー推奨／低価格で国内専用窓口の高品質な保守により、システム運用における安心を提供します。</v>
          </cell>
        </row>
        <row r="8509">
          <cell r="A8509" t="str">
            <v>U7X63E</v>
          </cell>
          <cell r="B8509" t="str">
            <v>ProCareHD返却不24x7 4年StorVirt41XX/43XX</v>
          </cell>
          <cell r="C8509" t="str">
            <v>【HPEプロアクティブケア】メーカー推奨／低価格で国内専用窓口の高品質な保守により、システム運用における安心を提供します。</v>
          </cell>
        </row>
        <row r="8510">
          <cell r="A8510" t="str">
            <v>U7X78E</v>
          </cell>
          <cell r="B8510" t="str">
            <v>ProCare 24x7 5年 StoreVirtual 41XX/43XX</v>
          </cell>
          <cell r="C8510" t="str">
            <v>【HPEプロアクティブケア】メーカー推奨／低価格で国内専用窓口の高品質な保守により、システム運用における安心を提供します。</v>
          </cell>
        </row>
        <row r="8511">
          <cell r="A8511" t="str">
            <v>U7X79E</v>
          </cell>
          <cell r="B8511" t="str">
            <v>ProCareHD返却不24x7 5年StorVirt41XX/43XX</v>
          </cell>
          <cell r="C8511" t="str">
            <v>【HPEプロアクティブケア】メーカー推奨／低価格で国内専用窓口の高品質な保守により、システム運用における安心を提供します。</v>
          </cell>
        </row>
        <row r="8512">
          <cell r="A8512" t="str">
            <v>U8A62E</v>
          </cell>
          <cell r="B8512" t="str">
            <v>ProCare 24x7 3年 StoreVirtual 45/46/47XX</v>
          </cell>
          <cell r="C8512" t="str">
            <v>【HPEプロアクティブケア】メーカー推奨／低価格で国内専用窓口の高品質な保守により、システム運用における安心を提供します。</v>
          </cell>
        </row>
        <row r="8513">
          <cell r="A8513" t="str">
            <v>U8A63E</v>
          </cell>
          <cell r="B8513" t="str">
            <v>ProCareHD返却不24x7 3年StorVir45/46/47XX</v>
          </cell>
          <cell r="C8513" t="str">
            <v>【HPEプロアクティブケア】メーカー推奨／低価格で国内専用窓口の高品質な保守により、システム運用における安心を提供します。</v>
          </cell>
        </row>
        <row r="8514">
          <cell r="A8514" t="str">
            <v>U8A72E</v>
          </cell>
          <cell r="B8514" t="str">
            <v>ProCare 24x7 4年 StoreVirtual 45/46/47XX</v>
          </cell>
          <cell r="C8514" t="str">
            <v>【HPEプロアクティブケア】メーカー推奨／低価格で国内専用窓口の高品質な保守により、システム運用における安心を提供します。</v>
          </cell>
        </row>
        <row r="8515">
          <cell r="A8515" t="str">
            <v>U8A73E</v>
          </cell>
          <cell r="B8515" t="str">
            <v>ProCareHD返却不24x7 4年StorVir45/46/47XX</v>
          </cell>
          <cell r="C8515" t="str">
            <v>【HPEプロアクティブケア】メーカー推奨／低価格で国内専用窓口の高品質な保守により、システム運用における安心を提供します。</v>
          </cell>
        </row>
        <row r="8516">
          <cell r="A8516" t="str">
            <v>U8A82E</v>
          </cell>
          <cell r="B8516" t="str">
            <v>ProCare 24x7 5年 StoreVirtual 45/46/47XX</v>
          </cell>
          <cell r="C8516" t="str">
            <v>【HPEプロアクティブケア】メーカー推奨／低価格で国内専用窓口の高品質な保守により、システム運用における安心を提供します。</v>
          </cell>
        </row>
        <row r="8517">
          <cell r="A8517" t="str">
            <v>U8A83E</v>
          </cell>
          <cell r="B8517" t="str">
            <v>ProCareHD返却不24x7 5年StorVir45/46/47XX</v>
          </cell>
          <cell r="C8517" t="str">
            <v>【HPEプロアクティブケア】メーカー推奨／低価格で国内専用窓口の高品質な保守により、システム運用における安心を提供します。</v>
          </cell>
        </row>
        <row r="8518">
          <cell r="A8518" t="str">
            <v>U8FA8PE</v>
          </cell>
          <cell r="B8518" t="str">
            <v>PW FC 9x5 1年 2900 24TB Back用</v>
          </cell>
          <cell r="C8518" t="str">
            <v>【ファウンデーションケア】</v>
          </cell>
        </row>
        <row r="8519">
          <cell r="A8519" t="str">
            <v>U8FA9PE</v>
          </cell>
          <cell r="B8519" t="str">
            <v>PW FC 9x5 DMR 1年 2900 24TB Back用</v>
          </cell>
          <cell r="C8519" t="str">
            <v>【ファウンデーションケア】</v>
          </cell>
        </row>
        <row r="8520">
          <cell r="A8520" t="str">
            <v>U8FB3PE</v>
          </cell>
          <cell r="B8520" t="str">
            <v>PW FC24x7 1年 2900 24TB Back用</v>
          </cell>
          <cell r="C8520" t="str">
            <v>【ファウンデーションケア】</v>
          </cell>
        </row>
        <row r="8521">
          <cell r="A8521" t="str">
            <v>U8FB4PE</v>
          </cell>
          <cell r="B8521" t="str">
            <v>PW FC 24x7DMR 1年 2900 24TB Back用</v>
          </cell>
          <cell r="C8521" t="str">
            <v>【ファウンデーションケア】</v>
          </cell>
        </row>
        <row r="8522">
          <cell r="A8522" t="str">
            <v>U8FB6PE</v>
          </cell>
          <cell r="B8522" t="str">
            <v>PW PC 24x7 1年 2900 24TB Back用</v>
          </cell>
          <cell r="C8522" t="str">
            <v>【HPEプロアクティブケア】メーカー推奨／低価格で国内専用窓口の高品質な保守により、システム運用における安心を提供します。</v>
          </cell>
        </row>
        <row r="8523">
          <cell r="A8523" t="str">
            <v>U8FB7PE</v>
          </cell>
          <cell r="B8523" t="str">
            <v>PW PC 24x7 DMR 1年 2900 24TB Back用</v>
          </cell>
          <cell r="C8523" t="str">
            <v>【HPEプロアクティブケア】メーカー推奨／低価格で国内専用窓口の高品質な保守により、システム運用における安心を提供します。</v>
          </cell>
        </row>
        <row r="8524">
          <cell r="A8524" t="str">
            <v>U8FC8E</v>
          </cell>
          <cell r="B8524" t="str">
            <v>FC 9x5 3年 2900 24TB Expa用</v>
          </cell>
          <cell r="C8524" t="str">
            <v>【ファウンデーションケア】</v>
          </cell>
        </row>
        <row r="8525">
          <cell r="A8525" t="str">
            <v>U8FC9E</v>
          </cell>
          <cell r="B8525" t="str">
            <v>FC 9x5 HD返却不要3年 2900 24TB Expa用</v>
          </cell>
          <cell r="C8525" t="str">
            <v>【ファウンデーションケア】</v>
          </cell>
        </row>
        <row r="8526">
          <cell r="A8526" t="str">
            <v>U8FD6E</v>
          </cell>
          <cell r="B8526" t="str">
            <v>FC 24x7 3年 2900 24TB Expa用</v>
          </cell>
          <cell r="C8526" t="str">
            <v>【ファウンデーションケア】</v>
          </cell>
        </row>
        <row r="8527">
          <cell r="A8527" t="str">
            <v>U8FD7E</v>
          </cell>
          <cell r="B8527" t="str">
            <v>FC 24x7HD返却不要 3年2900 24TB Expa用</v>
          </cell>
          <cell r="C8527" t="str">
            <v>【ファウンデーションケア】</v>
          </cell>
        </row>
        <row r="8528">
          <cell r="A8528" t="str">
            <v>U8FD9E</v>
          </cell>
          <cell r="B8528" t="str">
            <v>ProCare 24x7 3年 2900 24TB Expa用</v>
          </cell>
          <cell r="C8528" t="str">
            <v>【HPEプロアクティブケア】メーカー推奨／低価格で国内専用窓口の高品質な保守により、システム運用における安心を提供します。</v>
          </cell>
        </row>
        <row r="8529">
          <cell r="A8529" t="str">
            <v>U8FE0E</v>
          </cell>
          <cell r="B8529" t="str">
            <v>ProCare HD返却不24x7 3年2900 24TB Expa用</v>
          </cell>
          <cell r="C8529" t="str">
            <v>【HPEプロアクティブケア】メーカー推奨／低価格で国内専用窓口の高品質な保守により、システム運用における安心を提供します。</v>
          </cell>
        </row>
        <row r="8530">
          <cell r="A8530" t="str">
            <v>U8FF7E</v>
          </cell>
          <cell r="B8530" t="str">
            <v>FC 9x5 4年 2900 24TB Expa用</v>
          </cell>
          <cell r="C8530" t="str">
            <v>【ファウンデーションケア】</v>
          </cell>
        </row>
        <row r="8531">
          <cell r="A8531" t="str">
            <v>U8FF8E</v>
          </cell>
          <cell r="B8531" t="str">
            <v>FC 9x5 HD返却不要4年 2900 24TB Expa用</v>
          </cell>
          <cell r="C8531" t="str">
            <v>【ファウンデーションケア】</v>
          </cell>
        </row>
        <row r="8532">
          <cell r="A8532" t="str">
            <v>U8FG5E</v>
          </cell>
          <cell r="B8532" t="str">
            <v>FC 24x7 4年 2900 24TB Expa用</v>
          </cell>
          <cell r="C8532" t="str">
            <v>【ファウンデーションケア】</v>
          </cell>
        </row>
        <row r="8533">
          <cell r="A8533" t="str">
            <v>U8FG6E</v>
          </cell>
          <cell r="B8533" t="str">
            <v>FC 24x7HD返却不要 4年2900 24TB Expa用</v>
          </cell>
          <cell r="C8533" t="str">
            <v>【ファウンデーションケア】</v>
          </cell>
        </row>
        <row r="8534">
          <cell r="A8534" t="str">
            <v>U8FG8E</v>
          </cell>
          <cell r="B8534" t="str">
            <v>ProCare 24x7 4年 2900 24TB Expa用</v>
          </cell>
          <cell r="C8534" t="str">
            <v>【HPEプロアクティブケア】メーカー推奨／低価格で国内専用窓口の高品質な保守により、システム運用における安心を提供します。</v>
          </cell>
        </row>
        <row r="8535">
          <cell r="A8535" t="str">
            <v>U8FG9E</v>
          </cell>
          <cell r="B8535" t="str">
            <v>ProCare HD返却不24x7 4年2900 24TB Expa用</v>
          </cell>
          <cell r="C8535" t="str">
            <v>【HPEプロアクティブケア】メーカー推奨／低価格で国内専用窓口の高品質な保守により、システム運用における安心を提供します。</v>
          </cell>
        </row>
        <row r="8536">
          <cell r="A8536" t="str">
            <v>U8FJ6E</v>
          </cell>
          <cell r="B8536" t="str">
            <v>FC 9x5 5年 2900 24TB Expa用</v>
          </cell>
          <cell r="C8536" t="str">
            <v>【ファウンデーションケア】</v>
          </cell>
        </row>
        <row r="8537">
          <cell r="A8537" t="str">
            <v>U8FJ7E</v>
          </cell>
          <cell r="B8537" t="str">
            <v>FC 9x5 HD返却不要5年 2900 24TB Expa用</v>
          </cell>
          <cell r="C8537" t="str">
            <v>【ファウンデーションケア】</v>
          </cell>
        </row>
        <row r="8538">
          <cell r="A8538" t="str">
            <v>U8FK4E</v>
          </cell>
          <cell r="B8538" t="str">
            <v>FC 24x7 5年 2900 24TB Expa用</v>
          </cell>
          <cell r="C8538" t="str">
            <v>【ファウンデーションケア】</v>
          </cell>
        </row>
        <row r="8539">
          <cell r="A8539" t="str">
            <v>U8FK5E</v>
          </cell>
          <cell r="B8539" t="str">
            <v>FC 24x7HD返却不要 5年2900 24TB Expa用</v>
          </cell>
          <cell r="C8539" t="str">
            <v>【ファウンデーションケア】</v>
          </cell>
        </row>
        <row r="8540">
          <cell r="A8540" t="str">
            <v>U8FK7E</v>
          </cell>
          <cell r="B8540" t="str">
            <v>ProCare 24x7 5年 2900 24TB Expa用</v>
          </cell>
          <cell r="C8540" t="str">
            <v>【HPEプロアクティブケア】メーカー推奨／低価格で国内専用窓口の高品質な保守により、システム運用における安心を提供します。</v>
          </cell>
        </row>
        <row r="8541">
          <cell r="A8541" t="str">
            <v>U8FK8E</v>
          </cell>
          <cell r="B8541" t="str">
            <v>ProCare HD返却不24x7 5年2900 24TB Expa用</v>
          </cell>
          <cell r="C8541" t="str">
            <v>【HPEプロアクティブケア】メーカー推奨／低価格で国内専用窓口の高品質な保守により、システム運用における安心を提供します。</v>
          </cell>
        </row>
        <row r="8542">
          <cell r="A8542" t="str">
            <v>U8FM5PE</v>
          </cell>
          <cell r="B8542" t="str">
            <v>PW FC 9x5 1年 2900 24TB Exp用</v>
          </cell>
          <cell r="C8542" t="str">
            <v>【ファウンデーションケア】</v>
          </cell>
        </row>
        <row r="8543">
          <cell r="A8543" t="str">
            <v>U8FM6PE</v>
          </cell>
          <cell r="B8543" t="str">
            <v>PW FC 9x5 DMR 1年 2900 24TB Exp用</v>
          </cell>
          <cell r="C8543" t="str">
            <v>【ファウンデーションケア】</v>
          </cell>
        </row>
        <row r="8544">
          <cell r="A8544" t="str">
            <v>U8FN0PE</v>
          </cell>
          <cell r="B8544" t="str">
            <v>PW FC24x7 1年 2900 24TB Exp用</v>
          </cell>
          <cell r="C8544" t="str">
            <v>【ファウンデーションケア】</v>
          </cell>
        </row>
        <row r="8545">
          <cell r="A8545" t="str">
            <v>U8FN1PE</v>
          </cell>
          <cell r="B8545" t="str">
            <v>PW FC 24x7DMR 1年 2900 24TB Exp用</v>
          </cell>
          <cell r="C8545" t="str">
            <v>【ファウンデーションケア】</v>
          </cell>
        </row>
        <row r="8546">
          <cell r="A8546" t="str">
            <v>U8FN3PE</v>
          </cell>
          <cell r="B8546" t="str">
            <v>PW PC 24x7 1年 2900 24TB Exp用</v>
          </cell>
          <cell r="C8546" t="str">
            <v>【HPEプロアクティブケア】メーカー推奨／低価格で国内専用窓口の高品質な保守により、システム運用における安心を提供します。</v>
          </cell>
        </row>
        <row r="8547">
          <cell r="A8547" t="str">
            <v>U8FN4PE</v>
          </cell>
          <cell r="B8547" t="str">
            <v>PW PC 24x7 DMR 1年 2900 24TB Exp用</v>
          </cell>
          <cell r="C8547" t="str">
            <v>【HPEプロアクティブケア】メーカー推奨／低価格で国内専用窓口の高品質な保守により、システム運用における安心を提供します。</v>
          </cell>
        </row>
        <row r="8548">
          <cell r="A8548" t="str">
            <v>U8G31E</v>
          </cell>
          <cell r="B8548" t="str">
            <v>ProCare 24x7 3年 SN6500B16Gb用</v>
          </cell>
          <cell r="C8548" t="str">
            <v>【HPEプロアクティブケア】メーカー推奨／低価格で国内専用窓口の高品質な保守により、システム運用における安心を提供します。</v>
          </cell>
        </row>
        <row r="8549">
          <cell r="A8549" t="str">
            <v>U8G47E</v>
          </cell>
          <cell r="B8549" t="str">
            <v>ProCare 24x7 4年 SN6500B16Gb用</v>
          </cell>
          <cell r="C8549" t="str">
            <v>【HPEプロアクティブケア】メーカー推奨／低価格で国内専用窓口の高品質な保守により、システム運用における安心を提供します。</v>
          </cell>
        </row>
        <row r="8550">
          <cell r="A8550" t="str">
            <v>U8G63E</v>
          </cell>
          <cell r="B8550" t="str">
            <v>ProCare 24x7 5年 SN6500B16Gb用</v>
          </cell>
          <cell r="C8550" t="str">
            <v>【HPEプロアクティブケア】メーカー推奨／低価格で国内専用窓口の高品質な保守により、システム運用における安心を提供します。</v>
          </cell>
        </row>
        <row r="8551">
          <cell r="A8551" t="str">
            <v>U8G97E</v>
          </cell>
          <cell r="B8551" t="str">
            <v>ProCare 24x7 3年 SN6500B16Gb PP用</v>
          </cell>
          <cell r="C8551" t="str">
            <v>【HPEプロアクティブケア】メーカー推奨／低価格で国内専用窓口の高品質な保守により、システム運用における安心を提供します。</v>
          </cell>
        </row>
        <row r="8552">
          <cell r="A8552" t="str">
            <v>U8H07E</v>
          </cell>
          <cell r="B8552" t="str">
            <v>ProCare 24x7 4年 SN6500B16Gb PP用</v>
          </cell>
          <cell r="C8552" t="str">
            <v>【HPEプロアクティブケア】メーカー推奨／低価格で国内専用窓口の高品質な保守により、システム運用における安心を提供します。</v>
          </cell>
        </row>
        <row r="8553">
          <cell r="A8553" t="str">
            <v>U8H18E</v>
          </cell>
          <cell r="B8553" t="str">
            <v>ProCare 24x7 5年 SN6500B16Gb PP用</v>
          </cell>
          <cell r="C8553" t="str">
            <v>【HPEプロアクティブケア】メーカー推奨／低価格で国内専用窓口の高品質な保守により、システム運用における安心を提供します。</v>
          </cell>
        </row>
        <row r="8554">
          <cell r="A8554" t="str">
            <v>U8JT8E</v>
          </cell>
          <cell r="B8554" t="str">
            <v>FC 9x5 3年 Store 1450用</v>
          </cell>
          <cell r="C8554" t="str">
            <v>【ファウンデーションケア】</v>
          </cell>
        </row>
        <row r="8555">
          <cell r="A8555" t="str">
            <v>U8JT9E</v>
          </cell>
          <cell r="B8555" t="str">
            <v>FC 9x5 HD返却不要3年 Store 1450用</v>
          </cell>
          <cell r="C8555" t="str">
            <v>【ファウンデーションケア】</v>
          </cell>
        </row>
        <row r="8556">
          <cell r="A8556" t="str">
            <v>U8JU7E</v>
          </cell>
          <cell r="B8556" t="str">
            <v>FC 24x7 3年 Store 1450用</v>
          </cell>
          <cell r="C8556" t="str">
            <v>【ファウンデーションケア】</v>
          </cell>
        </row>
        <row r="8557">
          <cell r="A8557" t="str">
            <v>U8JU8E</v>
          </cell>
          <cell r="B8557" t="str">
            <v>FC 24x7HD返却不要 3年 Store 1450用</v>
          </cell>
          <cell r="C8557" t="str">
            <v>【ファウンデーションケア】</v>
          </cell>
        </row>
        <row r="8558">
          <cell r="A8558" t="str">
            <v>U8JV1E</v>
          </cell>
          <cell r="B8558" t="str">
            <v>ProCare 24x7 3年 Store 1450用</v>
          </cell>
          <cell r="C8558" t="str">
            <v>【HPEプロアクティブケア】メーカー推奨／低価格で国内専用窓口の高品質な保守により、システム運用における安心を提供します。</v>
          </cell>
        </row>
        <row r="8559">
          <cell r="A8559" t="str">
            <v>U8JV2E</v>
          </cell>
          <cell r="B8559" t="str">
            <v>ProCare HD返却不要24x7 3年 Store 1450用</v>
          </cell>
          <cell r="C8559" t="str">
            <v>【HPEプロアクティブケア】メーカー推奨／低価格で国内専用窓口の高品質な保守により、システム運用における安心を提供します。</v>
          </cell>
        </row>
        <row r="8560">
          <cell r="A8560" t="str">
            <v>U8JX0E</v>
          </cell>
          <cell r="B8560" t="str">
            <v>FC 9x5 4年 Store 1450用</v>
          </cell>
          <cell r="C8560" t="str">
            <v>【ファウンデーションケア】</v>
          </cell>
        </row>
        <row r="8561">
          <cell r="A8561" t="str">
            <v>U8JX1E</v>
          </cell>
          <cell r="B8561" t="str">
            <v>FC 9x5 HD返却不要4年 Store 1450用</v>
          </cell>
          <cell r="C8561" t="str">
            <v>【ファウンデーションケア】</v>
          </cell>
        </row>
        <row r="8562">
          <cell r="A8562" t="str">
            <v>U8JX9E</v>
          </cell>
          <cell r="B8562" t="str">
            <v>FC 24x7 4年 Store 1450用</v>
          </cell>
          <cell r="C8562" t="str">
            <v>【ファウンデーションケア】</v>
          </cell>
        </row>
        <row r="8563">
          <cell r="A8563" t="str">
            <v>U8JY0E</v>
          </cell>
          <cell r="B8563" t="str">
            <v>FC 24x7HD返却不要 4年 Store 1450用</v>
          </cell>
          <cell r="C8563" t="str">
            <v>【ファウンデーションケア】</v>
          </cell>
        </row>
        <row r="8564">
          <cell r="A8564" t="str">
            <v>U8JY3E</v>
          </cell>
          <cell r="B8564" t="str">
            <v>ProCare 24x7 4年 Store 1450用</v>
          </cell>
          <cell r="C8564" t="str">
            <v>【HPEプロアクティブケア】メーカー推奨／低価格で国内専用窓口の高品質な保守により、システム運用における安心を提供します。</v>
          </cell>
        </row>
        <row r="8565">
          <cell r="A8565" t="str">
            <v>U8JY4E</v>
          </cell>
          <cell r="B8565" t="str">
            <v>ProCare HD返却不要24x7 4年 Store 1450用</v>
          </cell>
          <cell r="C8565" t="str">
            <v>【HPEプロアクティブケア】メーカー推奨／低価格で国内専用窓口の高品質な保守により、システム運用における安心を提供します。</v>
          </cell>
        </row>
        <row r="8566">
          <cell r="A8566" t="str">
            <v>U8KA2E</v>
          </cell>
          <cell r="B8566" t="str">
            <v>FC 9x5 5年 Store 1450用</v>
          </cell>
          <cell r="C8566" t="str">
            <v>【ファウンデーションケア】</v>
          </cell>
        </row>
        <row r="8567">
          <cell r="A8567" t="str">
            <v>U8KA3E</v>
          </cell>
          <cell r="B8567" t="str">
            <v>FC 9x5 HD返却不要5年 Store 1450用</v>
          </cell>
          <cell r="C8567" t="str">
            <v>【ファウンデーションケア】</v>
          </cell>
        </row>
        <row r="8568">
          <cell r="A8568" t="str">
            <v>U8KB1E</v>
          </cell>
          <cell r="B8568" t="str">
            <v>FC 24x7 5年 Store 1450用</v>
          </cell>
          <cell r="C8568" t="str">
            <v>【ファウンデーションケア】</v>
          </cell>
        </row>
        <row r="8569">
          <cell r="A8569" t="str">
            <v>U8KB2E</v>
          </cell>
          <cell r="B8569" t="str">
            <v>FC 24x7HD返却不要 5年 Store 1450用</v>
          </cell>
          <cell r="C8569" t="str">
            <v>【ファウンデーションケア】</v>
          </cell>
        </row>
        <row r="8570">
          <cell r="A8570" t="str">
            <v>U8KB5E</v>
          </cell>
          <cell r="B8570" t="str">
            <v>ProCare 24x7 5年 Store 1450用</v>
          </cell>
          <cell r="C8570" t="str">
            <v>【HPEプロアクティブケア】メーカー推奨／低価格で国内専用窓口の高品質な保守により、システム運用における安心を提供します。</v>
          </cell>
        </row>
        <row r="8571">
          <cell r="A8571" t="str">
            <v>U8KB6E</v>
          </cell>
          <cell r="B8571" t="str">
            <v>ProCare HD返却不要24x7 5年 Store 1450用</v>
          </cell>
          <cell r="C8571" t="str">
            <v>【HPEプロアクティブケア】メーカー推奨／低価格で国内専用窓口の高品質な保守により、システム運用における安心を提供します。</v>
          </cell>
        </row>
        <row r="8572">
          <cell r="A8572" t="str">
            <v>U8KD3PE</v>
          </cell>
          <cell r="B8572" t="str">
            <v>PW FC 9x5 1年 Store 1450用</v>
          </cell>
          <cell r="C8572" t="str">
            <v>【ファウンデーションケア】</v>
          </cell>
        </row>
        <row r="8573">
          <cell r="A8573" t="str">
            <v>U8KD4PE</v>
          </cell>
          <cell r="B8573" t="str">
            <v>PW FC 9x5 DMR 1年 Store 1450用</v>
          </cell>
          <cell r="C8573" t="str">
            <v>【ファウンデーションケア】</v>
          </cell>
        </row>
        <row r="8574">
          <cell r="A8574" t="str">
            <v>U8KD8PE</v>
          </cell>
          <cell r="B8574" t="str">
            <v>PW FC 24x7 1年 Store 1450用</v>
          </cell>
          <cell r="C8574" t="str">
            <v>【ファウンデーションケア】</v>
          </cell>
        </row>
        <row r="8575">
          <cell r="A8575" t="str">
            <v>U8KD9PE</v>
          </cell>
          <cell r="B8575" t="str">
            <v>PW FC24x7DMR 1年 Store 1450用</v>
          </cell>
          <cell r="C8575" t="str">
            <v>【ファウンデーションケア】</v>
          </cell>
        </row>
        <row r="8576">
          <cell r="A8576" t="str">
            <v>U8KE1PE</v>
          </cell>
          <cell r="B8576" t="str">
            <v>PW PC 24x7 1年 Store 1450用</v>
          </cell>
          <cell r="C8576" t="str">
            <v>【HPEプロアクティブケア】メーカー推奨／低価格で国内専用窓口の高品質な保守により、システム運用における安心を提供します。</v>
          </cell>
        </row>
        <row r="8577">
          <cell r="A8577" t="str">
            <v>U8KE2PE</v>
          </cell>
          <cell r="B8577" t="str">
            <v>PW PC 24x7 DMR 1年 Store 1450用</v>
          </cell>
          <cell r="C8577" t="str">
            <v>【HPEプロアクティブケア】メーカー推奨／低価格で国内専用窓口の高品質な保守により、システム運用における安心を提供します。</v>
          </cell>
        </row>
        <row r="8578">
          <cell r="A8578" t="str">
            <v>U8KF4E</v>
          </cell>
          <cell r="B8578" t="str">
            <v>FC 9x5 3年 1650/1850用</v>
          </cell>
          <cell r="C8578" t="str">
            <v>【ファウンデーションケア】</v>
          </cell>
        </row>
        <row r="8579">
          <cell r="A8579" t="str">
            <v>U8KF5E</v>
          </cell>
          <cell r="B8579" t="str">
            <v>FC 9x5 HD返却不要3年 1650/1850用</v>
          </cell>
          <cell r="C8579" t="str">
            <v>【ファウンデーションケア】</v>
          </cell>
        </row>
        <row r="8580">
          <cell r="A8580" t="str">
            <v>U8KG3E</v>
          </cell>
          <cell r="B8580" t="str">
            <v>FC 24x7 3年 1650/1850用</v>
          </cell>
          <cell r="C8580" t="str">
            <v>【ファウンデーションケア】</v>
          </cell>
        </row>
        <row r="8581">
          <cell r="A8581" t="str">
            <v>U8KG4E</v>
          </cell>
          <cell r="B8581" t="str">
            <v>FC 24x7HD返却不要 3年 1650/1850用</v>
          </cell>
          <cell r="C8581" t="str">
            <v>【ファウンデーションケア】</v>
          </cell>
        </row>
        <row r="8582">
          <cell r="A8582" t="str">
            <v>U8KG7E</v>
          </cell>
          <cell r="B8582" t="str">
            <v>ProCare 24x7 3年 1650/1850用</v>
          </cell>
          <cell r="C8582" t="str">
            <v>【HPEプロアクティブケア】メーカー推奨／低価格で国内専用窓口の高品質な保守により、システム運用における安心を提供します。</v>
          </cell>
        </row>
        <row r="8583">
          <cell r="A8583" t="str">
            <v>U8KG8E</v>
          </cell>
          <cell r="B8583" t="str">
            <v>ProCare HD返却不要24x7 3年 1650/1850用</v>
          </cell>
          <cell r="C8583" t="str">
            <v>【HPEプロアクティブケア】メーカー推奨／低価格で国内専用窓口の高品質な保守により、システム運用における安心を提供します。</v>
          </cell>
        </row>
        <row r="8584">
          <cell r="A8584" t="str">
            <v>U8KJ6E</v>
          </cell>
          <cell r="B8584" t="str">
            <v>FC 9x5 4年 1650/1850用</v>
          </cell>
          <cell r="C8584" t="str">
            <v>【ファウンデーションケア】</v>
          </cell>
        </row>
        <row r="8585">
          <cell r="A8585" t="str">
            <v>U8KJ7E</v>
          </cell>
          <cell r="B8585" t="str">
            <v>FC 9x5 HD返却不要4年 1650/1850用</v>
          </cell>
          <cell r="C8585" t="str">
            <v>【ファウンデーションケア】</v>
          </cell>
        </row>
        <row r="8586">
          <cell r="A8586" t="str">
            <v>U8KK5E</v>
          </cell>
          <cell r="B8586" t="str">
            <v>FC 24x7 4年 1650/1850用</v>
          </cell>
          <cell r="C8586" t="str">
            <v>【ファウンデーションケア】</v>
          </cell>
        </row>
        <row r="8587">
          <cell r="A8587" t="str">
            <v>U8KK6E</v>
          </cell>
          <cell r="B8587" t="str">
            <v>FC 24x7HD返却不要 4年 1650/1850用</v>
          </cell>
          <cell r="C8587" t="str">
            <v>【ファウンデーションケア】</v>
          </cell>
        </row>
        <row r="8588">
          <cell r="A8588" t="str">
            <v>U8KK9E</v>
          </cell>
          <cell r="B8588" t="str">
            <v>ProCare 24x7 4年 1650/1850用</v>
          </cell>
          <cell r="C8588" t="str">
            <v>【HPEプロアクティブケア】メーカー推奨／低価格で国内専用窓口の高品質な保守により、システム運用における安心を提供します。</v>
          </cell>
        </row>
        <row r="8589">
          <cell r="A8589" t="str">
            <v>U8KL0E</v>
          </cell>
          <cell r="B8589" t="str">
            <v>ProCare HD返却不要24x7 4年 1650/1850用</v>
          </cell>
          <cell r="C8589" t="str">
            <v>【HPEプロアクティブケア】メーカー推奨／低価格で国内専用窓口の高品質な保守により、システム運用における安心を提供します。</v>
          </cell>
        </row>
        <row r="8590">
          <cell r="A8590" t="str">
            <v>U8KM8E</v>
          </cell>
          <cell r="B8590" t="str">
            <v>FC 9x5 5年 1650/1850用</v>
          </cell>
          <cell r="C8590" t="str">
            <v>【ファウンデーションケア】</v>
          </cell>
        </row>
        <row r="8591">
          <cell r="A8591" t="str">
            <v>U8KM9E</v>
          </cell>
          <cell r="B8591" t="str">
            <v>FC 9x5 HD返却不要5年 1650/1850用</v>
          </cell>
          <cell r="C8591" t="str">
            <v>【ファウンデーションケア】</v>
          </cell>
        </row>
        <row r="8592">
          <cell r="A8592" t="str">
            <v>U8KN7E</v>
          </cell>
          <cell r="B8592" t="str">
            <v>FC 24x7 5年 1650/1850用</v>
          </cell>
          <cell r="C8592" t="str">
            <v>【ファウンデーションケア】</v>
          </cell>
        </row>
        <row r="8593">
          <cell r="A8593" t="str">
            <v>U8KN8E</v>
          </cell>
          <cell r="B8593" t="str">
            <v>FC 24x7HD返却不要 5年 1650/1850用</v>
          </cell>
          <cell r="C8593" t="str">
            <v>【ファウンデーションケア】</v>
          </cell>
        </row>
        <row r="8594">
          <cell r="A8594" t="str">
            <v>U8KP1E</v>
          </cell>
          <cell r="B8594" t="str">
            <v>ProCare 24x7 5年 1650/1850用</v>
          </cell>
          <cell r="C8594" t="str">
            <v>【HPEプロアクティブケア】メーカー推奨／低価格で国内専用窓口の高品質な保守により、システム運用における安心を提供します。</v>
          </cell>
        </row>
        <row r="8595">
          <cell r="A8595" t="str">
            <v>U8KP2E</v>
          </cell>
          <cell r="B8595" t="str">
            <v>ProCare HD返却不要24x7 5年 1650/1850用</v>
          </cell>
          <cell r="C8595" t="str">
            <v>【HPEプロアクティブケア】メーカー推奨／低価格で国内専用窓口の高品質な保守により、システム運用における安心を提供します。</v>
          </cell>
        </row>
        <row r="8596">
          <cell r="A8596" t="str">
            <v>U8KQ9PE</v>
          </cell>
          <cell r="B8596" t="str">
            <v>PW FC 9x5 1年 1650/1850用</v>
          </cell>
          <cell r="C8596" t="str">
            <v>【ファウンデーションケア】</v>
          </cell>
        </row>
        <row r="8597">
          <cell r="A8597" t="str">
            <v>U8KR0PE</v>
          </cell>
          <cell r="B8597" t="str">
            <v>PW FC 9x5 DMR 1年 1650/1850用</v>
          </cell>
          <cell r="C8597" t="str">
            <v>【ファウンデーションケア】</v>
          </cell>
        </row>
        <row r="8598">
          <cell r="A8598" t="str">
            <v>U8KR4PE</v>
          </cell>
          <cell r="B8598" t="str">
            <v>PW FC 24x7 1年 1650/1850用</v>
          </cell>
          <cell r="C8598" t="str">
            <v>【ファウンデーションケア】</v>
          </cell>
        </row>
        <row r="8599">
          <cell r="A8599" t="str">
            <v>U8KR5PE</v>
          </cell>
          <cell r="B8599" t="str">
            <v>PW FC24x7DMR 1年 1650/1850用</v>
          </cell>
          <cell r="C8599" t="str">
            <v>【ファウンデーションケア】</v>
          </cell>
        </row>
        <row r="8600">
          <cell r="A8600" t="str">
            <v>U8KR7PE</v>
          </cell>
          <cell r="B8600" t="str">
            <v>PW PC 24x7 1年 1650/1850用</v>
          </cell>
          <cell r="C8600" t="str">
            <v>【HPEプロアクティブケア】メーカー推奨／低価格で国内専用窓口の高品質な保守により、システム運用における安心を提供します。</v>
          </cell>
        </row>
        <row r="8601">
          <cell r="A8601" t="str">
            <v>U8KR8PE</v>
          </cell>
          <cell r="B8601" t="str">
            <v>PW PC 24x7 DMR 1年 1650/1850用</v>
          </cell>
          <cell r="C8601" t="str">
            <v>【HPEプロアクティブケア】メーカー推奨／低価格で国内専用窓口の高品質な保守により、システム運用における安心を提供します。</v>
          </cell>
        </row>
        <row r="8602">
          <cell r="A8602" t="str">
            <v>U8MH3E</v>
          </cell>
          <cell r="B8602" t="str">
            <v>FC 24x7 3年 Apollo 4200用</v>
          </cell>
          <cell r="C8602" t="str">
            <v>【ファウンデーションケア】</v>
          </cell>
        </row>
        <row r="8603">
          <cell r="A8603" t="str">
            <v>U8MH4E</v>
          </cell>
          <cell r="B8603" t="str">
            <v>FC 24x7 HD返却不要 3年 Apollo 4200用</v>
          </cell>
          <cell r="C8603" t="str">
            <v>【ファウンデーションケア】</v>
          </cell>
        </row>
        <row r="8604">
          <cell r="A8604" t="str">
            <v>U8MH6E</v>
          </cell>
          <cell r="B8604" t="str">
            <v>PC 24x7 3年 Apollo 4200用</v>
          </cell>
          <cell r="C8604" t="str">
            <v>【HPEプロアクティブケア】メーカー推奨／低価格で国内専用窓口の高品質な保守により、システム運用における安心を提供します。</v>
          </cell>
        </row>
        <row r="8605">
          <cell r="A8605" t="str">
            <v>U8MH7E</v>
          </cell>
          <cell r="B8605" t="str">
            <v>PC HD返却不要 24x7 3年 Apollo 4200用</v>
          </cell>
          <cell r="C8605" t="str">
            <v>【HPEプロアクティブケア】メーカー推奨／低価格で国内専用窓口の高品質な保守により、システム運用における安心を提供します。</v>
          </cell>
        </row>
        <row r="8606">
          <cell r="A8606" t="str">
            <v>U8ML0E</v>
          </cell>
          <cell r="B8606" t="str">
            <v>FC 24x7 4年 Apollo 4200用</v>
          </cell>
          <cell r="C8606" t="str">
            <v>【ファウンデーションケア】</v>
          </cell>
        </row>
        <row r="8607">
          <cell r="A8607" t="str">
            <v>U8ML1E</v>
          </cell>
          <cell r="B8607" t="str">
            <v>FC 24x7 HD返却不要 4年 Apollo 4200用</v>
          </cell>
          <cell r="C8607" t="str">
            <v>【ファウンデーションケア】</v>
          </cell>
        </row>
        <row r="8608">
          <cell r="A8608" t="str">
            <v>U8ML3E</v>
          </cell>
          <cell r="B8608" t="str">
            <v>PC 24x7 4年 Apollo 4200用</v>
          </cell>
          <cell r="C8608" t="str">
            <v>【HPEプロアクティブケア】メーカー推奨／低価格で国内専用窓口の高品質な保守により、システム運用における安心を提供します。</v>
          </cell>
        </row>
        <row r="8609">
          <cell r="A8609" t="str">
            <v>U8ML4E</v>
          </cell>
          <cell r="B8609" t="str">
            <v>PC HD返却不要 24x7 4年 Apollo 4200用</v>
          </cell>
          <cell r="C8609" t="str">
            <v>【HPEプロアクティブケア】メーカー推奨／低価格で国内専用窓口の高品質な保守により、システム運用における安心を提供します。</v>
          </cell>
        </row>
        <row r="8610">
          <cell r="A8610" t="str">
            <v>U8MN7E</v>
          </cell>
          <cell r="B8610" t="str">
            <v>FC 24x7 5年 Apollo 4200用</v>
          </cell>
          <cell r="C8610" t="str">
            <v>【ファウンデーションケア】</v>
          </cell>
        </row>
        <row r="8611">
          <cell r="A8611" t="str">
            <v>U8MN8E</v>
          </cell>
          <cell r="B8611" t="str">
            <v>FC 24x7 HD返却不要 5年 Apollo 4200用</v>
          </cell>
          <cell r="C8611" t="str">
            <v>【ファウンデーションケア】</v>
          </cell>
        </row>
        <row r="8612">
          <cell r="A8612" t="str">
            <v>U8MP0E</v>
          </cell>
          <cell r="B8612" t="str">
            <v>PC 24x7 5年 Apollo 4200用</v>
          </cell>
          <cell r="C8612" t="str">
            <v>【HPEプロアクティブケア】メーカー推奨／低価格で国内専用窓口の高品質な保守により、システム運用における安心を提供します。</v>
          </cell>
        </row>
        <row r="8613">
          <cell r="A8613" t="str">
            <v>U8MP1E</v>
          </cell>
          <cell r="B8613" t="str">
            <v>PC HD返却不要 24x7 5年 Apollo 4200用</v>
          </cell>
          <cell r="C8613" t="str">
            <v>【HPEプロアクティブケア】メーカー推奨／低価格で国内専用窓口の高品質な保守により、システム運用における安心を提供します。</v>
          </cell>
        </row>
        <row r="8614">
          <cell r="A8614" t="str">
            <v>U8MQ5E</v>
          </cell>
          <cell r="B8614" t="str">
            <v>FC 9x5 3年 Apollo 4200用</v>
          </cell>
          <cell r="C8614" t="str">
            <v>【ファウンデーションケア】</v>
          </cell>
        </row>
        <row r="8615">
          <cell r="A8615" t="str">
            <v>U8MQ6E</v>
          </cell>
          <cell r="B8615" t="str">
            <v>FC 9x5 HD返却不要 3年 Apollo 4200用</v>
          </cell>
          <cell r="C8615" t="str">
            <v>【ファウンデーションケア】</v>
          </cell>
        </row>
        <row r="8616">
          <cell r="A8616" t="str">
            <v>U8MQ7E</v>
          </cell>
          <cell r="B8616" t="str">
            <v>FC 9x5 4年 Apollo 4200用</v>
          </cell>
          <cell r="C8616" t="str">
            <v>【ファウンデーションケア】</v>
          </cell>
        </row>
        <row r="8617">
          <cell r="A8617" t="str">
            <v>U8MQ8E</v>
          </cell>
          <cell r="B8617" t="str">
            <v>FC 9x5 HD返却不要 4年 Apollo 4200用</v>
          </cell>
          <cell r="C8617" t="str">
            <v>【ファウンデーションケア】</v>
          </cell>
        </row>
        <row r="8618">
          <cell r="A8618" t="str">
            <v>U8MQ9E</v>
          </cell>
          <cell r="B8618" t="str">
            <v>FC 9x5 5年 Apollo 4200用</v>
          </cell>
          <cell r="C8618" t="str">
            <v>【ファウンデーションケア】</v>
          </cell>
        </row>
        <row r="8619">
          <cell r="A8619" t="str">
            <v>U8MR0E</v>
          </cell>
          <cell r="B8619" t="str">
            <v>FC 9x5 HD返却不要 5年 Apollo 4200用</v>
          </cell>
          <cell r="C8619" t="str">
            <v>【ファウンデーションケア】</v>
          </cell>
        </row>
        <row r="8620">
          <cell r="A8620" t="str">
            <v>U8RK9E</v>
          </cell>
          <cell r="B8620" t="str">
            <v>FC 9x5 4年 Store 1550用</v>
          </cell>
          <cell r="C8620" t="str">
            <v>【ファウンデーションケア】</v>
          </cell>
        </row>
        <row r="8621">
          <cell r="A8621" t="str">
            <v>U8RL0E</v>
          </cell>
          <cell r="B8621" t="str">
            <v>FC 9x5 HD返却不要4年 Store 1550用</v>
          </cell>
          <cell r="C8621" t="str">
            <v>【ファウンデーションケア】</v>
          </cell>
        </row>
        <row r="8622">
          <cell r="A8622" t="str">
            <v>U8RL7E</v>
          </cell>
          <cell r="B8622" t="str">
            <v>FC 24x7 4年 Store 1550用</v>
          </cell>
          <cell r="C8622" t="str">
            <v>【ファウンデーションケア】</v>
          </cell>
        </row>
        <row r="8623">
          <cell r="A8623" t="str">
            <v>U8RL8E</v>
          </cell>
          <cell r="B8623" t="str">
            <v>FC 24x7HD返却不要 4年 Store 1550用</v>
          </cell>
          <cell r="C8623" t="str">
            <v>【ファウンデーションケア】</v>
          </cell>
        </row>
        <row r="8624">
          <cell r="A8624" t="str">
            <v>U8RM0E</v>
          </cell>
          <cell r="B8624" t="str">
            <v>ProCare 24x7 4年 Store 1550用</v>
          </cell>
          <cell r="C8624" t="str">
            <v>【HPEプロアクティブケア】メーカー推奨／低価格で国内専用窓口の高品質な保守により、システム運用における安心を提供します。</v>
          </cell>
        </row>
        <row r="8625">
          <cell r="A8625" t="str">
            <v>U8RM1E</v>
          </cell>
          <cell r="B8625" t="str">
            <v>ProCare HD返却不要24x7 4年 Store 1550用</v>
          </cell>
          <cell r="C8625" t="str">
            <v>【HPEプロアクティブケア】メーカー推奨／低価格で国内専用窓口の高品質な保守により、システム運用における安心を提供します。</v>
          </cell>
        </row>
        <row r="8626">
          <cell r="A8626" t="str">
            <v>U8RN4E</v>
          </cell>
          <cell r="B8626" t="str">
            <v>FC 9x5 3年 Store 1550用</v>
          </cell>
          <cell r="C8626" t="str">
            <v>【ファウンデーションケア】</v>
          </cell>
        </row>
        <row r="8627">
          <cell r="A8627" t="str">
            <v>U8RN5E</v>
          </cell>
          <cell r="B8627" t="str">
            <v>FC 9x5 HD返却不要3年 Store 1550用</v>
          </cell>
          <cell r="C8627" t="str">
            <v>【ファウンデーションケア】</v>
          </cell>
        </row>
        <row r="8628">
          <cell r="A8628" t="str">
            <v>U8RP2E</v>
          </cell>
          <cell r="B8628" t="str">
            <v>FC 24x7 3年 Store 1550用</v>
          </cell>
          <cell r="C8628" t="str">
            <v>【ファウンデーションケア】</v>
          </cell>
        </row>
        <row r="8629">
          <cell r="A8629" t="str">
            <v>U8RP3E</v>
          </cell>
          <cell r="B8629" t="str">
            <v>FC 24x7HD返却不要 3年 Store 1550用</v>
          </cell>
          <cell r="C8629" t="str">
            <v>【ファウンデーションケア】</v>
          </cell>
        </row>
        <row r="8630">
          <cell r="A8630" t="str">
            <v>U8RP5E</v>
          </cell>
          <cell r="B8630" t="str">
            <v>ProCare 24x7 3年 Store 1550用</v>
          </cell>
          <cell r="C8630" t="str">
            <v>【HPEプロアクティブケア】メーカー推奨／低価格で国内専用窓口の高品質な保守により、システム運用における安心を提供します。</v>
          </cell>
        </row>
        <row r="8631">
          <cell r="A8631" t="str">
            <v>U8RP6E</v>
          </cell>
          <cell r="B8631" t="str">
            <v>ProCare HD返却不要24x7 3年 Store 1550用</v>
          </cell>
          <cell r="C8631" t="str">
            <v>【HPEプロアクティブケア】メーカー推奨／低価格で国内専用窓口の高品質な保守により、システム運用における安心を提供します。</v>
          </cell>
        </row>
        <row r="8632">
          <cell r="A8632" t="str">
            <v>U8RR2E</v>
          </cell>
          <cell r="B8632" t="str">
            <v>FC 9x5 5年 Store 1550用</v>
          </cell>
          <cell r="C8632" t="str">
            <v>【ファウンデーションケア】</v>
          </cell>
        </row>
        <row r="8633">
          <cell r="A8633" t="str">
            <v>U8RR3E</v>
          </cell>
          <cell r="B8633" t="str">
            <v>FC 9x5 HD返却不要5年 Store 1550用</v>
          </cell>
          <cell r="C8633" t="str">
            <v>【ファウンデーションケア】</v>
          </cell>
        </row>
        <row r="8634">
          <cell r="A8634" t="str">
            <v>U8RS0E</v>
          </cell>
          <cell r="B8634" t="str">
            <v>FC 24x7 5年 Store 1550用</v>
          </cell>
          <cell r="C8634" t="str">
            <v>【ファウンデーションケア】</v>
          </cell>
        </row>
        <row r="8635">
          <cell r="A8635" t="str">
            <v>U8RS1E</v>
          </cell>
          <cell r="B8635" t="str">
            <v>FC 24x7HD返却不要 5年 Store 1550用</v>
          </cell>
          <cell r="C8635" t="str">
            <v>【ファウンデーションケア】</v>
          </cell>
        </row>
        <row r="8636">
          <cell r="A8636" t="str">
            <v>U8RS3E</v>
          </cell>
          <cell r="B8636" t="str">
            <v>ProCare 24x7 5年 Store 1550用</v>
          </cell>
          <cell r="C8636" t="str">
            <v>【HPEプロアクティブケア】メーカー推奨／低価格で国内専用窓口の高品質な保守により、システム運用における安心を提供します。</v>
          </cell>
        </row>
        <row r="8637">
          <cell r="A8637" t="str">
            <v>U8RS4E</v>
          </cell>
          <cell r="B8637" t="str">
            <v>ProCare HD返却不要24x7 5年 Store 1550用</v>
          </cell>
          <cell r="C8637" t="str">
            <v>【HPEプロアクティブケア】メーカー推奨／低価格で国内専用窓口の高品質な保守により、システム運用における安心を提供します。</v>
          </cell>
        </row>
        <row r="8638">
          <cell r="A8638" t="str">
            <v>U8RU1PE</v>
          </cell>
          <cell r="B8638" t="str">
            <v>PW FC 9x5 1年 StorEasy1550用</v>
          </cell>
          <cell r="C8638" t="str">
            <v>【ファウンデーションケア】</v>
          </cell>
        </row>
        <row r="8639">
          <cell r="A8639" t="str">
            <v>U8RU2PE</v>
          </cell>
          <cell r="B8639" t="str">
            <v>PW FC 9x5 DMR 1年 StorEasy1550用</v>
          </cell>
          <cell r="C8639" t="str">
            <v>【ファウンデーションケア】</v>
          </cell>
        </row>
        <row r="8640">
          <cell r="A8640" t="str">
            <v>U8RU6PE</v>
          </cell>
          <cell r="B8640" t="str">
            <v>PW FC 24x7 1年 StorEasy1550用</v>
          </cell>
          <cell r="C8640" t="str">
            <v>【ファウンデーションケア】</v>
          </cell>
        </row>
        <row r="8641">
          <cell r="A8641" t="str">
            <v>U8RU7PE</v>
          </cell>
          <cell r="B8641" t="str">
            <v>PW FC24x7DMR 1年 StorEasy1550用</v>
          </cell>
          <cell r="C8641" t="str">
            <v>【ファウンデーションケア】</v>
          </cell>
        </row>
        <row r="8642">
          <cell r="A8642" t="str">
            <v>U8RU9PE</v>
          </cell>
          <cell r="B8642" t="str">
            <v>PW PC 24x7 1年 StorEasy1550用</v>
          </cell>
          <cell r="C8642" t="str">
            <v>【HPEプロアクティブケア】メーカー推奨／低価格で国内専用窓口の高品質な保守により、システム運用における安心を提供します。</v>
          </cell>
        </row>
        <row r="8643">
          <cell r="A8643" t="str">
            <v>U8RV0PE</v>
          </cell>
          <cell r="B8643" t="str">
            <v>PW PC 24x7 DMR 1年 StorEasy1550用</v>
          </cell>
          <cell r="C8643" t="str">
            <v>【HPEプロアクティブケア】メーカー推奨／低価格で国内専用窓口の高品質な保守により、システム運用における安心を提供します。</v>
          </cell>
        </row>
        <row r="8644">
          <cell r="A8644" t="str">
            <v>U8SR5PE</v>
          </cell>
          <cell r="B8644" t="str">
            <v>PW FC 9x5 1年 Stor3850Blade用</v>
          </cell>
          <cell r="C8644" t="str">
            <v>【ファウンデーションケア】</v>
          </cell>
        </row>
        <row r="8645">
          <cell r="A8645" t="str">
            <v>U8SR6PE</v>
          </cell>
          <cell r="B8645" t="str">
            <v>PW FC 9x5 DMR 1年 Stor3850Blade用</v>
          </cell>
          <cell r="C8645" t="str">
            <v>【ファウンデーションケア】</v>
          </cell>
        </row>
        <row r="8646">
          <cell r="A8646" t="str">
            <v>U8SS0PE</v>
          </cell>
          <cell r="B8646" t="str">
            <v>PW FC 24x7 1年 Stor3850Blade用</v>
          </cell>
          <cell r="C8646" t="str">
            <v>【ファウンデーションケア】</v>
          </cell>
        </row>
        <row r="8647">
          <cell r="A8647" t="str">
            <v>U8SS1PE</v>
          </cell>
          <cell r="B8647" t="str">
            <v>PW FC24x7DMR 1年 Stor3850Blade用</v>
          </cell>
          <cell r="C8647" t="str">
            <v>【ファウンデーションケア】</v>
          </cell>
        </row>
        <row r="8648">
          <cell r="A8648" t="str">
            <v>U8SS3PE</v>
          </cell>
          <cell r="B8648" t="str">
            <v>PW PC 24x7 1年 Stor3850Blade用</v>
          </cell>
          <cell r="C8648" t="str">
            <v>【HPEプロアクティブケア】メーカー推奨／低価格で国内専用窓口の高品質な保守により、システム運用における安心を提供します。</v>
          </cell>
        </row>
        <row r="8649">
          <cell r="A8649" t="str">
            <v>U8SS4PE</v>
          </cell>
          <cell r="B8649" t="str">
            <v>PW PC 24x7 DMR 1年 Stor3850Blade用</v>
          </cell>
          <cell r="C8649" t="str">
            <v>【HPEプロアクティブケア】メーカー推奨／低価格で国内専用窓口の高品質な保守により、システム運用における安心を提供します。</v>
          </cell>
        </row>
        <row r="8650">
          <cell r="A8650" t="str">
            <v>U8YY3E</v>
          </cell>
          <cell r="B8650" t="str">
            <v>FC24x7 3年 SO3100 8TB BU用</v>
          </cell>
          <cell r="C8650" t="str">
            <v>【ファウンデーションケア】</v>
          </cell>
        </row>
        <row r="8651">
          <cell r="A8651" t="str">
            <v>U8YY4E</v>
          </cell>
          <cell r="B8651" t="str">
            <v>FC24x7DMR3年 SO3100 8TB BU用</v>
          </cell>
          <cell r="C8651" t="str">
            <v>【ファウンデーションケア】</v>
          </cell>
        </row>
        <row r="8652">
          <cell r="A8652" t="str">
            <v>U8YY5E</v>
          </cell>
          <cell r="B8652" t="str">
            <v>PC24x7 3年 SO3100 8TB BU用</v>
          </cell>
          <cell r="C8652" t="str">
            <v>【HPEプロアクティブケア】メーカー推奨／低価格で国内専用窓口の高品質な保守により、システム運用における安心を提供します。</v>
          </cell>
        </row>
        <row r="8653">
          <cell r="A8653" t="str">
            <v>U8YY6E</v>
          </cell>
          <cell r="B8653" t="str">
            <v>PC24x7DMR3年 SO3100 8TB BU用</v>
          </cell>
          <cell r="C8653" t="str">
            <v>【HPEプロアクティブケア】メーカー推奨／低価格で国内専用窓口の高品質な保守により、システム運用における安心を提供します。</v>
          </cell>
        </row>
        <row r="8654">
          <cell r="A8654" t="str">
            <v>U8YY7E</v>
          </cell>
          <cell r="B8654" t="str">
            <v>FC24x7 4年 SO3100 8TB BU用</v>
          </cell>
          <cell r="C8654" t="str">
            <v>【ファウンデーションケア】</v>
          </cell>
        </row>
        <row r="8655">
          <cell r="A8655" t="str">
            <v>U8YY8E</v>
          </cell>
          <cell r="B8655" t="str">
            <v>FC24x7DMR4年 SO3100 8TB BU用</v>
          </cell>
          <cell r="C8655" t="str">
            <v>【ファウンデーションケア】</v>
          </cell>
        </row>
        <row r="8656">
          <cell r="A8656" t="str">
            <v>U8YY9E</v>
          </cell>
          <cell r="B8656" t="str">
            <v>PC24x7 4年 SO3100 8TB BU用</v>
          </cell>
          <cell r="C8656" t="str">
            <v>【HPEプロアクティブケア】メーカー推奨／低価格で国内専用窓口の高品質な保守により、システム運用における安心を提供します。</v>
          </cell>
        </row>
        <row r="8657">
          <cell r="A8657" t="str">
            <v>U8YZ0E</v>
          </cell>
          <cell r="B8657" t="str">
            <v>PC24x7DMR4年 SO3100 8TB BU用</v>
          </cell>
          <cell r="C8657" t="str">
            <v>【HPEプロアクティブケア】メーカー推奨／低価格で国内専用窓口の高品質な保守により、システム運用における安心を提供します。</v>
          </cell>
        </row>
        <row r="8658">
          <cell r="A8658" t="str">
            <v>U8YZ1E</v>
          </cell>
          <cell r="B8658" t="str">
            <v>FC24x7 5年 SO3100 8TB BU用</v>
          </cell>
          <cell r="C8658" t="str">
            <v>【ファウンデーションケア】</v>
          </cell>
        </row>
        <row r="8659">
          <cell r="A8659" t="str">
            <v>U8YZ2E</v>
          </cell>
          <cell r="B8659" t="str">
            <v>FC24x7DMR5年 SO3100 8TB BU用</v>
          </cell>
          <cell r="C8659" t="str">
            <v>【ファウンデーションケア】</v>
          </cell>
        </row>
        <row r="8660">
          <cell r="A8660" t="str">
            <v>U8YZ3E</v>
          </cell>
          <cell r="B8660" t="str">
            <v>PC24x7 5年 SO3100 8TB BU用</v>
          </cell>
          <cell r="C8660" t="str">
            <v>【HPEプロアクティブケア】メーカー推奨／低価格で国内専用窓口の高品質な保守により、システム運用における安心を提供します。</v>
          </cell>
        </row>
        <row r="8661">
          <cell r="A8661" t="str">
            <v>U8YZ4E</v>
          </cell>
          <cell r="B8661" t="str">
            <v>PC24x7DMR5年 SO3100 8TB BU用</v>
          </cell>
          <cell r="C8661" t="str">
            <v>【HPEプロアクティブケア】メーカー推奨／低価格で国内専用窓口の高品質な保守により、システム運用における安心を提供します。</v>
          </cell>
        </row>
        <row r="8662">
          <cell r="A8662" t="str">
            <v>U8YZ5E</v>
          </cell>
          <cell r="B8662" t="str">
            <v>FC24x7 3年 SO3500 12TB BU用</v>
          </cell>
          <cell r="C8662" t="str">
            <v>【ファウンデーションケア】</v>
          </cell>
        </row>
        <row r="8663">
          <cell r="A8663" t="str">
            <v>U8YZ6E</v>
          </cell>
          <cell r="B8663" t="str">
            <v>FC24x7DMR3年 SO3500 12TB BU用</v>
          </cell>
          <cell r="C8663" t="str">
            <v>【ファウンデーションケア】</v>
          </cell>
        </row>
        <row r="8664">
          <cell r="A8664" t="str">
            <v>U8YZ7E</v>
          </cell>
          <cell r="B8664" t="str">
            <v>PC24x7 3年 SO3500 12TB BU用</v>
          </cell>
          <cell r="C8664" t="str">
            <v>【HPEプロアクティブケア】メーカー推奨／低価格で国内専用窓口の高品質な保守により、システム運用における安心を提供します。</v>
          </cell>
        </row>
        <row r="8665">
          <cell r="A8665" t="str">
            <v>U8YZ8E</v>
          </cell>
          <cell r="B8665" t="str">
            <v>PC24x7DMR3年 SO3500 12TB BU用</v>
          </cell>
          <cell r="C8665" t="str">
            <v>【HPEプロアクティブケア】メーカー推奨／低価格で国内専用窓口の高品質な保守により、システム運用における安心を提供します。</v>
          </cell>
        </row>
        <row r="8666">
          <cell r="A8666" t="str">
            <v>U8YZ9E</v>
          </cell>
          <cell r="B8666" t="str">
            <v>FC24x7 4年 SO3500 12TB BU用</v>
          </cell>
          <cell r="C8666" t="str">
            <v>【ファウンデーションケア】</v>
          </cell>
        </row>
        <row r="8667">
          <cell r="A8667" t="str">
            <v>U8ZA0E</v>
          </cell>
          <cell r="B8667" t="str">
            <v>FC24x7DMR4年 SO3500 12TB BU用</v>
          </cell>
          <cell r="C8667" t="str">
            <v>【ファウンデーションケア】</v>
          </cell>
        </row>
        <row r="8668">
          <cell r="A8668" t="str">
            <v>U8ZA1E</v>
          </cell>
          <cell r="B8668" t="str">
            <v>PC24x7 4年 SO3500 12TB BU用</v>
          </cell>
          <cell r="C8668" t="str">
            <v>【HPEプロアクティブケア】メーカー推奨／低価格で国内専用窓口の高品質な保守により、システム運用における安心を提供します。</v>
          </cell>
        </row>
        <row r="8669">
          <cell r="A8669" t="str">
            <v>U8ZA2E</v>
          </cell>
          <cell r="B8669" t="str">
            <v>PC24x7DMR4年 SO3500 12TB BU用</v>
          </cell>
          <cell r="C8669" t="str">
            <v>【HPEプロアクティブケア】メーカー推奨／低価格で国内専用窓口の高品質な保守により、システム運用における安心を提供します。</v>
          </cell>
        </row>
        <row r="8670">
          <cell r="A8670" t="str">
            <v>U8ZA3E</v>
          </cell>
          <cell r="B8670" t="str">
            <v>FC24x7 5年 SO3500 12TB BU用</v>
          </cell>
          <cell r="C8670" t="str">
            <v>【ファウンデーションケア】</v>
          </cell>
        </row>
        <row r="8671">
          <cell r="A8671" t="str">
            <v>U8ZA4E</v>
          </cell>
          <cell r="B8671" t="str">
            <v>FC24x7DMR5年 SO3500 12TB BU用</v>
          </cell>
          <cell r="C8671" t="str">
            <v>【ファウンデーションケア】</v>
          </cell>
        </row>
        <row r="8672">
          <cell r="A8672" t="str">
            <v>H0QS3E</v>
          </cell>
          <cell r="B8672" t="str">
            <v>FC24x7 3年 SORMC-S 3PAR72/82xx用</v>
          </cell>
          <cell r="C8672" t="str">
            <v>【ファウンデーションケア】</v>
          </cell>
        </row>
        <row r="8673">
          <cell r="A8673" t="str">
            <v>H0QS4E</v>
          </cell>
          <cell r="B8673" t="str">
            <v>PC24x7 3年 SORMC-S 3PAR72/82xx用</v>
          </cell>
          <cell r="C8673" t="str">
            <v>【HPEプロアクティブケア】メーカー推奨／低価格で国内専用窓口の高品質な保守により、システム運用における安心を提供します。</v>
          </cell>
        </row>
        <row r="8674">
          <cell r="A8674" t="str">
            <v>H0QS5E</v>
          </cell>
          <cell r="B8674" t="str">
            <v>FC24x7 4年 SORMC-S 3PAR72/82xx用</v>
          </cell>
          <cell r="C8674" t="str">
            <v>【ファウンデーションケア】</v>
          </cell>
        </row>
        <row r="8675">
          <cell r="A8675" t="str">
            <v>H0QS6E</v>
          </cell>
          <cell r="B8675" t="str">
            <v>PC24x7 4年 SORMC-S 3PAR72/82xx用</v>
          </cell>
          <cell r="C8675" t="str">
            <v>【HPEプロアクティブケア】メーカー推奨／低価格で国内専用窓口の高品質な保守により、システム運用における安心を提供します。</v>
          </cell>
        </row>
        <row r="8676">
          <cell r="A8676" t="str">
            <v>H0QS7E</v>
          </cell>
          <cell r="B8676" t="str">
            <v>FC24x7 5年 SORMC-S 3PAR72/82xx用</v>
          </cell>
          <cell r="C8676" t="str">
            <v>【ファウンデーションケア】</v>
          </cell>
        </row>
        <row r="8677">
          <cell r="A8677" t="str">
            <v>H0QS8E</v>
          </cell>
          <cell r="B8677" t="str">
            <v>PC24x7 5年 SORMC-S 3PAR72/82xx用</v>
          </cell>
          <cell r="C8677" t="str">
            <v>【HPEプロアクティブケア】メーカー推奨／低価格で国内専用窓口の高品質な保守により、システム運用における安心を提供します。</v>
          </cell>
        </row>
        <row r="8678">
          <cell r="A8678" t="str">
            <v>H0QS9E</v>
          </cell>
          <cell r="B8678" t="str">
            <v>FC24x7 3年 SORMC-S 3PAR74/84xx用</v>
          </cell>
          <cell r="C8678" t="str">
            <v>【ファウンデーションケア】</v>
          </cell>
        </row>
        <row r="8679">
          <cell r="A8679" t="str">
            <v>H0QT0E</v>
          </cell>
          <cell r="B8679" t="str">
            <v>PC24x7 3年 SORMC-S 3PAR74/84xx用</v>
          </cell>
          <cell r="C8679" t="str">
            <v>【HPEプロアクティブケア】メーカー推奨／低価格で国内専用窓口の高品質な保守により、システム運用における安心を提供します。</v>
          </cell>
        </row>
        <row r="8680">
          <cell r="A8680" t="str">
            <v>H0QT1E</v>
          </cell>
          <cell r="B8680" t="str">
            <v>FC24x7 4年 SORMC-S 3PAR74/84xx用</v>
          </cell>
          <cell r="C8680" t="str">
            <v>【ファウンデーションケア】</v>
          </cell>
        </row>
        <row r="8681">
          <cell r="A8681" t="str">
            <v>H0QT2E</v>
          </cell>
          <cell r="B8681" t="str">
            <v>PC24x7 4年 SORMC-S 3PAR74/84xx用</v>
          </cell>
          <cell r="C8681" t="str">
            <v>【HPEプロアクティブケア】メーカー推奨／低価格で国内専用窓口の高品質な保守により、システム運用における安心を提供します。</v>
          </cell>
        </row>
        <row r="8682">
          <cell r="A8682" t="str">
            <v>H0QT3E</v>
          </cell>
          <cell r="B8682" t="str">
            <v>FC24x7 5年 SORMC-S 3PAR74/84xx用</v>
          </cell>
          <cell r="C8682" t="str">
            <v>【ファウンデーションケア】</v>
          </cell>
        </row>
        <row r="8683">
          <cell r="A8683" t="str">
            <v>H0QT4E</v>
          </cell>
          <cell r="B8683" t="str">
            <v>PC24x7 5年 SORMC-S 3PAR74/84xx用</v>
          </cell>
          <cell r="C8683" t="str">
            <v>【HPEプロアクティブケア】メーカー推奨／低価格で国内専用窓口の高品質な保守により、システム運用における安心を提供します。</v>
          </cell>
        </row>
        <row r="8684">
          <cell r="A8684" t="str">
            <v>H0SW7E</v>
          </cell>
          <cell r="B8684" t="str">
            <v>PC24x7 3年 StorOnce4200/4500/5100 SecP用</v>
          </cell>
          <cell r="C8684" t="str">
            <v>【HPEプロアクティブケア】メーカー推奨／低価格で国内専用窓口の高品質な保守により、システム運用における安心を提供します。</v>
          </cell>
        </row>
        <row r="8685">
          <cell r="A8685" t="str">
            <v>H0SW8E</v>
          </cell>
          <cell r="B8685" t="str">
            <v>PC24x7 4年 StorOnce4200/4500/5100 SecP用</v>
          </cell>
          <cell r="C8685" t="str">
            <v>【HPEプロアクティブケア】メーカー推奨／低価格で国内専用窓口の高品質な保守により、システム運用における安心を提供します。</v>
          </cell>
        </row>
        <row r="8686">
          <cell r="A8686" t="str">
            <v>H0SW9E</v>
          </cell>
          <cell r="B8686" t="str">
            <v>PC24x7 5年 StorOnce4200/4500/5100 SecP用</v>
          </cell>
          <cell r="C8686" t="str">
            <v>【HPEプロアクティブケア】メーカー推奨／低価格で国内専用窓口の高品質な保守により、システム運用における安心を提供します。</v>
          </cell>
        </row>
        <row r="8687">
          <cell r="A8687" t="str">
            <v>H0TK6E</v>
          </cell>
          <cell r="B8687" t="str">
            <v>FC24x7 3年 StoreOnce VSA 4TB用</v>
          </cell>
          <cell r="C8687" t="str">
            <v>【ファウンデーションケア】</v>
          </cell>
        </row>
        <row r="8688">
          <cell r="A8688" t="str">
            <v>H0TK7E</v>
          </cell>
          <cell r="B8688" t="str">
            <v>PC24x7 3年 StoreOnce VSA 4TB用</v>
          </cell>
          <cell r="C8688" t="str">
            <v>【HPEプロアクティブケア】メーカー推奨／低価格で国内専用窓口の高品質な保守により、システム運用における安心を提供します。</v>
          </cell>
        </row>
        <row r="8689">
          <cell r="A8689" t="str">
            <v>H0TK8E</v>
          </cell>
          <cell r="B8689" t="str">
            <v>FC24x7 4年 StoreOnce VSA 4TB用</v>
          </cell>
          <cell r="C8689" t="str">
            <v>【ファウンデーションケア】</v>
          </cell>
        </row>
        <row r="8690">
          <cell r="A8690" t="str">
            <v>H0TK9E</v>
          </cell>
          <cell r="B8690" t="str">
            <v>PC24x7 4年 StoreOnce VSA 4TB用</v>
          </cell>
          <cell r="C8690" t="str">
            <v>【HPEプロアクティブケア】メーカー推奨／低価格で国内専用窓口の高品質な保守により、システム運用における安心を提供します。</v>
          </cell>
        </row>
        <row r="8691">
          <cell r="A8691" t="str">
            <v>H0TL0E</v>
          </cell>
          <cell r="B8691" t="str">
            <v>FC24x7 5年 StoreOnce VSA 4TB用</v>
          </cell>
          <cell r="C8691" t="str">
            <v>【ファウンデーションケア】</v>
          </cell>
        </row>
        <row r="8692">
          <cell r="A8692" t="str">
            <v>H0TL1E</v>
          </cell>
          <cell r="B8692" t="str">
            <v>PC24x7 5年 StoreOnce VSA 4TB用</v>
          </cell>
          <cell r="C8692" t="str">
            <v>【HPEプロアクティブケア】メーカー推奨／低価格で国内専用窓口の高品質な保守により、システム運用における安心を提供します。</v>
          </cell>
        </row>
        <row r="8693">
          <cell r="A8693" t="str">
            <v>H0TL2E</v>
          </cell>
          <cell r="B8693" t="str">
            <v>FC24x7 3年 StoreOnceVSA 10TB用</v>
          </cell>
          <cell r="C8693" t="str">
            <v>【ファウンデーションケア】</v>
          </cell>
        </row>
        <row r="8694">
          <cell r="A8694" t="str">
            <v>H0TL3E</v>
          </cell>
          <cell r="B8694" t="str">
            <v>PC24x7 3年 StoreOnceVSA 10TB用</v>
          </cell>
          <cell r="C8694" t="str">
            <v>【HPEプロアクティブケア】メーカー推奨／低価格で国内専用窓口の高品質な保守により、システム運用における安心を提供します。</v>
          </cell>
        </row>
        <row r="8695">
          <cell r="A8695" t="str">
            <v>H0TL4E</v>
          </cell>
          <cell r="B8695" t="str">
            <v>FC24x7 4年 StoreOnceVSA 10TB用</v>
          </cell>
          <cell r="C8695" t="str">
            <v>【ファウンデーションケア】</v>
          </cell>
        </row>
        <row r="8696">
          <cell r="A8696" t="str">
            <v>H0TL5E</v>
          </cell>
          <cell r="B8696" t="str">
            <v>PC24x7 4年 StoreOnceVSA 10TB用</v>
          </cell>
          <cell r="C8696" t="str">
            <v>【HPEプロアクティブケア】メーカー推奨／低価格で国内専用窓口の高品質な保守により、システム運用における安心を提供します。</v>
          </cell>
        </row>
        <row r="8697">
          <cell r="A8697" t="str">
            <v>H0TL6E</v>
          </cell>
          <cell r="B8697" t="str">
            <v>FC24x7 5年 StoreOnceVSA 10TB用</v>
          </cell>
          <cell r="C8697" t="str">
            <v>【ファウンデーションケア】</v>
          </cell>
        </row>
        <row r="8698">
          <cell r="A8698" t="str">
            <v>H0TL7E</v>
          </cell>
          <cell r="B8698" t="str">
            <v>PC24x7 5年 StoreOnceVSA 10TB用</v>
          </cell>
          <cell r="C8698" t="str">
            <v>【HPEプロアクティブケア】メーカー推奨／低価格で国内専用窓口の高品質な保守により、システム運用における安心を提供します。</v>
          </cell>
        </row>
        <row r="8699">
          <cell r="A8699" t="str">
            <v>H0TL8E</v>
          </cell>
          <cell r="B8699" t="str">
            <v>FC24x7 3年 StoreOnceVSA 20TB用</v>
          </cell>
          <cell r="C8699" t="str">
            <v>【ファウンデーションケア】</v>
          </cell>
        </row>
        <row r="8700">
          <cell r="A8700" t="str">
            <v>H0TL9E</v>
          </cell>
          <cell r="B8700" t="str">
            <v>PC24x7 3年 StoreOnceVSA 20TB用</v>
          </cell>
          <cell r="C8700" t="str">
            <v>【HPEプロアクティブケア】メーカー推奨／低価格で国内専用窓口の高品質な保守により、システム運用における安心を提供します。</v>
          </cell>
        </row>
        <row r="8701">
          <cell r="A8701" t="str">
            <v>H0TM0E</v>
          </cell>
          <cell r="B8701" t="str">
            <v>FC24x7 4年 StoreOnceVSA 20TB用</v>
          </cell>
          <cell r="C8701" t="str">
            <v>【ファウンデーションケア】</v>
          </cell>
        </row>
        <row r="8702">
          <cell r="A8702" t="str">
            <v>H0TM1E</v>
          </cell>
          <cell r="B8702" t="str">
            <v>PC24x7 4年 StoreOnceVSA 20TB用</v>
          </cell>
          <cell r="C8702" t="str">
            <v>【HPEプロアクティブケア】メーカー推奨／低価格で国内専用窓口の高品質な保守により、システム運用における安心を提供します。</v>
          </cell>
        </row>
        <row r="8703">
          <cell r="A8703" t="str">
            <v>H0TM2E</v>
          </cell>
          <cell r="B8703" t="str">
            <v>FC24x7 5年 StoreOnceVSA 20TB用</v>
          </cell>
          <cell r="C8703" t="str">
            <v>【ファウンデーションケア】</v>
          </cell>
        </row>
        <row r="8704">
          <cell r="A8704" t="str">
            <v>H0TM3E</v>
          </cell>
          <cell r="B8704" t="str">
            <v>PC24x7 5年 StoreOnceVSA 20TB用</v>
          </cell>
          <cell r="C8704" t="str">
            <v>【HPEプロアクティブケア】メーカー推奨／低価格で国内専用窓口の高品質な保守により、システム運用における安心を提供します。</v>
          </cell>
        </row>
        <row r="8705">
          <cell r="A8705" t="str">
            <v>H0TM4E</v>
          </cell>
          <cell r="B8705" t="str">
            <v>FC24x7 3年 StoreOnceVSA 50TB用</v>
          </cell>
          <cell r="C8705" t="str">
            <v>【ファウンデーションケア】</v>
          </cell>
        </row>
        <row r="8706">
          <cell r="A8706" t="str">
            <v>H0TM5E</v>
          </cell>
          <cell r="B8706" t="str">
            <v>PC24x7 3年 StoreOnceVSA 50TB用</v>
          </cell>
          <cell r="C8706" t="str">
            <v>【HPEプロアクティブケア】メーカー推奨／低価格で国内専用窓口の高品質な保守により、システム運用における安心を提供します。</v>
          </cell>
        </row>
        <row r="8707">
          <cell r="A8707" t="str">
            <v>H0TM6E</v>
          </cell>
          <cell r="B8707" t="str">
            <v>FC24x7 4年 StoreOnceVSA 50TB用</v>
          </cell>
          <cell r="C8707" t="str">
            <v>【ファウンデーションケア】</v>
          </cell>
        </row>
        <row r="8708">
          <cell r="A8708" t="str">
            <v>H0TM7E</v>
          </cell>
          <cell r="B8708" t="str">
            <v>PC24x7 4年 StoreOnceVSA 50TB用</v>
          </cell>
          <cell r="C8708" t="str">
            <v>【HPEプロアクティブケア】メーカー推奨／低価格で国内専用窓口の高品質な保守により、システム運用における安心を提供します。</v>
          </cell>
        </row>
        <row r="8709">
          <cell r="A8709" t="str">
            <v>H0TM8E</v>
          </cell>
          <cell r="B8709" t="str">
            <v>FC24x7 5年 StoreOnceVSA 50TB用</v>
          </cell>
          <cell r="C8709" t="str">
            <v>【ファウンデーションケア】</v>
          </cell>
        </row>
        <row r="8710">
          <cell r="A8710" t="str">
            <v>H0TM9E</v>
          </cell>
          <cell r="B8710" t="str">
            <v>PC24x7 5年 StoreOnceVSA 50TB用</v>
          </cell>
          <cell r="C8710" t="str">
            <v>【HPEプロアクティブケア】メーカー推奨／低価格で国内専用窓口の高品質な保守により、システム運用における安心を提供します。</v>
          </cell>
        </row>
        <row r="8711">
          <cell r="A8711" t="str">
            <v>H0TN0E</v>
          </cell>
          <cell r="B8711" t="str">
            <v>FC24x7 3年 SO VSA 4-10TB Cap用</v>
          </cell>
          <cell r="C8711" t="str">
            <v>【ファウンデーションケア】</v>
          </cell>
        </row>
        <row r="8712">
          <cell r="A8712" t="str">
            <v>H0TN1E</v>
          </cell>
          <cell r="B8712" t="str">
            <v>PC24x7 3年 SO VSA 4-10TB Cap用</v>
          </cell>
          <cell r="C8712" t="str">
            <v>【HPEプロアクティブケア】メーカー推奨／低価格で国内専用窓口の高品質な保守により、システム運用における安心を提供します。</v>
          </cell>
        </row>
        <row r="8713">
          <cell r="A8713" t="str">
            <v>H0TN2E</v>
          </cell>
          <cell r="B8713" t="str">
            <v>FC24x7 4年 SO VSA 4-10TB Cap用</v>
          </cell>
          <cell r="C8713" t="str">
            <v>【ファウンデーションケア】</v>
          </cell>
        </row>
        <row r="8714">
          <cell r="A8714" t="str">
            <v>H0TN3E</v>
          </cell>
          <cell r="B8714" t="str">
            <v>PC24x7 4年 SO VSA 4-10TB Cap用</v>
          </cell>
          <cell r="C8714" t="str">
            <v>【HPEプロアクティブケア】メーカー推奨／低価格で国内専用窓口の高品質な保守により、システム運用における安心を提供します。</v>
          </cell>
        </row>
        <row r="8715">
          <cell r="A8715" t="str">
            <v>H0TN4E</v>
          </cell>
          <cell r="B8715" t="str">
            <v>FC24x7 5年 SO VSA 4-10TB Cap用</v>
          </cell>
          <cell r="C8715" t="str">
            <v>【ファウンデーションケア】</v>
          </cell>
        </row>
        <row r="8716">
          <cell r="A8716" t="str">
            <v>H0TN5E</v>
          </cell>
          <cell r="B8716" t="str">
            <v>PC24x7 5年 SO VSA 4-10TB Cap用</v>
          </cell>
          <cell r="C8716" t="str">
            <v>【HPEプロアクティブケア】メーカー推奨／低価格で国内専用窓口の高品質な保守により、システム運用における安心を提供します。</v>
          </cell>
        </row>
        <row r="8717">
          <cell r="A8717" t="str">
            <v>H0TN6E</v>
          </cell>
          <cell r="B8717" t="str">
            <v>FC24x7 3年 SO VSA 10-20TB Cap用</v>
          </cell>
          <cell r="C8717" t="str">
            <v>【ファウンデーションケア】</v>
          </cell>
        </row>
        <row r="8718">
          <cell r="A8718" t="str">
            <v>H0TN7E</v>
          </cell>
          <cell r="B8718" t="str">
            <v>PC24x7 3年 SO VSA 10-20TB Cap用</v>
          </cell>
          <cell r="C8718" t="str">
            <v>【HPEプロアクティブケア】メーカー推奨／低価格で国内専用窓口の高品質な保守により、システム運用における安心を提供します。</v>
          </cell>
        </row>
        <row r="8719">
          <cell r="A8719" t="str">
            <v>H0TN8E</v>
          </cell>
          <cell r="B8719" t="str">
            <v>FC24x7 4年 SO VSA 10-20TB Cap用</v>
          </cell>
          <cell r="C8719" t="str">
            <v>【ファウンデーションケア】</v>
          </cell>
        </row>
        <row r="8720">
          <cell r="A8720" t="str">
            <v>H0TN9E</v>
          </cell>
          <cell r="B8720" t="str">
            <v>PC24x7 4年 SO VSA 10-20TB Cap用</v>
          </cell>
          <cell r="C8720" t="str">
            <v>【HPEプロアクティブケア】メーカー推奨／低価格で国内専用窓口の高品質な保守により、システム運用における安心を提供します。</v>
          </cell>
        </row>
        <row r="8721">
          <cell r="A8721" t="str">
            <v>H0TP0E</v>
          </cell>
          <cell r="B8721" t="str">
            <v>FC24x7 5年 SO VSA 10-20TB Cap用</v>
          </cell>
          <cell r="C8721" t="str">
            <v>【ファウンデーションケア】</v>
          </cell>
        </row>
        <row r="8722">
          <cell r="A8722" t="str">
            <v>H0TP1E</v>
          </cell>
          <cell r="B8722" t="str">
            <v>PC24x7 5年 SO VSA 10-20TB Cap用</v>
          </cell>
          <cell r="C8722" t="str">
            <v>【HPEプロアクティブケア】メーカー推奨／低価格で国内専用窓口の高品質な保守により、システム運用における安心を提供します。</v>
          </cell>
        </row>
        <row r="8723">
          <cell r="A8723" t="str">
            <v>H0TP2E</v>
          </cell>
          <cell r="B8723" t="str">
            <v>FC24x7 3年 SO VSA 20-50TB Cap用</v>
          </cell>
          <cell r="C8723" t="str">
            <v>【ファウンデーションケア】</v>
          </cell>
        </row>
        <row r="8724">
          <cell r="A8724" t="str">
            <v>H0TP3E</v>
          </cell>
          <cell r="B8724" t="str">
            <v>PC24x7 3年 SO VSA 20-50TB Cap用</v>
          </cell>
          <cell r="C8724" t="str">
            <v>【HPEプロアクティブケア】メーカー推奨／低価格で国内専用窓口の高品質な保守により、システム運用における安心を提供します。</v>
          </cell>
        </row>
        <row r="8725">
          <cell r="A8725" t="str">
            <v>H0TP4E</v>
          </cell>
          <cell r="B8725" t="str">
            <v>FC24x7 4年 SO VSA 20-50TB Cap用</v>
          </cell>
          <cell r="C8725" t="str">
            <v>【ファウンデーションケア】</v>
          </cell>
        </row>
        <row r="8726">
          <cell r="A8726" t="str">
            <v>H0TP5E</v>
          </cell>
          <cell r="B8726" t="str">
            <v>PC24x7 4年 SO VSA 20-50TB Cap用</v>
          </cell>
          <cell r="C8726" t="str">
            <v>【HPEプロアクティブケア】メーカー推奨／低価格で国内専用窓口の高品質な保守により、システム運用における安心を提供します。</v>
          </cell>
        </row>
        <row r="8727">
          <cell r="A8727" t="str">
            <v>H0TP6E</v>
          </cell>
          <cell r="B8727" t="str">
            <v>FC24x7 5年 SO VSA 20-50TB Cap用</v>
          </cell>
          <cell r="C8727" t="str">
            <v>【ファウンデーションケア】</v>
          </cell>
        </row>
        <row r="8728">
          <cell r="A8728" t="str">
            <v>H0TP7E</v>
          </cell>
          <cell r="B8728" t="str">
            <v>PC24x7 5年 SO VSA 20-50TB Cap用</v>
          </cell>
          <cell r="C8728" t="str">
            <v>【HPEプロアクティブケア】メーカー推奨／低価格で国内専用窓口の高品質な保守により、システム運用における安心を提供します。</v>
          </cell>
        </row>
        <row r="8729">
          <cell r="A8729" t="str">
            <v>H0UK4E</v>
          </cell>
          <cell r="B8729" t="str">
            <v>FC24x7 3年 SO VSA 32TB用</v>
          </cell>
          <cell r="C8729" t="str">
            <v>【ファウンデーションケア】</v>
          </cell>
        </row>
        <row r="8730">
          <cell r="A8730" t="str">
            <v>H0UK5E</v>
          </cell>
          <cell r="B8730" t="str">
            <v>PC24x7 3年 SO VSA 32TB用</v>
          </cell>
          <cell r="C8730" t="str">
            <v>【HPEプロアクティブケア】メーカー推奨／低価格で国内専用窓口の高品質な保守により、システム運用における安心を提供します。</v>
          </cell>
        </row>
        <row r="8731">
          <cell r="A8731" t="str">
            <v>H0UK6E</v>
          </cell>
          <cell r="B8731" t="str">
            <v>FC24x7 4年 SO VSA 32TB用</v>
          </cell>
          <cell r="C8731" t="str">
            <v>【ファウンデーションケア】</v>
          </cell>
        </row>
        <row r="8732">
          <cell r="A8732" t="str">
            <v>H0UK7E</v>
          </cell>
          <cell r="B8732" t="str">
            <v>PC24x7 4年 SO VSA 32TB用</v>
          </cell>
          <cell r="C8732" t="str">
            <v>【HPEプロアクティブケア】メーカー推奨／低価格で国内専用窓口の高品質な保守により、システム運用における安心を提供します。</v>
          </cell>
        </row>
        <row r="8733">
          <cell r="A8733" t="str">
            <v>H0UK8E</v>
          </cell>
          <cell r="B8733" t="str">
            <v>FC24x7 5年 SO VSA 32TB用</v>
          </cell>
          <cell r="C8733" t="str">
            <v>【ファウンデーションケア】</v>
          </cell>
        </row>
        <row r="8734">
          <cell r="A8734" t="str">
            <v>H0UK9E</v>
          </cell>
          <cell r="B8734" t="str">
            <v>PC24x7 5年 SO VSA 32TB用</v>
          </cell>
          <cell r="C8734" t="str">
            <v>【HPEプロアクティブケア】メーカー推奨／低価格で国内専用窓口の高品質な保守により、システム運用における安心を提供します。</v>
          </cell>
        </row>
        <row r="8735">
          <cell r="A8735" t="str">
            <v>H0UL0E</v>
          </cell>
          <cell r="B8735" t="str">
            <v>FC24x7 3年 SO VSA 20-32TB Upg用</v>
          </cell>
          <cell r="C8735" t="str">
            <v>【ファウンデーションケア】</v>
          </cell>
        </row>
        <row r="8736">
          <cell r="A8736" t="str">
            <v>H0UL1E</v>
          </cell>
          <cell r="B8736" t="str">
            <v>PC24x7 3年 SO VSA 20-32TB Upg用</v>
          </cell>
          <cell r="C8736" t="str">
            <v>【HPEプロアクティブケア】メーカー推奨／低価格で国内専用窓口の高品質な保守により、システム運用における安心を提供します。</v>
          </cell>
        </row>
        <row r="8737">
          <cell r="A8737" t="str">
            <v>H0UL2E</v>
          </cell>
          <cell r="B8737" t="str">
            <v>FC24x7 4年 SO VSA 20-32TB Upg用</v>
          </cell>
          <cell r="C8737" t="str">
            <v>【ファウンデーションケア】</v>
          </cell>
        </row>
        <row r="8738">
          <cell r="A8738" t="str">
            <v>H0UL3E</v>
          </cell>
          <cell r="B8738" t="str">
            <v>PC24x7 4年 SO VSA 20-32TB Upg用</v>
          </cell>
          <cell r="C8738" t="str">
            <v>【HPEプロアクティブケア】メーカー推奨／低価格で国内専用窓口の高品質な保守により、システム運用における安心を提供します。</v>
          </cell>
        </row>
        <row r="8739">
          <cell r="A8739" t="str">
            <v>H0UL4E</v>
          </cell>
          <cell r="B8739" t="str">
            <v>FC24x7 5年 SO VSA 20-32TB Upg用</v>
          </cell>
          <cell r="C8739" t="str">
            <v>【ファウンデーションケア】</v>
          </cell>
        </row>
        <row r="8740">
          <cell r="A8740" t="str">
            <v>H0UL5E</v>
          </cell>
          <cell r="B8740" t="str">
            <v>PC24x7 5年 SO VSA 20-32TB Upg用</v>
          </cell>
          <cell r="C8740" t="str">
            <v>【HPEプロアクティブケア】メーカー推奨／低価格で国内専用窓口の高品質な保守により、システム運用における安心を提供します。</v>
          </cell>
        </row>
        <row r="8741">
          <cell r="A8741" t="str">
            <v>H0UL6E</v>
          </cell>
          <cell r="B8741" t="str">
            <v>FC24x7 3年 SO VSA 32-50TB Upg用</v>
          </cell>
          <cell r="C8741" t="str">
            <v>【ファウンデーションケア】</v>
          </cell>
        </row>
        <row r="8742">
          <cell r="A8742" t="str">
            <v>H0UL7E</v>
          </cell>
          <cell r="B8742" t="str">
            <v>PC24x7 3年 SO VSA 32-50TB Upg用</v>
          </cell>
          <cell r="C8742" t="str">
            <v>【HPEプロアクティブケア】メーカー推奨／低価格で国内専用窓口の高品質な保守により、システム運用における安心を提供します。</v>
          </cell>
        </row>
        <row r="8743">
          <cell r="A8743" t="str">
            <v>H0UL8E</v>
          </cell>
          <cell r="B8743" t="str">
            <v>FC24x7 4年 SO VSA 32-50TB Upg用</v>
          </cell>
          <cell r="C8743" t="str">
            <v>【ファウンデーションケア】</v>
          </cell>
        </row>
        <row r="8744">
          <cell r="A8744" t="str">
            <v>H0UL9E</v>
          </cell>
          <cell r="B8744" t="str">
            <v>PC24x7 4年 SO VSA 32-50TB Upg用</v>
          </cell>
          <cell r="C8744" t="str">
            <v>【HPEプロアクティブケア】メーカー推奨／低価格で国内専用窓口の高品質な保守により、システム運用における安心を提供します。</v>
          </cell>
        </row>
        <row r="8745">
          <cell r="A8745" t="str">
            <v>H0UM0E</v>
          </cell>
          <cell r="B8745" t="str">
            <v>FC24x7 5年 SO VSA 32-50TB Upg用</v>
          </cell>
          <cell r="C8745" t="str">
            <v>【ファウンデーションケア】</v>
          </cell>
        </row>
        <row r="8746">
          <cell r="A8746" t="str">
            <v>H0UM1E</v>
          </cell>
          <cell r="B8746" t="str">
            <v>PC24x7 5年 SO VSA 32-50TB Upg用</v>
          </cell>
          <cell r="C8746" t="str">
            <v>【HPEプロアクティブケア】メーカー推奨／低価格で国内専用窓口の高品質な保守により、システム運用における安心を提供します。</v>
          </cell>
        </row>
        <row r="8747">
          <cell r="A8747" t="str">
            <v>H1DN0E</v>
          </cell>
          <cell r="B8747" t="str">
            <v>FC24x7 3年 MSA Adv Datas用</v>
          </cell>
          <cell r="C8747" t="str">
            <v>【ファウンデーションケア】</v>
          </cell>
        </row>
        <row r="8748">
          <cell r="A8748" t="str">
            <v>H1DN1E</v>
          </cell>
          <cell r="B8748" t="str">
            <v>PC24x7 3年 MSA Adv Datas用</v>
          </cell>
          <cell r="C8748" t="str">
            <v>【HPEプロアクティブケア】メーカー推奨／低価格で国内専用窓口の高品質な保守により、システム運用における安心を提供します。</v>
          </cell>
        </row>
        <row r="8749">
          <cell r="A8749" t="str">
            <v>H1DN4E</v>
          </cell>
          <cell r="B8749" t="str">
            <v>FC24x7 4年 MSA Adv Datas用</v>
          </cell>
          <cell r="C8749" t="str">
            <v>【ファウンデーションケア】</v>
          </cell>
        </row>
        <row r="8750">
          <cell r="A8750" t="str">
            <v>H1DN5E</v>
          </cell>
          <cell r="B8750" t="str">
            <v>PC24x7 4年 MSA Adv Datas用</v>
          </cell>
          <cell r="C8750" t="str">
            <v>【HPEプロアクティブケア】メーカー推奨／低価格で国内専用窓口の高品質な保守により、システム運用における安心を提供します。</v>
          </cell>
        </row>
        <row r="8751">
          <cell r="A8751" t="str">
            <v>H1DN8E</v>
          </cell>
          <cell r="B8751" t="str">
            <v>FC24x7 5年 MSA Adv Datas用</v>
          </cell>
          <cell r="C8751" t="str">
            <v>【ファウンデーションケア】</v>
          </cell>
        </row>
        <row r="8752">
          <cell r="A8752" t="str">
            <v>H1DN9E</v>
          </cell>
          <cell r="B8752" t="str">
            <v>PC24x7 5年 MSA Adv Datas用</v>
          </cell>
          <cell r="C8752" t="str">
            <v>【HPEプロアクティブケア】メーカー推奨／低価格で国内専用窓口の高品質な保守により、システム運用における安心を提供します。</v>
          </cell>
        </row>
        <row r="8753">
          <cell r="A8753" t="str">
            <v>H1ED9E</v>
          </cell>
          <cell r="B8753" t="str">
            <v>FC24x7 3年 SN6600B PP Upgrade LTU用</v>
          </cell>
          <cell r="C8753" t="str">
            <v>【ファウンデーションケア】</v>
          </cell>
        </row>
        <row r="8754">
          <cell r="A8754" t="str">
            <v>H1EE0E</v>
          </cell>
          <cell r="B8754" t="str">
            <v>PC24x7 3年 SN6600B PP Upgrade LTU用</v>
          </cell>
          <cell r="C8754" t="str">
            <v>【HPEプロアクティブケア】メーカー推奨／低価格で国内専用窓口の高品質な保守により、システム運用における安心を提供します。</v>
          </cell>
        </row>
        <row r="8755">
          <cell r="A8755" t="str">
            <v>H1EE3E</v>
          </cell>
          <cell r="B8755" t="str">
            <v>FC24x7 4年 SN6600B PP Upgrade LTU用</v>
          </cell>
          <cell r="C8755" t="str">
            <v>【ファウンデーションケア】</v>
          </cell>
        </row>
        <row r="8756">
          <cell r="A8756" t="str">
            <v>H1EE4E</v>
          </cell>
          <cell r="B8756" t="str">
            <v>PC24x7 4年 SN6600B PP Upgrade LTU用</v>
          </cell>
          <cell r="C8756" t="str">
            <v>【HPEプロアクティブケア】メーカー推奨／低価格で国内専用窓口の高品質な保守により、システム運用における安心を提供します。</v>
          </cell>
        </row>
        <row r="8757">
          <cell r="A8757" t="str">
            <v>H1EE7E</v>
          </cell>
          <cell r="B8757" t="str">
            <v>FC24x7 5年 SN6600B PP Upgrade LTU用</v>
          </cell>
          <cell r="C8757" t="str">
            <v>【ファウンデーションケア】</v>
          </cell>
        </row>
        <row r="8758">
          <cell r="A8758" t="str">
            <v>H1EE8E</v>
          </cell>
          <cell r="B8758" t="str">
            <v>PC24x7 5年 SN6600B PP Upgrade LTU用</v>
          </cell>
          <cell r="C8758" t="str">
            <v>【HPEプロアクティブケア】メーカー推奨／低価格で国内専用窓口の高品質な保守により、システム運用における安心を提供します。</v>
          </cell>
        </row>
        <row r="8759">
          <cell r="A8759" t="str">
            <v>H2UG4E</v>
          </cell>
          <cell r="B8759" t="str">
            <v>FC24x7 3年 SV 3200 Adv DS用</v>
          </cell>
          <cell r="C8759" t="str">
            <v>【ファウンデーションケア】</v>
          </cell>
        </row>
        <row r="8760">
          <cell r="A8760" t="str">
            <v>H2UG5E</v>
          </cell>
          <cell r="B8760" t="str">
            <v>PC24x7 3年 SV 3200 Adv DS用</v>
          </cell>
          <cell r="C8760" t="str">
            <v>【HPEプロアクティブケア】メーカー推奨／低価格で国内専用窓口の高品質な保守により、システム運用における安心を提供します。</v>
          </cell>
        </row>
        <row r="8761">
          <cell r="A8761" t="str">
            <v>H2UG8E</v>
          </cell>
          <cell r="B8761" t="str">
            <v>FC24x7 4年 SV 3200 Adv DS用</v>
          </cell>
          <cell r="C8761" t="str">
            <v>【ファウンデーションケア】</v>
          </cell>
        </row>
        <row r="8762">
          <cell r="A8762" t="str">
            <v>H2UG9E</v>
          </cell>
          <cell r="B8762" t="str">
            <v>PC24x7 4年 SV 3200 Adv DS用</v>
          </cell>
          <cell r="C8762" t="str">
            <v>【HPEプロアクティブケア】メーカー推奨／低価格で国内専用窓口の高品質な保守により、システム運用における安心を提供します。</v>
          </cell>
        </row>
        <row r="8763">
          <cell r="A8763" t="str">
            <v>H2UH2E</v>
          </cell>
          <cell r="B8763" t="str">
            <v>FC24x7 5年 SV 3200 Adv DS用</v>
          </cell>
          <cell r="C8763" t="str">
            <v>【ファウンデーションケア】</v>
          </cell>
        </row>
        <row r="8764">
          <cell r="A8764" t="str">
            <v>H2UH3E</v>
          </cell>
          <cell r="B8764" t="str">
            <v>PC24x7 5年 SV 3200 Adv DS用</v>
          </cell>
          <cell r="C8764" t="str">
            <v>【HPEプロアクティブケア】メーカー推奨／低価格で国内専用窓口の高品質な保守により、システム運用における安心を提供します。</v>
          </cell>
        </row>
        <row r="8765">
          <cell r="A8765" t="str">
            <v>H5UK7E</v>
          </cell>
          <cell r="B8765" t="str">
            <v>PC24x7 3年 SV VSA 2014 10TB用</v>
          </cell>
          <cell r="C8765" t="str">
            <v>【HPEプロアクティブケア】メーカー推奨／低価格で国内専用窓口の高品質な保守により、システム運用における安心を提供します。</v>
          </cell>
        </row>
        <row r="8766">
          <cell r="A8766" t="str">
            <v>H5UL7E</v>
          </cell>
          <cell r="B8766" t="str">
            <v>PC24x7 3年 SV VSA 2014 50TB用</v>
          </cell>
          <cell r="C8766" t="str">
            <v>【HPEプロアクティブケア】メーカー推奨／低価格で国内専用窓口の高品質な保守により、システム運用における安心を提供します。</v>
          </cell>
        </row>
        <row r="8767">
          <cell r="A8767" t="str">
            <v>H7JC2E</v>
          </cell>
          <cell r="B8767" t="str">
            <v>FC9x5 3年 SN3600B PP Up LTU用</v>
          </cell>
          <cell r="C8767" t="str">
            <v>【ファウンデーションケア】</v>
          </cell>
        </row>
        <row r="8768">
          <cell r="A8768" t="str">
            <v>H7JC3E</v>
          </cell>
          <cell r="B8768" t="str">
            <v>FC24x7 3年 SN3600B PP Up LTU用</v>
          </cell>
          <cell r="C8768" t="str">
            <v>【ファウンデーションケア】</v>
          </cell>
        </row>
        <row r="8769">
          <cell r="A8769" t="str">
            <v>H7JC4E</v>
          </cell>
          <cell r="B8769" t="str">
            <v>PC24x7 3年 SN3600B PP Up LTU用</v>
          </cell>
          <cell r="C8769" t="str">
            <v>【HPEプロアクティブケア】メーカー推奨／低価格で国内専用窓口の高品質な保守により、システム運用における安心を提供します。</v>
          </cell>
        </row>
        <row r="8770">
          <cell r="A8770" t="str">
            <v>H7JC6E</v>
          </cell>
          <cell r="B8770" t="str">
            <v>FC9x5 4年 SN3600B PP Up LTU用</v>
          </cell>
          <cell r="C8770" t="str">
            <v>【ファウンデーションケア】</v>
          </cell>
        </row>
        <row r="8771">
          <cell r="A8771" t="str">
            <v>H7JC7E</v>
          </cell>
          <cell r="B8771" t="str">
            <v>FC24x7 4年 SN3600B PP Up LTU用</v>
          </cell>
          <cell r="C8771" t="str">
            <v>【ファウンデーションケア】</v>
          </cell>
        </row>
        <row r="8772">
          <cell r="A8772" t="str">
            <v>H7JC8E</v>
          </cell>
          <cell r="B8772" t="str">
            <v>PC24x7 4年 SN3600B PP Up LTU用</v>
          </cell>
          <cell r="C8772" t="str">
            <v>【HPEプロアクティブケア】メーカー推奨／低価格で国内専用窓口の高品質な保守により、システム運用における安心を提供します。</v>
          </cell>
        </row>
        <row r="8773">
          <cell r="A8773" t="str">
            <v>H7JD0E</v>
          </cell>
          <cell r="B8773" t="str">
            <v>FC9x5 5年 SN3600B PP Up LTU用</v>
          </cell>
          <cell r="C8773" t="str">
            <v>【ファウンデーションケア】</v>
          </cell>
        </row>
        <row r="8774">
          <cell r="A8774" t="str">
            <v>H7JD1E</v>
          </cell>
          <cell r="B8774" t="str">
            <v>FC24x7 5年 SN3600B PP Up LTU用</v>
          </cell>
          <cell r="C8774" t="str">
            <v>【ファウンデーションケア】</v>
          </cell>
        </row>
        <row r="8775">
          <cell r="A8775" t="str">
            <v>H7JD2E</v>
          </cell>
          <cell r="B8775" t="str">
            <v>PC24x7 5年 SN3600B PP Up LTU用</v>
          </cell>
          <cell r="C8775" t="str">
            <v>【HPEプロアクティブケア】メーカー推奨／低価格で国内専用窓口の高品質な保守により、システム運用における安心を提供します。</v>
          </cell>
        </row>
        <row r="8776">
          <cell r="A8776" t="str">
            <v>H8PU4E</v>
          </cell>
          <cell r="B8776" t="str">
            <v>PC 24x7 3年 iLO Adv Security Lic 3年用</v>
          </cell>
          <cell r="C8776" t="str">
            <v>【HPEプロアクティブケア】メーカー推奨／低価格で国内専用窓口の高品質な保守により、システム運用における安心を提供します。</v>
          </cell>
        </row>
        <row r="8777">
          <cell r="A8777" t="str">
            <v>H8PU6E</v>
          </cell>
          <cell r="B8777" t="str">
            <v>FC 24x7 4年 iLO Adv Security Lic 3年用</v>
          </cell>
          <cell r="C8777" t="str">
            <v>【ファウンデーションケア】</v>
          </cell>
        </row>
        <row r="8778">
          <cell r="A8778" t="str">
            <v>H8PU7E</v>
          </cell>
          <cell r="B8778" t="str">
            <v>PC 24x7 4年 iLO Adv Security Lic 3年用</v>
          </cell>
          <cell r="C8778" t="str">
            <v>【HPEプロアクティブケア】メーカー推奨／低価格で国内専用窓口の高品質な保守により、システム運用における安心を提供します。</v>
          </cell>
        </row>
        <row r="8779">
          <cell r="A8779" t="str">
            <v>H8PU9E</v>
          </cell>
          <cell r="B8779" t="str">
            <v>FC 24x7 5年 iLO Adv Security Lic 3年用</v>
          </cell>
          <cell r="C8779" t="str">
            <v>【ファウンデーションケア】</v>
          </cell>
        </row>
        <row r="8780">
          <cell r="A8780" t="str">
            <v>H8PV0E</v>
          </cell>
          <cell r="B8780" t="str">
            <v>PC 24x7 5年 iLO Adv Security Lic 3年用</v>
          </cell>
          <cell r="C8780" t="str">
            <v>【HPEプロアクティブケア】メーカー推奨／低価格で国内専用窓口の高品質な保守により、システム運用における安心を提供します。</v>
          </cell>
        </row>
        <row r="8781">
          <cell r="A8781" t="str">
            <v>H9YE8E</v>
          </cell>
          <cell r="B8781" t="str">
            <v>FC 9x5 5年 MSL3040 KMIP Key Manager LTU</v>
          </cell>
          <cell r="C8781" t="str">
            <v>【ファウンデーションケア】</v>
          </cell>
        </row>
        <row r="8782">
          <cell r="A8782" t="str">
            <v>H9YE9E</v>
          </cell>
          <cell r="B8782" t="str">
            <v>FC 24x7 5年 MSL3040 KMIP Key Manager LTU</v>
          </cell>
          <cell r="C8782" t="str">
            <v>【ファウンデーションケア】</v>
          </cell>
        </row>
        <row r="8783">
          <cell r="A8783" t="str">
            <v>H9YF0E</v>
          </cell>
          <cell r="B8783" t="str">
            <v>PC 24x7 5年 MSL3040 KMIP Key Manager LTU</v>
          </cell>
          <cell r="C8783" t="str">
            <v>【HPEプロアクティブケア】メーカー推奨／低価格で国内専用窓口の高品質な保守により、システム運用における安心を提供します。</v>
          </cell>
        </row>
        <row r="8784">
          <cell r="A8784" t="str">
            <v>H9YF2E</v>
          </cell>
          <cell r="B8784" t="str">
            <v>FC 9x5 3年 MSL3040 Secure Manager LTU用</v>
          </cell>
          <cell r="C8784" t="str">
            <v>【ファウンデーションケア】</v>
          </cell>
        </row>
        <row r="8785">
          <cell r="A8785" t="str">
            <v>H9YF3E</v>
          </cell>
          <cell r="B8785" t="str">
            <v>FC 24x7 3年 MSL3040 Secure Manager LTU用</v>
          </cell>
          <cell r="C8785" t="str">
            <v>【ファウンデーションケア】</v>
          </cell>
        </row>
        <row r="8786">
          <cell r="A8786" t="str">
            <v>H9YF4E</v>
          </cell>
          <cell r="B8786" t="str">
            <v>PC 24x7 3年 MSL3040 Secure Manager LTU用</v>
          </cell>
          <cell r="C8786" t="str">
            <v>【HPEプロアクティブケア】メーカー推奨／低価格で国内専用窓口の高品質な保守により、システム運用における安心を提供します。</v>
          </cell>
        </row>
        <row r="8787">
          <cell r="A8787" t="str">
            <v>H9YF6E</v>
          </cell>
          <cell r="B8787" t="str">
            <v>FC 9x5 4年 MSL3040 Secure Manager LTU用</v>
          </cell>
          <cell r="C8787" t="str">
            <v>【ファウンデーションケア】</v>
          </cell>
        </row>
        <row r="8788">
          <cell r="A8788" t="str">
            <v>H9YF7E</v>
          </cell>
          <cell r="B8788" t="str">
            <v>FC 24x7 4年 MSL3040 Secure Manager LTU用</v>
          </cell>
          <cell r="C8788" t="str">
            <v>【ファウンデーションケア】</v>
          </cell>
        </row>
        <row r="8789">
          <cell r="A8789" t="str">
            <v>H9YF8E</v>
          </cell>
          <cell r="B8789" t="str">
            <v>PC 24x7 4年 MSL3040 Secure Manager LTU用</v>
          </cell>
          <cell r="C8789" t="str">
            <v>【HPEプロアクティブケア】メーカー推奨／低価格で国内専用窓口の高品質な保守により、システム運用における安心を提供します。</v>
          </cell>
        </row>
        <row r="8790">
          <cell r="A8790" t="str">
            <v>H9YG0E</v>
          </cell>
          <cell r="B8790" t="str">
            <v>FC 9x5 5年 MSL3040 Secure Manager LTU用</v>
          </cell>
          <cell r="C8790" t="str">
            <v>【ファウンデーションケア】</v>
          </cell>
        </row>
        <row r="8791">
          <cell r="A8791" t="str">
            <v>H9YG1E</v>
          </cell>
          <cell r="B8791" t="str">
            <v>FC 24x7 5年 MSL3040 Secure Manager LTU用</v>
          </cell>
          <cell r="C8791" t="str">
            <v>【ファウンデーションケア】</v>
          </cell>
        </row>
        <row r="8792">
          <cell r="A8792" t="str">
            <v>H9YG2E</v>
          </cell>
          <cell r="B8792" t="str">
            <v>PC 24x7 5年 MSL3040 Secure Manager LTU用</v>
          </cell>
          <cell r="C8792" t="str">
            <v>【HPEプロアクティブケア】メーカー推奨／低価格で国内専用窓口の高品質な保守により、システム運用における安心を提供します。</v>
          </cell>
        </row>
        <row r="8793">
          <cell r="A8793" t="str">
            <v>H9YG4E</v>
          </cell>
          <cell r="B8793" t="str">
            <v>FC 9x5 3年 MSL3040 Data Path Failover用</v>
          </cell>
          <cell r="C8793" t="str">
            <v>【ファウンデーションケア】</v>
          </cell>
        </row>
        <row r="8794">
          <cell r="A8794" t="str">
            <v>H9YG5E</v>
          </cell>
          <cell r="B8794" t="str">
            <v>FC 24x7 3年 MSL3040 Data Path Failover用</v>
          </cell>
          <cell r="C8794" t="str">
            <v>【ファウンデーションケア】</v>
          </cell>
        </row>
        <row r="8795">
          <cell r="A8795" t="str">
            <v>H9YG6E</v>
          </cell>
          <cell r="B8795" t="str">
            <v>PC 24x7 3年 MSL3040 Data Path Failover用</v>
          </cell>
          <cell r="C8795" t="str">
            <v>【HPEプロアクティブケア】メーカー推奨／低価格で国内専用窓口の高品質な保守により、システム運用における安心を提供します。</v>
          </cell>
        </row>
        <row r="8796">
          <cell r="A8796" t="str">
            <v>H9YG8E</v>
          </cell>
          <cell r="B8796" t="str">
            <v>FC 9x5 4年 MSL3040 Data Path Failover用</v>
          </cell>
          <cell r="C8796" t="str">
            <v>【ファウンデーションケア】</v>
          </cell>
        </row>
        <row r="8797">
          <cell r="A8797" t="str">
            <v>H9YG9E</v>
          </cell>
          <cell r="B8797" t="str">
            <v>FC 24x7 4年 MSL3040 Data Path Failover用</v>
          </cell>
          <cell r="C8797" t="str">
            <v>【ファウンデーションケア】</v>
          </cell>
        </row>
        <row r="8798">
          <cell r="A8798" t="str">
            <v>H9YH0E</v>
          </cell>
          <cell r="B8798" t="str">
            <v>PC 24x7 4年 MSL3040 Data Path Failover用</v>
          </cell>
          <cell r="C8798" t="str">
            <v>【HPEプロアクティブケア】メーカー推奨／低価格で国内専用窓口の高品質な保守により、システム運用における安心を提供します。</v>
          </cell>
        </row>
        <row r="8799">
          <cell r="A8799" t="str">
            <v>H9YH2E</v>
          </cell>
          <cell r="B8799" t="str">
            <v>FC 9x5 5年 MSL3040 Data Path Failover用</v>
          </cell>
          <cell r="C8799" t="str">
            <v>【ファウンデーションケア】</v>
          </cell>
        </row>
        <row r="8800">
          <cell r="A8800" t="str">
            <v>H9YH3E</v>
          </cell>
          <cell r="B8800" t="str">
            <v>FC 24x7 5年 MSL3040 Data Path Failover用</v>
          </cell>
          <cell r="C8800" t="str">
            <v>【ファウンデーションケア】</v>
          </cell>
        </row>
        <row r="8801">
          <cell r="A8801" t="str">
            <v>H9YH4E</v>
          </cell>
          <cell r="B8801" t="str">
            <v>PC 24x7 5年 MSL3040 Data Path Failover用</v>
          </cell>
          <cell r="C8801" t="str">
            <v>【HPEプロアクティブケア】メーカー推奨／低価格で国内専用窓口の高品質な保守により、システム運用における安心を提供します。</v>
          </cell>
        </row>
        <row r="8802">
          <cell r="A8802" t="str">
            <v>HA0V9E</v>
          </cell>
          <cell r="B8802" t="str">
            <v>FC 9x5 3年 MSL3040 LTO-6 Ctrl Failover用</v>
          </cell>
          <cell r="C8802" t="str">
            <v>【ファウンデーションケア】</v>
          </cell>
        </row>
        <row r="8803">
          <cell r="A8803" t="str">
            <v>HA0W0E</v>
          </cell>
          <cell r="B8803" t="str">
            <v>FC 24x7 3年 MSL3040 LTO-6 Ctrl Failover</v>
          </cell>
          <cell r="C8803" t="str">
            <v>【ファウンデーションケア】</v>
          </cell>
        </row>
        <row r="8804">
          <cell r="A8804" t="str">
            <v>HA0W1E</v>
          </cell>
          <cell r="B8804" t="str">
            <v>PC 24x7 3年 MSL3040 LTO-6 Ctrl Failover</v>
          </cell>
          <cell r="C8804" t="str">
            <v>【HPEプロアクティブケア】メーカー推奨／低価格で国内専用窓口の高品質な保守により、システム運用における安心を提供します。</v>
          </cell>
        </row>
        <row r="8805">
          <cell r="A8805" t="str">
            <v>HA0W3E</v>
          </cell>
          <cell r="B8805" t="str">
            <v>FC 9x5 4年 MSL3040 LTO-6 Ctrl Failover用</v>
          </cell>
          <cell r="C8805" t="str">
            <v>【ファウンデーションケア】</v>
          </cell>
        </row>
        <row r="8806">
          <cell r="A8806" t="str">
            <v>HA0W4E</v>
          </cell>
          <cell r="B8806" t="str">
            <v>FC 24x7 4年 MSL3040 LTO-6 Ctrl Failover</v>
          </cell>
          <cell r="C8806" t="str">
            <v>【ファウンデーションケア】</v>
          </cell>
        </row>
        <row r="8807">
          <cell r="A8807" t="str">
            <v>HA0W5E</v>
          </cell>
          <cell r="B8807" t="str">
            <v>PC 24x7 4年 MSL3040 LTO-6 Ctrl Failover</v>
          </cell>
          <cell r="C8807" t="str">
            <v>【HPEプロアクティブケア】メーカー推奨／低価格で国内専用窓口の高品質な保守により、システム運用における安心を提供します。</v>
          </cell>
        </row>
        <row r="8808">
          <cell r="A8808" t="str">
            <v>HA0W7E</v>
          </cell>
          <cell r="B8808" t="str">
            <v>FC 9x5 5年 MSL3040 LTO-6 Ctrl Failover用</v>
          </cell>
          <cell r="C8808" t="str">
            <v>【ファウンデーションケア】</v>
          </cell>
        </row>
        <row r="8809">
          <cell r="A8809" t="str">
            <v>HA0W8E</v>
          </cell>
          <cell r="B8809" t="str">
            <v>FC 24x7 5年 MSL3040 LTO-6 Ctrl Failover</v>
          </cell>
          <cell r="C8809" t="str">
            <v>【ファウンデーションケア】</v>
          </cell>
        </row>
        <row r="8810">
          <cell r="A8810" t="str">
            <v>HA0W9E</v>
          </cell>
          <cell r="B8810" t="str">
            <v>PC 24x7 5年 MSL3040 LTO-6 Ctrl Failover</v>
          </cell>
          <cell r="C8810" t="str">
            <v>【HPEプロアクティブケア】メーカー推奨／低価格で国内専用窓口の高品質な保守により、システム運用における安心を提供します。</v>
          </cell>
        </row>
        <row r="8811">
          <cell r="A8811" t="str">
            <v>HA0X1E</v>
          </cell>
          <cell r="B8811" t="str">
            <v>FC 9x5 3年 MSL3040 LTO-6 Data Failover用</v>
          </cell>
          <cell r="C8811" t="str">
            <v>【ファウンデーションケア】</v>
          </cell>
        </row>
        <row r="8812">
          <cell r="A8812" t="str">
            <v>HA0X2E</v>
          </cell>
          <cell r="B8812" t="str">
            <v>FC 24x7 3年 MSL3040 LTO-6 Data Failover</v>
          </cell>
          <cell r="C8812" t="str">
            <v>【ファウンデーションケア】</v>
          </cell>
        </row>
        <row r="8813">
          <cell r="A8813" t="str">
            <v>HA0X3E</v>
          </cell>
          <cell r="B8813" t="str">
            <v>PC 24x7 3年 MSL3040 LTO-6 Data Failover</v>
          </cell>
          <cell r="C8813" t="str">
            <v>【HPEプロアクティブケア】メーカー推奨／低価格で国内専用窓口の高品質な保守により、システム運用における安心を提供します。</v>
          </cell>
        </row>
        <row r="8814">
          <cell r="A8814" t="str">
            <v>HA0X5E</v>
          </cell>
          <cell r="B8814" t="str">
            <v>FC 9x5 4年 MSL3040 LTO-6 Data Failover用</v>
          </cell>
          <cell r="C8814" t="str">
            <v>【ファウンデーションケア】</v>
          </cell>
        </row>
        <row r="8815">
          <cell r="A8815" t="str">
            <v>HA0X6E</v>
          </cell>
          <cell r="B8815" t="str">
            <v>FC 24x7 4年 MSL3040 LTO-6 Data Failover</v>
          </cell>
          <cell r="C8815" t="str">
            <v>【ファウンデーションケア】</v>
          </cell>
        </row>
        <row r="8816">
          <cell r="A8816" t="str">
            <v>HA0X7E</v>
          </cell>
          <cell r="B8816" t="str">
            <v>PC 24x7 4年 MSL3040 LTO-6 Data Failover</v>
          </cell>
          <cell r="C8816" t="str">
            <v>【HPEプロアクティブケア】メーカー推奨／低価格で国内専用窓口の高品質な保守により、システム運用における安心を提供します。</v>
          </cell>
        </row>
        <row r="8817">
          <cell r="A8817" t="str">
            <v>HA0X9E</v>
          </cell>
          <cell r="B8817" t="str">
            <v>FC 9x5 5年 MSL3040 LTO-6 Data Failover用</v>
          </cell>
          <cell r="C8817" t="str">
            <v>【ファウンデーションケア】</v>
          </cell>
        </row>
        <row r="8818">
          <cell r="A8818" t="str">
            <v>HA0Y0E</v>
          </cell>
          <cell r="B8818" t="str">
            <v>FC 24x7 5年 MSL3040 LTO-6 Data Failover</v>
          </cell>
          <cell r="C8818" t="str">
            <v>【ファウンデーションケア】</v>
          </cell>
        </row>
        <row r="8819">
          <cell r="A8819" t="str">
            <v>HA0Y1E</v>
          </cell>
          <cell r="B8819" t="str">
            <v>PC 24x7 5年 MSL3040 LTO-6 Data Failover</v>
          </cell>
          <cell r="C8819" t="str">
            <v>【HPEプロアクティブケア】メーカー推奨／低価格で国内専用窓口の高品質な保守により、システム運用における安心を提供します。</v>
          </cell>
        </row>
        <row r="8820">
          <cell r="A8820" t="str">
            <v>HA0Y3E</v>
          </cell>
          <cell r="B8820" t="str">
            <v>FC 9x5 3年 MSL3040 KMIP Key Manager LTU</v>
          </cell>
          <cell r="C8820" t="str">
            <v>【ファウンデーションケア】</v>
          </cell>
        </row>
        <row r="8821">
          <cell r="A8821" t="str">
            <v>HA0Y4E</v>
          </cell>
          <cell r="B8821" t="str">
            <v>FC 24x7 3年 MSL3040 KMIP Key Manager LTU</v>
          </cell>
          <cell r="C8821" t="str">
            <v>【ファウンデーションケア】</v>
          </cell>
        </row>
        <row r="8822">
          <cell r="A8822" t="str">
            <v>HA0Y5E</v>
          </cell>
          <cell r="B8822" t="str">
            <v>PC 24x7 3年 MSL3040 KMIP Key Manager LTU</v>
          </cell>
          <cell r="C8822" t="str">
            <v>【HPEプロアクティブケア】メーカー推奨／低価格で国内専用窓口の高品質な保守により、システム運用における安心を提供します。</v>
          </cell>
        </row>
        <row r="8823">
          <cell r="A8823" t="str">
            <v>HA0Y7E</v>
          </cell>
          <cell r="B8823" t="str">
            <v>FC 9x5 4年 MSL3040 KMIP Key Manager LTU</v>
          </cell>
          <cell r="C8823" t="str">
            <v>【ファウンデーションケア】</v>
          </cell>
        </row>
        <row r="8824">
          <cell r="A8824" t="str">
            <v>HA0Y8E</v>
          </cell>
          <cell r="B8824" t="str">
            <v>FC 24x7 4年 MSL3040 KMIP Key Manager LTU</v>
          </cell>
          <cell r="C8824" t="str">
            <v>【ファウンデーションケア】</v>
          </cell>
        </row>
        <row r="8825">
          <cell r="A8825" t="str">
            <v>HA0Y9E</v>
          </cell>
          <cell r="B8825" t="str">
            <v>PC 24x7 4年 MSL3040 KMIP Key Manager LTU</v>
          </cell>
          <cell r="C8825" t="str">
            <v>【HPEプロアクティブケア】メーカー推奨／低価格で国内専用窓口の高品質な保守により、システム運用における安心を提供します。</v>
          </cell>
        </row>
        <row r="8826">
          <cell r="A8826" t="str">
            <v>U0SJ5E</v>
          </cell>
          <cell r="B8826" t="str">
            <v>ProCare 24x7 3年 OneView w/ iLo用</v>
          </cell>
          <cell r="C8826" t="str">
            <v>【HPEプロアクティブケア】メーカー推奨／低価格で国内専用窓口の高品質な保守により、システム運用における安心を提供します。</v>
          </cell>
        </row>
        <row r="8827">
          <cell r="A8827" t="str">
            <v>U0SJ6E</v>
          </cell>
          <cell r="B8827" t="str">
            <v>ProCare 24x7 4年 OneView w/ iLo用</v>
          </cell>
          <cell r="C8827" t="str">
            <v>【HPEプロアクティブケア】メーカー推奨／低価格で国内専用窓口の高品質な保守により、システム運用における安心を提供します。</v>
          </cell>
        </row>
        <row r="8828">
          <cell r="A8828" t="str">
            <v>U0SJ7E</v>
          </cell>
          <cell r="B8828" t="str">
            <v>ProCare 24x7 5年 OneView w/ iLo用</v>
          </cell>
          <cell r="C8828" t="str">
            <v>【HPEプロアクティブケア】メーカー推奨／低価格で国内専用窓口の高品質な保守により、システム運用における安心を提供します。</v>
          </cell>
        </row>
        <row r="8829">
          <cell r="A8829" t="str">
            <v>U0SK0E</v>
          </cell>
          <cell r="B8829" t="str">
            <v>ProCare 24x7 3年 OneView w/o iLo用</v>
          </cell>
          <cell r="C8829" t="str">
            <v>【HPEプロアクティブケア】メーカー推奨／低価格で国内専用窓口の高品質な保守により、システム運用における安心を提供します。</v>
          </cell>
        </row>
        <row r="8830">
          <cell r="A8830" t="str">
            <v>U0SK1E</v>
          </cell>
          <cell r="B8830" t="str">
            <v>ProCare 24x7 4年 OneView w/o iLo用</v>
          </cell>
          <cell r="C8830" t="str">
            <v>【HPEプロアクティブケア】メーカー推奨／低価格で国内専用窓口の高品質な保守により、システム運用における安心を提供します。</v>
          </cell>
        </row>
        <row r="8831">
          <cell r="A8831" t="str">
            <v>U0SK2E</v>
          </cell>
          <cell r="B8831" t="str">
            <v>ProCare 24x7 5年 OneView w/o iLo用</v>
          </cell>
          <cell r="C8831" t="str">
            <v>【HPEプロアクティブケア】メーカー推奨／低価格で国内専用窓口の高品質な保守により、システム運用における安心を提供します。</v>
          </cell>
        </row>
        <row r="8832">
          <cell r="A8832" t="str">
            <v>U0SK5E</v>
          </cell>
          <cell r="B8832" t="str">
            <v>ProCare 24x7 3年 OneView BL 16-Svr用</v>
          </cell>
          <cell r="C8832" t="str">
            <v>【HPEプロアクティブケア】メーカー推奨／低価格で国内専用窓口の高品質な保守により、システム運用における安心を提供します。</v>
          </cell>
        </row>
        <row r="8833">
          <cell r="A8833" t="str">
            <v>U0SK6E</v>
          </cell>
          <cell r="B8833" t="str">
            <v>ProCare 24x7 4年 OneView BL 16-Svr用</v>
          </cell>
          <cell r="C8833" t="str">
            <v>【HPEプロアクティブケア】メーカー推奨／低価格で国内専用窓口の高品質な保守により、システム運用における安心を提供します。</v>
          </cell>
        </row>
        <row r="8834">
          <cell r="A8834" t="str">
            <v>U0SK7E</v>
          </cell>
          <cell r="B8834" t="str">
            <v>ProCare 24x7 5年 OneView BL 16-Svr用</v>
          </cell>
          <cell r="C8834" t="str">
            <v>【HPEプロアクティブケア】メーカー推奨／低価格で国内専用窓口の高品質な保守により、システム運用における安心を提供します。</v>
          </cell>
        </row>
        <row r="8835">
          <cell r="A8835" t="str">
            <v>U1M66E</v>
          </cell>
          <cell r="B8835" t="str">
            <v>ProCare 24x7 3年iLO AdvPak 1 for BL3年用</v>
          </cell>
          <cell r="C8835" t="str">
            <v>【HPEプロアクティブケア】メーカー推奨／低価格で国内専用窓口の高品質な保守により、システム運用における安心を提供します。</v>
          </cell>
        </row>
        <row r="8836">
          <cell r="A8836" t="str">
            <v>U1M67E</v>
          </cell>
          <cell r="B8836" t="str">
            <v>ProCare 24x7 4年iLO AdvPak 1 for BL3年用</v>
          </cell>
          <cell r="C8836" t="str">
            <v>【HPEプロアクティブケア】メーカー推奨／低価格で国内専用窓口の高品質な保守により、システム運用における安心を提供します。</v>
          </cell>
        </row>
        <row r="8837">
          <cell r="A8837" t="str">
            <v>U1M68E</v>
          </cell>
          <cell r="B8837" t="str">
            <v>ProCare 24x7 5年iLO AdvPak 1 for BL3年用</v>
          </cell>
          <cell r="C8837" t="str">
            <v>【HPEプロアクティブケア】メーカー推奨／低価格で国内専用窓口の高品質な保守により、システム運用における安心を提供します。</v>
          </cell>
        </row>
        <row r="8838">
          <cell r="A8838" t="str">
            <v>U1M71E</v>
          </cell>
          <cell r="B8838" t="str">
            <v>ProCare 24x7 3年 iLO Adv Pack 1 3年用</v>
          </cell>
          <cell r="C8838" t="str">
            <v>【HPEプロアクティブケア】メーカー推奨／低価格で国内専用窓口の高品質な保守により、システム運用における安心を提供します。</v>
          </cell>
        </row>
        <row r="8839">
          <cell r="A8839" t="str">
            <v>U1M72E</v>
          </cell>
          <cell r="B8839" t="str">
            <v>ProCare 24x7 4年 iLO Adv Pack 1 3年用</v>
          </cell>
          <cell r="C8839" t="str">
            <v>【HPEプロアクティブケア】メーカー推奨／低価格で国内専用窓口の高品質な保守により、システム運用における安心を提供します。</v>
          </cell>
        </row>
        <row r="8840">
          <cell r="A8840" t="str">
            <v>U1M73E</v>
          </cell>
          <cell r="B8840" t="str">
            <v>ProCare 24x7 5年 iLO Adv Pack 1 3年用</v>
          </cell>
          <cell r="C8840" t="str">
            <v>【HPEプロアクティブケア】メーカー推奨／低価格で国内専用窓口の高品質な保守により、システム運用における安心を提供します。</v>
          </cell>
        </row>
        <row r="8841">
          <cell r="A8841" t="str">
            <v>U1W93E</v>
          </cell>
          <cell r="B8841" t="str">
            <v>ProCare 24x7 3年 InsitCMU 3y24x7用</v>
          </cell>
          <cell r="C8841" t="str">
            <v>【HPEプロアクティブケア】メーカー推奨／低価格で国内専用窓口の高品質な保守により、システム運用における安心を提供します。</v>
          </cell>
        </row>
        <row r="8842">
          <cell r="A8842" t="str">
            <v>U1X25E</v>
          </cell>
          <cell r="B8842" t="str">
            <v>ProCare 24x7 4年 InsitCMU 3y24x7用</v>
          </cell>
          <cell r="C8842" t="str">
            <v>【HPEプロアクティブケア】メーカー推奨／低価格で国内専用窓口の高品質な保守により、システム運用における安心を提供します。</v>
          </cell>
        </row>
        <row r="8843">
          <cell r="A8843" t="str">
            <v>U1X34E</v>
          </cell>
          <cell r="B8843" t="str">
            <v>ProCare 24x7 5年 InsitCMU 3y24x7用</v>
          </cell>
          <cell r="C8843" t="str">
            <v>【HPEプロアクティブケア】メーカー推奨／低価格で国内専用窓口の高品質な保守により、システム運用における安心を提供します。</v>
          </cell>
        </row>
        <row r="8844">
          <cell r="A8844" t="str">
            <v>U2B46E</v>
          </cell>
          <cell r="B8844" t="str">
            <v>ProCare 24x7 3年 32-64ポートAPM LTU用</v>
          </cell>
          <cell r="C8844" t="str">
            <v>【HPEプロアクティブケア】メーカー推奨／低価格で国内専用窓口の高品質な保守により、システム運用における安心を提供します。</v>
          </cell>
        </row>
        <row r="8845">
          <cell r="A8845" t="str">
            <v>U2RD4E</v>
          </cell>
          <cell r="B8845" t="str">
            <v>FC 24x7 3年 StorOnce2700 Cat LTU用</v>
          </cell>
          <cell r="C8845" t="str">
            <v>【ファウンデーションケア】</v>
          </cell>
        </row>
        <row r="8846">
          <cell r="A8846" t="str">
            <v>U2RD7E</v>
          </cell>
          <cell r="B8846" t="str">
            <v>FC 24x7 4年 StorOnce2700 Cat LTU用</v>
          </cell>
          <cell r="C8846" t="str">
            <v>【ファウンデーションケア】</v>
          </cell>
        </row>
        <row r="8847">
          <cell r="A8847" t="str">
            <v>U2RD8E</v>
          </cell>
          <cell r="B8847" t="str">
            <v>FC 24x7 5年 StorOnce2700 Cat LTU用</v>
          </cell>
          <cell r="C8847" t="str">
            <v>【ファウンデーションケア】</v>
          </cell>
        </row>
        <row r="8848">
          <cell r="A8848" t="str">
            <v>U2RE0E</v>
          </cell>
          <cell r="B8848" t="str">
            <v>FC 24x7 3年 StorOnce4500 Cat LTU用</v>
          </cell>
          <cell r="C8848" t="str">
            <v>【ファウンデーションケア】</v>
          </cell>
        </row>
        <row r="8849">
          <cell r="A8849" t="str">
            <v>U2RE3E</v>
          </cell>
          <cell r="B8849" t="str">
            <v>FC 24x7 4年 StorOnce4500 Cat LTU用</v>
          </cell>
          <cell r="C8849" t="str">
            <v>【ファウンデーションケア】</v>
          </cell>
        </row>
        <row r="8850">
          <cell r="A8850" t="str">
            <v>U2RE4E</v>
          </cell>
          <cell r="B8850" t="str">
            <v>FC 24x7 5年 StorOnce4500 Cat LTU用</v>
          </cell>
          <cell r="C8850" t="str">
            <v>【ファウンデーションケア】</v>
          </cell>
        </row>
        <row r="8851">
          <cell r="A8851" t="str">
            <v>U2RE6E</v>
          </cell>
          <cell r="B8851" t="str">
            <v>FC 24x7 3年 StorOnce4700 Cat LTU用</v>
          </cell>
          <cell r="C8851" t="str">
            <v>【ファウンデーションケア】</v>
          </cell>
        </row>
        <row r="8852">
          <cell r="A8852" t="str">
            <v>U2RE9E</v>
          </cell>
          <cell r="B8852" t="str">
            <v>FC 24x7 4年 StorOnce4700 Cat LTU用</v>
          </cell>
          <cell r="C8852" t="str">
            <v>【ファウンデーションケア】</v>
          </cell>
        </row>
        <row r="8853">
          <cell r="A8853" t="str">
            <v>U2RF0E</v>
          </cell>
          <cell r="B8853" t="str">
            <v>FC 24x7 5年 StorOnce4700 Cat LTU用</v>
          </cell>
          <cell r="C8853" t="str">
            <v>【ファウンデーションケア】</v>
          </cell>
        </row>
        <row r="8854">
          <cell r="A8854" t="str">
            <v>U2RH6E</v>
          </cell>
          <cell r="B8854" t="str">
            <v>FC 24x7 3年 StorOnce2700 SecuPak用</v>
          </cell>
          <cell r="C8854" t="str">
            <v>【ファウンデーションケア】</v>
          </cell>
        </row>
        <row r="8855">
          <cell r="A8855" t="str">
            <v>U2RH9E</v>
          </cell>
          <cell r="B8855" t="str">
            <v>FC 24x7 4年 StorOnce2700 SecuPak用</v>
          </cell>
          <cell r="C8855" t="str">
            <v>【ファウンデーションケア】</v>
          </cell>
        </row>
        <row r="8856">
          <cell r="A8856" t="str">
            <v>U2RJ0E</v>
          </cell>
          <cell r="B8856" t="str">
            <v>FC 24x7 5年 StorOnce2700 SecuPak用</v>
          </cell>
          <cell r="C8856" t="str">
            <v>【ファウンデーションケア】</v>
          </cell>
        </row>
        <row r="8857">
          <cell r="A8857" t="str">
            <v>U2RJ2E</v>
          </cell>
          <cell r="B8857" t="str">
            <v>FC24x7 3年 StorOnce4200/4500/5100 SecP用</v>
          </cell>
          <cell r="C8857" t="str">
            <v>【ファウンデーションケア】</v>
          </cell>
        </row>
        <row r="8858">
          <cell r="A8858" t="str">
            <v>U2RJ5E</v>
          </cell>
          <cell r="B8858" t="str">
            <v>FC24x7 4年 StorOnce4200/4500/5100 SecP用</v>
          </cell>
          <cell r="C8858" t="str">
            <v>【ファウンデーションケア】</v>
          </cell>
        </row>
        <row r="8859">
          <cell r="A8859" t="str">
            <v>U2RJ6E</v>
          </cell>
          <cell r="B8859" t="str">
            <v>FC24x7 5年 StorOnce4200/4500/5100 SecP用</v>
          </cell>
          <cell r="C8859" t="str">
            <v>【ファウンデーションケア】</v>
          </cell>
        </row>
        <row r="8860">
          <cell r="A8860" t="str">
            <v>U2RJ8E</v>
          </cell>
          <cell r="B8860" t="str">
            <v>FC 24x7 3年 StorOnce4700 SecuPak用</v>
          </cell>
          <cell r="C8860" t="str">
            <v>【ファウンデーションケア】</v>
          </cell>
        </row>
        <row r="8861">
          <cell r="A8861" t="str">
            <v>U2RK1E</v>
          </cell>
          <cell r="B8861" t="str">
            <v>FC 24x7 4年 StorOnce4700 SecuPak用</v>
          </cell>
          <cell r="C8861" t="str">
            <v>【ファウンデーションケア】</v>
          </cell>
        </row>
        <row r="8862">
          <cell r="A8862" t="str">
            <v>U2RK2E</v>
          </cell>
          <cell r="B8862" t="str">
            <v>FC 24x7 5年 StorOnce4700 SecuPak用</v>
          </cell>
          <cell r="C8862" t="str">
            <v>【ファウンデーションケア】</v>
          </cell>
        </row>
        <row r="8863">
          <cell r="A8863" t="str">
            <v>U2SA8E</v>
          </cell>
          <cell r="B8863" t="str">
            <v>FC 24x7 4年 MS WinSvr2012 Fnd OS&amp;APP用</v>
          </cell>
          <cell r="C8863" t="str">
            <v>【ファウンデーションケア】</v>
          </cell>
        </row>
        <row r="8864">
          <cell r="A8864" t="str">
            <v>U2SA9E</v>
          </cell>
          <cell r="B8864" t="str">
            <v>FC 24x7 5年 MS WinSvr2012 Fnd OS&amp;APP用</v>
          </cell>
          <cell r="C8864" t="str">
            <v>【ファウンデーションケア】</v>
          </cell>
        </row>
        <row r="8865">
          <cell r="A8865" t="str">
            <v>U2SB0E</v>
          </cell>
          <cell r="B8865" t="str">
            <v>FC 24x7 4年 MS WinSvr2012 Ess OS&amp;APP用</v>
          </cell>
          <cell r="C8865" t="str">
            <v>【ファウンデーションケア】</v>
          </cell>
        </row>
        <row r="8866">
          <cell r="A8866" t="str">
            <v>U2SB1E</v>
          </cell>
          <cell r="B8866" t="str">
            <v>FC 24x7 5年 MS WinSvr2012 Ess OS&amp;APP用</v>
          </cell>
          <cell r="C8866" t="str">
            <v>【ファウンデーションケア】</v>
          </cell>
        </row>
        <row r="8867">
          <cell r="A8867" t="str">
            <v>U2SB2E</v>
          </cell>
          <cell r="B8867" t="str">
            <v>FC 24x7 4年 MS WinSvr2012 Std OS&amp;APP用</v>
          </cell>
          <cell r="C8867" t="str">
            <v>【ファウンデーションケア】</v>
          </cell>
        </row>
        <row r="8868">
          <cell r="A8868" t="str">
            <v>U2SB3E</v>
          </cell>
          <cell r="B8868" t="str">
            <v>FC 24x7 5年 MS WinSvr2012 Std OS&amp;APP用</v>
          </cell>
          <cell r="C8868" t="str">
            <v>【ファウンデーションケア】</v>
          </cell>
        </row>
        <row r="8869">
          <cell r="A8869" t="str">
            <v>U2SB4E</v>
          </cell>
          <cell r="B8869" t="str">
            <v>FC 24x7 4年 MS WinSvr2012 DC OS&amp;APP用</v>
          </cell>
          <cell r="C8869" t="str">
            <v>【ファウンデーションケア】</v>
          </cell>
        </row>
        <row r="8870">
          <cell r="A8870" t="str">
            <v>U2SB5E</v>
          </cell>
          <cell r="B8870" t="str">
            <v>FC 24x7 5年 MS WinSvr2012 DC OS&amp;APP用</v>
          </cell>
          <cell r="C8870" t="str">
            <v>【ファウンデーションケア】</v>
          </cell>
        </row>
        <row r="8871">
          <cell r="A8871" t="str">
            <v>U2SC7E</v>
          </cell>
          <cell r="B8871" t="str">
            <v>FC 24x7 4年 Insight CMU 3y 24x7用</v>
          </cell>
          <cell r="C8871" t="str">
            <v>【ファウンデーションケア】</v>
          </cell>
        </row>
        <row r="8872">
          <cell r="A8872" t="str">
            <v>U2SC9E</v>
          </cell>
          <cell r="B8872" t="str">
            <v>FC 24x7 5年 Insight CMU 3y 24x7用</v>
          </cell>
          <cell r="C8872" t="str">
            <v>【ファウンデーションケア】</v>
          </cell>
        </row>
        <row r="8873">
          <cell r="A8873" t="str">
            <v>U2SM0E</v>
          </cell>
          <cell r="B8873" t="str">
            <v>FC 24x7 1年 MS Non-WinSvr2012 OS&amp;APP用</v>
          </cell>
          <cell r="C8873" t="str">
            <v>【ファウンデーションケア】</v>
          </cell>
        </row>
        <row r="8874">
          <cell r="A8874" t="str">
            <v>U2SM2E</v>
          </cell>
          <cell r="B8874" t="str">
            <v>FC 24x7 1年 MS WinSvr2012 Fnd OS&amp;APP用</v>
          </cell>
          <cell r="C8874" t="str">
            <v>【ファウンデーションケア】</v>
          </cell>
        </row>
        <row r="8875">
          <cell r="A8875" t="str">
            <v>U2SM3E</v>
          </cell>
          <cell r="B8875" t="str">
            <v>FC 24x7 3年 MS WinSvr2012 Fnd OS&amp;APP用</v>
          </cell>
          <cell r="C8875" t="str">
            <v>【ファウンデーションケア】</v>
          </cell>
        </row>
        <row r="8876">
          <cell r="A8876" t="str">
            <v>U2SM4E</v>
          </cell>
          <cell r="B8876" t="str">
            <v>FC 24x7 1年 MS WinSvr2012 Ess OS&amp;APP用</v>
          </cell>
          <cell r="C8876" t="str">
            <v>【ファウンデーションケア】</v>
          </cell>
        </row>
        <row r="8877">
          <cell r="A8877" t="str">
            <v>U2SM5E</v>
          </cell>
          <cell r="B8877" t="str">
            <v>FC 24x7 3年 MS WinSvr2012 Ess OS&amp;APP用</v>
          </cell>
          <cell r="C8877" t="str">
            <v>【ファウンデーションケア】</v>
          </cell>
        </row>
        <row r="8878">
          <cell r="A8878" t="str">
            <v>U2SM6E</v>
          </cell>
          <cell r="B8878" t="str">
            <v>FC 24x7 1年 MS WinSvr2012 Std OS&amp;APP用</v>
          </cell>
          <cell r="C8878" t="str">
            <v>【ファウンデーションケア】</v>
          </cell>
        </row>
        <row r="8879">
          <cell r="A8879" t="str">
            <v>U2SM7E</v>
          </cell>
          <cell r="B8879" t="str">
            <v>FC 24x7 3年 MS WinSvr2012 Std OS&amp;APP用</v>
          </cell>
          <cell r="C8879" t="str">
            <v>【ファウンデーションケア】</v>
          </cell>
        </row>
        <row r="8880">
          <cell r="A8880" t="str">
            <v>U2SM8E</v>
          </cell>
          <cell r="B8880" t="str">
            <v>FC 24x7 1年 MS WinSvr2012 DC OS&amp;APP用</v>
          </cell>
          <cell r="C8880" t="str">
            <v>【ファウンデーションケア】</v>
          </cell>
        </row>
        <row r="8881">
          <cell r="A8881" t="str">
            <v>U2SM9E</v>
          </cell>
          <cell r="B8881" t="str">
            <v>FC 24x7 3年 MS WinSvr2012 DC OS&amp;APP用</v>
          </cell>
          <cell r="C8881" t="str">
            <v>【ファウンデーションケア】</v>
          </cell>
        </row>
        <row r="8882">
          <cell r="A8882" t="str">
            <v>U2UD0E</v>
          </cell>
          <cell r="B8882" t="str">
            <v>FC 24x7 1年 MS WinSvr2012 Std OS Only用</v>
          </cell>
          <cell r="C8882" t="str">
            <v>【ファウンデーションケア】</v>
          </cell>
        </row>
        <row r="8883">
          <cell r="A8883" t="str">
            <v>U2UD1E</v>
          </cell>
          <cell r="B8883" t="str">
            <v>FC 24x7 3年 MS WinSvr2012 Std OS Only用</v>
          </cell>
          <cell r="C8883" t="str">
            <v>【ファウンデーションケア】</v>
          </cell>
        </row>
        <row r="8884">
          <cell r="A8884" t="str">
            <v>U2UD2E</v>
          </cell>
          <cell r="B8884" t="str">
            <v>FC 24x7 4年 MS WinSvr2012 Std OS Only用</v>
          </cell>
          <cell r="C8884" t="str">
            <v>【ファウンデーションケア】</v>
          </cell>
        </row>
        <row r="8885">
          <cell r="A8885" t="str">
            <v>U2UD3E</v>
          </cell>
          <cell r="B8885" t="str">
            <v>FC 24x7 5年 MS WinSvr2012 Std OS Only用</v>
          </cell>
          <cell r="C8885" t="str">
            <v>【ファウンデーションケア】</v>
          </cell>
        </row>
        <row r="8886">
          <cell r="A8886" t="str">
            <v>U2UD4E</v>
          </cell>
          <cell r="B8886" t="str">
            <v>ProCare 24x7 3年 MSWS12StandardOS Only用</v>
          </cell>
          <cell r="C8886" t="str">
            <v>【HPEプロアクティブケア】メーカー推奨／低価格で国内専用窓口の高品質な保守により、システム運用における安心を提供します。</v>
          </cell>
        </row>
        <row r="8887">
          <cell r="A8887" t="str">
            <v>U2UD5E</v>
          </cell>
          <cell r="B8887" t="str">
            <v>ProCare 24x7 5年 MSWS12StandardOS Only用</v>
          </cell>
          <cell r="C8887" t="str">
            <v>【HPEプロアクティブケア】メーカー推奨／低価格で国内専用窓口の高品質な保守により、システム運用における安心を提供します。</v>
          </cell>
        </row>
        <row r="8888">
          <cell r="A8888" t="str">
            <v>U2UD8E</v>
          </cell>
          <cell r="B8888" t="str">
            <v>FC 24x7 1年 MS WinSvr2012 DC OS Only用</v>
          </cell>
          <cell r="C8888" t="str">
            <v>【ファウンデーションケア】</v>
          </cell>
        </row>
        <row r="8889">
          <cell r="A8889" t="str">
            <v>U2UD9E</v>
          </cell>
          <cell r="B8889" t="str">
            <v>FC 24x7 3年 MS WinSvr2012 DC OS Only用</v>
          </cell>
          <cell r="C8889" t="str">
            <v>【ファウンデーションケア】</v>
          </cell>
        </row>
        <row r="8890">
          <cell r="A8890" t="str">
            <v>U2UE0E</v>
          </cell>
          <cell r="B8890" t="str">
            <v>FC 24x7 4年 MS WinSvr2012 DC OS Only用</v>
          </cell>
          <cell r="C8890" t="str">
            <v>【ファウンデーションケア】</v>
          </cell>
        </row>
        <row r="8891">
          <cell r="A8891" t="str">
            <v>U2UE1E</v>
          </cell>
          <cell r="B8891" t="str">
            <v>FC 24x7 5年 MS WinSvr2012 DC OS Only用</v>
          </cell>
          <cell r="C8891" t="str">
            <v>【ファウンデーションケア】</v>
          </cell>
        </row>
        <row r="8892">
          <cell r="A8892" t="str">
            <v>U2UE2E</v>
          </cell>
          <cell r="B8892" t="str">
            <v>ProCare 24x7 3年 MSWS12DatacentOS Only用</v>
          </cell>
          <cell r="C8892" t="str">
            <v>【HPEプロアクティブケア】メーカー推奨／低価格で国内専用窓口の高品質な保守により、システム運用における安心を提供します。</v>
          </cell>
        </row>
        <row r="8893">
          <cell r="A8893" t="str">
            <v>U2UE3E</v>
          </cell>
          <cell r="B8893" t="str">
            <v>ProCare 24x7 5年 MSWS12DatacentOS Only用</v>
          </cell>
          <cell r="C8893" t="str">
            <v>【HPEプロアクティブケア】メーカー推奨／低価格で国内専用窓口の高品質な保守により、システム運用における安心を提供します。</v>
          </cell>
        </row>
        <row r="8894">
          <cell r="A8894" t="str">
            <v>U2UE8E</v>
          </cell>
          <cell r="B8894" t="str">
            <v>FC 24x7 3年 SGLX Base 1年用</v>
          </cell>
          <cell r="C8894" t="str">
            <v>【ファウンデーションケア】</v>
          </cell>
        </row>
        <row r="8895">
          <cell r="A8895" t="str">
            <v>U2UE9E</v>
          </cell>
          <cell r="B8895" t="str">
            <v>FC 24x7 3年 SGLX Advanced 1年用</v>
          </cell>
          <cell r="C8895" t="str">
            <v>【ファウンデーションケア】</v>
          </cell>
        </row>
        <row r="8896">
          <cell r="A8896" t="str">
            <v>U2UF0E</v>
          </cell>
          <cell r="B8896" t="str">
            <v>FC 24x7 3年 SGLX Base to Adv Up 1年用</v>
          </cell>
          <cell r="C8896" t="str">
            <v>【ファウンデーションケア】</v>
          </cell>
        </row>
        <row r="8897">
          <cell r="A8897" t="str">
            <v>U2UF1E</v>
          </cell>
          <cell r="B8897" t="str">
            <v>FC 24x7 3年 SGLX Enterprise 1年用</v>
          </cell>
          <cell r="C8897" t="str">
            <v>【ファウンデーションケア】</v>
          </cell>
        </row>
        <row r="8898">
          <cell r="A8898" t="str">
            <v>U2UF2E</v>
          </cell>
          <cell r="B8898" t="str">
            <v>FC 24x7 4年 SGLX Base 1年用</v>
          </cell>
          <cell r="C8898" t="str">
            <v>【ファウンデーションケア】</v>
          </cell>
        </row>
        <row r="8899">
          <cell r="A8899" t="str">
            <v>U2UF3E</v>
          </cell>
          <cell r="B8899" t="str">
            <v>FC 24x7 4年 SGLX Advanced 1年用</v>
          </cell>
          <cell r="C8899" t="str">
            <v>【ファウンデーションケア】</v>
          </cell>
        </row>
        <row r="8900">
          <cell r="A8900" t="str">
            <v>U2UF4E</v>
          </cell>
          <cell r="B8900" t="str">
            <v>FC 24x7 4年 SGLX Base to Adv Up 1年用</v>
          </cell>
          <cell r="C8900" t="str">
            <v>【ファウンデーションケア】</v>
          </cell>
        </row>
        <row r="8901">
          <cell r="A8901" t="str">
            <v>U2UF5E</v>
          </cell>
          <cell r="B8901" t="str">
            <v>FC 24x7 4年 SGLX Enterprise 1年用</v>
          </cell>
          <cell r="C8901" t="str">
            <v>【ファウンデーションケア】</v>
          </cell>
        </row>
        <row r="8902">
          <cell r="A8902" t="str">
            <v>U2UF6E</v>
          </cell>
          <cell r="B8902" t="str">
            <v>FC 24x7 4年 SGLX Base to Ent Up 1年用</v>
          </cell>
          <cell r="C8902" t="str">
            <v>【ファウンデーションケア】</v>
          </cell>
        </row>
        <row r="8903">
          <cell r="A8903" t="str">
            <v>U2UF7E</v>
          </cell>
          <cell r="B8903" t="str">
            <v>FC 24x7 4年 SGLX Adv to Ent Up 1年用</v>
          </cell>
          <cell r="C8903" t="str">
            <v>【ファウンデーションケア】</v>
          </cell>
        </row>
        <row r="8904">
          <cell r="A8904" t="str">
            <v>U2UF8E</v>
          </cell>
          <cell r="B8904" t="str">
            <v>FC 24x7 5年 SGLX Base 1年用</v>
          </cell>
          <cell r="C8904" t="str">
            <v>【ファウンデーションケア】</v>
          </cell>
        </row>
        <row r="8905">
          <cell r="A8905" t="str">
            <v>U2UF9E</v>
          </cell>
          <cell r="B8905" t="str">
            <v>FC 24x7 5年 SGLX Advanced 1年用</v>
          </cell>
          <cell r="C8905" t="str">
            <v>【ファウンデーションケア】</v>
          </cell>
        </row>
        <row r="8906">
          <cell r="A8906" t="str">
            <v>U2UG0E</v>
          </cell>
          <cell r="B8906" t="str">
            <v>FC 24x7 5年 SGLX Base to Adv Up 1年用</v>
          </cell>
          <cell r="C8906" t="str">
            <v>【ファウンデーションケア】</v>
          </cell>
        </row>
        <row r="8907">
          <cell r="A8907" t="str">
            <v>U2UG1E</v>
          </cell>
          <cell r="B8907" t="str">
            <v>FC 24x7 5年 SGLX Enterprise 1年用</v>
          </cell>
          <cell r="C8907" t="str">
            <v>【ファウンデーションケア】</v>
          </cell>
        </row>
        <row r="8908">
          <cell r="A8908" t="str">
            <v>U2UG2E</v>
          </cell>
          <cell r="B8908" t="str">
            <v>FC 24x7 5年 SGLX Base to Ent Up 1年用</v>
          </cell>
          <cell r="C8908" t="str">
            <v>【ファウンデーションケア】</v>
          </cell>
        </row>
        <row r="8909">
          <cell r="A8909" t="str">
            <v>U2UG3E</v>
          </cell>
          <cell r="B8909" t="str">
            <v>FC 24x7 5年 SGLX Adv to Ent Up 1年用</v>
          </cell>
          <cell r="C8909" t="str">
            <v>【ファウンデーションケア】</v>
          </cell>
        </row>
        <row r="8910">
          <cell r="A8910" t="str">
            <v>U2UG4E</v>
          </cell>
          <cell r="B8910" t="str">
            <v>FC 24x7 3年 SGLX Base to Ent Up 1年用</v>
          </cell>
          <cell r="C8910" t="str">
            <v>【ファウンデーションケア】</v>
          </cell>
        </row>
        <row r="8911">
          <cell r="A8911" t="str">
            <v>U2UG5E</v>
          </cell>
          <cell r="B8911" t="str">
            <v>FC 24x7 3年 SGLX Adv to Ent Up 1年用</v>
          </cell>
          <cell r="C8911" t="str">
            <v>【ファウンデーションケア】</v>
          </cell>
        </row>
        <row r="8912">
          <cell r="A8912" t="str">
            <v>U2WH1E</v>
          </cell>
          <cell r="B8912" t="str">
            <v>FC 24x7 3年 VCEM for c3000用</v>
          </cell>
          <cell r="C8912" t="str">
            <v>【ファウンデーションケア】</v>
          </cell>
        </row>
        <row r="8913">
          <cell r="A8913" t="str">
            <v>U2WH2E</v>
          </cell>
          <cell r="B8913" t="str">
            <v>FC 24x7 4年 VCEM for c3000用</v>
          </cell>
          <cell r="C8913" t="str">
            <v>【ファウンデーションケア】</v>
          </cell>
        </row>
        <row r="8914">
          <cell r="A8914" t="str">
            <v>U2WH3E</v>
          </cell>
          <cell r="B8914" t="str">
            <v>FC 24x7 5年 VCEM for c3000用</v>
          </cell>
          <cell r="C8914" t="str">
            <v>【ファウンデーションケア】</v>
          </cell>
        </row>
        <row r="8915">
          <cell r="A8915" t="str">
            <v>U2WH4E</v>
          </cell>
          <cell r="B8915" t="str">
            <v>FC 24x7 3年 VCEM for c7000用</v>
          </cell>
          <cell r="C8915" t="str">
            <v>【ファウンデーションケア】</v>
          </cell>
        </row>
        <row r="8916">
          <cell r="A8916" t="str">
            <v>U2WH5E</v>
          </cell>
          <cell r="B8916" t="str">
            <v>FC 24x7 4年 VCEM for c7000用</v>
          </cell>
          <cell r="C8916" t="str">
            <v>【ファウンデーションケア】</v>
          </cell>
        </row>
        <row r="8917">
          <cell r="A8917" t="str">
            <v>U2WH6E</v>
          </cell>
          <cell r="B8917" t="str">
            <v>FC 24x7 5年 VCEM for c7000用</v>
          </cell>
          <cell r="C8917" t="str">
            <v>【ファウンデーションケア】</v>
          </cell>
        </row>
        <row r="8918">
          <cell r="A8918" t="str">
            <v>U2WJ5E</v>
          </cell>
          <cell r="B8918" t="str">
            <v>FC 24x7 4年 iLO Essentials 3年用</v>
          </cell>
          <cell r="C8918" t="str">
            <v>【ファウンデーションケア】</v>
          </cell>
        </row>
        <row r="8919">
          <cell r="A8919" t="str">
            <v>U2WJ6E</v>
          </cell>
          <cell r="B8919" t="str">
            <v>FC 24x7 5年 iLO Essentials 3年用</v>
          </cell>
          <cell r="C8919" t="str">
            <v>【ファウンデーションケア】</v>
          </cell>
        </row>
        <row r="8920">
          <cell r="A8920" t="str">
            <v>U2WK0E</v>
          </cell>
          <cell r="B8920" t="str">
            <v>FC 24x7 4年 iLO Scale-Out 3年用</v>
          </cell>
          <cell r="C8920" t="str">
            <v>【ファウンデーションケア】</v>
          </cell>
        </row>
        <row r="8921">
          <cell r="A8921" t="str">
            <v>U2WK1E</v>
          </cell>
          <cell r="B8921" t="str">
            <v>FC 24x7 5年 iLO Scale-Out 3年用</v>
          </cell>
          <cell r="C8921" t="str">
            <v>【ファウンデーションケア】</v>
          </cell>
        </row>
        <row r="8922">
          <cell r="A8922" t="str">
            <v>U2WK2E</v>
          </cell>
          <cell r="B8922" t="str">
            <v>FC 24x7 3年 Smart Array Advanced Pack用</v>
          </cell>
          <cell r="C8922" t="str">
            <v>【ファウンデーションケア】</v>
          </cell>
        </row>
        <row r="8923">
          <cell r="A8923" t="str">
            <v>U2WK4E</v>
          </cell>
          <cell r="B8923" t="str">
            <v>FC 24x7 3年 iLO Adv Pack 8 for BL用</v>
          </cell>
          <cell r="C8923" t="str">
            <v>【ファウンデーションケア】</v>
          </cell>
        </row>
        <row r="8924">
          <cell r="A8924" t="str">
            <v>U2WK5E</v>
          </cell>
          <cell r="B8924" t="str">
            <v>FC 24x7 4年 iLO Adv Pack 8 for BL用</v>
          </cell>
          <cell r="C8924" t="str">
            <v>【ファウンデーションケア】</v>
          </cell>
        </row>
        <row r="8925">
          <cell r="A8925" t="str">
            <v>U2WK6E</v>
          </cell>
          <cell r="B8925" t="str">
            <v>FC 24x7 5年 iLO Adv Pack 8 for BL用</v>
          </cell>
          <cell r="C8925" t="str">
            <v>【ファウンデーションケア】</v>
          </cell>
        </row>
        <row r="8926">
          <cell r="A8926" t="str">
            <v>U2WL0E</v>
          </cell>
          <cell r="B8926" t="str">
            <v>FC 24x7 4年 iLO AdvPack 1 for BL3年用</v>
          </cell>
          <cell r="C8926" t="str">
            <v>【ファウンデーションケア】</v>
          </cell>
        </row>
        <row r="8927">
          <cell r="A8927" t="str">
            <v>U2WL1E</v>
          </cell>
          <cell r="B8927" t="str">
            <v>FC 24x7 5年 iLO AdvPack 1 for BL3年用</v>
          </cell>
          <cell r="C8927" t="str">
            <v>【ファウンデーションケア】</v>
          </cell>
        </row>
        <row r="8928">
          <cell r="A8928" t="str">
            <v>U2WL5E</v>
          </cell>
          <cell r="B8928" t="str">
            <v>FC 24x7 4年 iLO Adv Pack 1 3年用</v>
          </cell>
          <cell r="C8928" t="str">
            <v>【ファウンデーションケア】</v>
          </cell>
        </row>
        <row r="8929">
          <cell r="A8929" t="str">
            <v>U2WL6E</v>
          </cell>
          <cell r="B8929" t="str">
            <v>FC 24x7 5年 iLO Adv Pack 1 3年用</v>
          </cell>
          <cell r="C8929" t="str">
            <v>【ファウンデーションケア】</v>
          </cell>
        </row>
        <row r="8930">
          <cell r="A8930" t="str">
            <v>U2WL7E</v>
          </cell>
          <cell r="B8930" t="str">
            <v>FC 24x7 3年 IC for Blade 16-Svr用</v>
          </cell>
          <cell r="C8930" t="str">
            <v>【ファウンデーションケア】</v>
          </cell>
        </row>
        <row r="8931">
          <cell r="A8931" t="str">
            <v>U2WL8E</v>
          </cell>
          <cell r="B8931" t="str">
            <v>FC 24x7 4年 IC for Blade 16-Svr用</v>
          </cell>
          <cell r="C8931" t="str">
            <v>【ファウンデーションケア】</v>
          </cell>
        </row>
        <row r="8932">
          <cell r="A8932" t="str">
            <v>U2WL9E</v>
          </cell>
          <cell r="B8932" t="str">
            <v>FC 24x7 5年 IC for Blade 16-Svr用</v>
          </cell>
          <cell r="C8932" t="str">
            <v>【ファウンデーションケア】</v>
          </cell>
        </row>
        <row r="8933">
          <cell r="A8933" t="str">
            <v>U2WM0E</v>
          </cell>
          <cell r="B8933" t="str">
            <v>FC 24x7 3年 IC for Blade 8-Svr用</v>
          </cell>
          <cell r="C8933" t="str">
            <v>【ファウンデーションケア】</v>
          </cell>
        </row>
        <row r="8934">
          <cell r="A8934" t="str">
            <v>U2WM1E</v>
          </cell>
          <cell r="B8934" t="str">
            <v>FC 24x7 4年 IC for Blade 8-Svr用</v>
          </cell>
          <cell r="C8934" t="str">
            <v>【ファウンデーションケア】</v>
          </cell>
        </row>
        <row r="8935">
          <cell r="A8935" t="str">
            <v>U2WM2E</v>
          </cell>
          <cell r="B8935" t="str">
            <v>FC 24x7 5年 IC for Blade 8-Svr用</v>
          </cell>
          <cell r="C8935" t="str">
            <v>【ファウンデーションケア】</v>
          </cell>
        </row>
        <row r="8936">
          <cell r="A8936" t="str">
            <v>U2WM3E</v>
          </cell>
          <cell r="B8936" t="str">
            <v>FC 24x7 3年 IC 1-Srv用</v>
          </cell>
          <cell r="C8936" t="str">
            <v>【ファウンデーションケア】</v>
          </cell>
        </row>
        <row r="8937">
          <cell r="A8937" t="str">
            <v>U2WM4E</v>
          </cell>
          <cell r="B8937" t="str">
            <v>FC 24x7 4年 IC 1-Srv用</v>
          </cell>
          <cell r="C8937" t="str">
            <v>【ファウンデーションケア】</v>
          </cell>
        </row>
        <row r="8938">
          <cell r="A8938" t="str">
            <v>U2WM5E</v>
          </cell>
          <cell r="B8938" t="str">
            <v>FC 24x7 5年 IC 1-Srv用</v>
          </cell>
          <cell r="C8938" t="str">
            <v>【ファウンデーションケア】</v>
          </cell>
        </row>
        <row r="8939">
          <cell r="A8939" t="str">
            <v>U2WM6E</v>
          </cell>
          <cell r="B8939" t="str">
            <v>FC 24x7 4年 OneView BL 16-Svr用</v>
          </cell>
          <cell r="C8939" t="str">
            <v>【ファウンデーションケア】</v>
          </cell>
        </row>
        <row r="8940">
          <cell r="A8940" t="str">
            <v>U2WM7E</v>
          </cell>
          <cell r="B8940" t="str">
            <v>FC 24x7 5年 OneView BL 16-Svr用</v>
          </cell>
          <cell r="C8940" t="str">
            <v>【ファウンデーションケア】</v>
          </cell>
        </row>
        <row r="8941">
          <cell r="A8941" t="str">
            <v>U2WM8E</v>
          </cell>
          <cell r="B8941" t="str">
            <v>FC 24x7 4年 One View用</v>
          </cell>
          <cell r="C8941" t="str">
            <v>【ファウンデーションケア】</v>
          </cell>
        </row>
        <row r="8942">
          <cell r="A8942" t="str">
            <v>U2WM9E</v>
          </cell>
          <cell r="B8942" t="str">
            <v>FC 24x7 5年 One View用</v>
          </cell>
          <cell r="C8942" t="str">
            <v>【ファウンデーションケア】</v>
          </cell>
        </row>
        <row r="8943">
          <cell r="A8943" t="str">
            <v>U2WN0E</v>
          </cell>
          <cell r="B8943" t="str">
            <v>FC 24x7 4年 One View w/o iLo用</v>
          </cell>
          <cell r="C8943" t="str">
            <v>【ファウンデーションケア】</v>
          </cell>
        </row>
        <row r="8944">
          <cell r="A8944" t="str">
            <v>U2WN1E</v>
          </cell>
          <cell r="B8944" t="str">
            <v>FC 24x7 5年 One View w/o iLo用</v>
          </cell>
          <cell r="C8944" t="str">
            <v>【ファウンデーションケア】</v>
          </cell>
        </row>
        <row r="8945">
          <cell r="A8945" t="str">
            <v>U2WN6E</v>
          </cell>
          <cell r="B8945" t="str">
            <v>FC 24x7 3年 Matrix OE w/IC 1-srv用</v>
          </cell>
          <cell r="C8945" t="str">
            <v>【ファウンデーションケア】</v>
          </cell>
        </row>
        <row r="8946">
          <cell r="A8946" t="str">
            <v>U2WN7E</v>
          </cell>
          <cell r="B8946" t="str">
            <v>FC 24x7 4年 Matrix OE w/IC 1-srv用</v>
          </cell>
          <cell r="C8946" t="str">
            <v>【ファウンデーションケア】</v>
          </cell>
        </row>
        <row r="8947">
          <cell r="A8947" t="str">
            <v>U2WN8E</v>
          </cell>
          <cell r="B8947" t="str">
            <v>FC 24x7 5年 Matrix OE w/IC 1-srv用</v>
          </cell>
          <cell r="C8947" t="str">
            <v>【ファウンデーションケア】</v>
          </cell>
        </row>
        <row r="8948">
          <cell r="A8948" t="str">
            <v>U2WP5E</v>
          </cell>
          <cell r="B8948" t="str">
            <v>FC 24x7 3年 Matrix OE w/o IC 1-srv用</v>
          </cell>
          <cell r="C8948" t="str">
            <v>【ファウンデーションケア】</v>
          </cell>
        </row>
        <row r="8949">
          <cell r="A8949" t="str">
            <v>U2WP6E</v>
          </cell>
          <cell r="B8949" t="str">
            <v>FC 24x7 4年 Matrix OE w/o IC 1-srv用</v>
          </cell>
          <cell r="C8949" t="str">
            <v>【ファウンデーションケア】</v>
          </cell>
        </row>
        <row r="8950">
          <cell r="A8950" t="str">
            <v>U2WP7E</v>
          </cell>
          <cell r="B8950" t="str">
            <v>FC 24x7 5年 Matrix OE w/o IC 1-srv用</v>
          </cell>
          <cell r="C8950" t="str">
            <v>【ファウンデーションケア】</v>
          </cell>
        </row>
        <row r="8951">
          <cell r="A8951" t="str">
            <v>U3AF8E</v>
          </cell>
          <cell r="B8951" t="str">
            <v>FC 24x7 3年 StorOnce 4500 Rep LTU用</v>
          </cell>
          <cell r="C8951" t="str">
            <v>【ファウンデーションケア】</v>
          </cell>
        </row>
        <row r="8952">
          <cell r="A8952" t="str">
            <v>U3AG0E</v>
          </cell>
          <cell r="B8952" t="str">
            <v>FC 24x7 4年 StorOnce 4500 Rep LTU用</v>
          </cell>
          <cell r="C8952" t="str">
            <v>【ファウンデーションケア】</v>
          </cell>
        </row>
        <row r="8953">
          <cell r="A8953" t="str">
            <v>U3AG2E</v>
          </cell>
          <cell r="B8953" t="str">
            <v>FC 24x7 5年 StorOnce 4500 Rep LTU用</v>
          </cell>
          <cell r="C8953" t="str">
            <v>【ファウンデーションケア】</v>
          </cell>
        </row>
        <row r="8954">
          <cell r="A8954" t="str">
            <v>U3AG3E</v>
          </cell>
          <cell r="B8954" t="str">
            <v>FC 24x7 3年 StorOnce 4700 Rep LTU用</v>
          </cell>
          <cell r="C8954" t="str">
            <v>【ファウンデーションケア】</v>
          </cell>
        </row>
        <row r="8955">
          <cell r="A8955" t="str">
            <v>U3AG5E</v>
          </cell>
          <cell r="B8955" t="str">
            <v>FC 24x7 4年 StorOnce 4700 Rep LTU用</v>
          </cell>
          <cell r="C8955" t="str">
            <v>【ファウンデーションケア】</v>
          </cell>
        </row>
        <row r="8956">
          <cell r="A8956" t="str">
            <v>U3AG8E</v>
          </cell>
          <cell r="B8956" t="str">
            <v>FC 24x7 5年 StorOnce 4700 Rep LTU用</v>
          </cell>
          <cell r="C8956" t="str">
            <v>【ファウンデーションケア】</v>
          </cell>
        </row>
        <row r="8957">
          <cell r="A8957" t="str">
            <v>U3BR5E</v>
          </cell>
          <cell r="B8957" t="str">
            <v>FC 9x5 3年 WSS2012R2 Upgrade Kit</v>
          </cell>
          <cell r="C8957" t="str">
            <v>【ファウンデーションケア】</v>
          </cell>
        </row>
        <row r="8958">
          <cell r="A8958" t="str">
            <v>U3BR6E</v>
          </cell>
          <cell r="B8958" t="str">
            <v>FC 9x5 4年 WSS2012R2 Upgrade Kit</v>
          </cell>
          <cell r="C8958" t="str">
            <v>【ファウンデーションケア】</v>
          </cell>
        </row>
        <row r="8959">
          <cell r="A8959" t="str">
            <v>U3BR7E</v>
          </cell>
          <cell r="B8959" t="str">
            <v>FC 9x5 5年 WSS2012R2 Upgrade Kit</v>
          </cell>
          <cell r="C8959" t="str">
            <v>【ファウンデーションケア】</v>
          </cell>
        </row>
        <row r="8960">
          <cell r="A8960" t="str">
            <v>U3BR8E</v>
          </cell>
          <cell r="B8960" t="str">
            <v>FC 24x7 3年 WSS2012R2 Upgrade Kit</v>
          </cell>
          <cell r="C8960" t="str">
            <v>【ファウンデーションケア】</v>
          </cell>
        </row>
        <row r="8961">
          <cell r="A8961" t="str">
            <v>U3BR9E</v>
          </cell>
          <cell r="B8961" t="str">
            <v>FC 24x7 4年 WSS2012R2 Upgrade Kit</v>
          </cell>
          <cell r="C8961" t="str">
            <v>【ファウンデーションケア】</v>
          </cell>
        </row>
        <row r="8962">
          <cell r="A8962" t="str">
            <v>U3BS0E</v>
          </cell>
          <cell r="B8962" t="str">
            <v>FC 24x7 5年 WSS2012R2 Upgrade Kit</v>
          </cell>
          <cell r="C8962" t="str">
            <v>【ファウンデーションケア】</v>
          </cell>
        </row>
        <row r="8963">
          <cell r="A8963" t="str">
            <v>U3D56E</v>
          </cell>
          <cell r="B8963" t="str">
            <v>ProCare 24x7 3年 VCEM for c3000用</v>
          </cell>
          <cell r="C8963" t="str">
            <v>【HPEプロアクティブケア】メーカー推奨／低価格で国内専用窓口の高品質な保守により、システム運用における安心を提供します。</v>
          </cell>
        </row>
        <row r="8964">
          <cell r="A8964" t="str">
            <v>U3D57E</v>
          </cell>
          <cell r="B8964" t="str">
            <v>ProCare 24x7 4年 VCEM for c3000用</v>
          </cell>
          <cell r="C8964" t="str">
            <v>【HPEプロアクティブケア】メーカー推奨／低価格で国内専用窓口の高品質な保守により、システム運用における安心を提供します。</v>
          </cell>
        </row>
        <row r="8965">
          <cell r="A8965" t="str">
            <v>U3D58E</v>
          </cell>
          <cell r="B8965" t="str">
            <v>ProCare 24x7 5年 VCEM for c3000用</v>
          </cell>
          <cell r="C8965" t="str">
            <v>【HPEプロアクティブケア】メーカー推奨／低価格で国内専用窓口の高品質な保守により、システム運用における安心を提供します。</v>
          </cell>
        </row>
        <row r="8966">
          <cell r="A8966" t="str">
            <v>U3D59E</v>
          </cell>
          <cell r="B8966" t="str">
            <v>ProCare 24x7 3年 VCEM for c7000用</v>
          </cell>
          <cell r="C8966" t="str">
            <v>【HPEプロアクティブケア】メーカー推奨／低価格で国内専用窓口の高品質な保守により、システム運用における安心を提供します。</v>
          </cell>
        </row>
        <row r="8967">
          <cell r="A8967" t="str">
            <v>U3D60E</v>
          </cell>
          <cell r="B8967" t="str">
            <v>ProCare 24x7 4年 VCEM for c7000用</v>
          </cell>
          <cell r="C8967" t="str">
            <v>【HPEプロアクティブケア】メーカー推奨／低価格で国内専用窓口の高品質な保守により、システム運用における安心を提供します。</v>
          </cell>
        </row>
        <row r="8968">
          <cell r="A8968" t="str">
            <v>U3D61E</v>
          </cell>
          <cell r="B8968" t="str">
            <v>ProCare 24x7 5年 VCEM for c7000用</v>
          </cell>
          <cell r="C8968" t="str">
            <v>【HPEプロアクティブケア】メーカー推奨／低価格で国内専用窓口の高品質な保守により、システム運用における安心を提供します。</v>
          </cell>
        </row>
        <row r="8969">
          <cell r="A8969" t="str">
            <v>U3D62E</v>
          </cell>
          <cell r="B8969" t="str">
            <v>ProCare 24x7 3年 Matrix OE w/IC 1-Svr用</v>
          </cell>
          <cell r="C8969" t="str">
            <v>【HPEプロアクティブケア】メーカー推奨／低価格で国内専用窓口の高品質な保守により、システム運用における安心を提供します。</v>
          </cell>
        </row>
        <row r="8970">
          <cell r="A8970" t="str">
            <v>U3D63E</v>
          </cell>
          <cell r="B8970" t="str">
            <v>ProCare 24x7 4年 Matrix OE w/IC 1-Svr用</v>
          </cell>
          <cell r="C8970" t="str">
            <v>【HPEプロアクティブケア】メーカー推奨／低価格で国内専用窓口の高品質な保守により、システム運用における安心を提供します。</v>
          </cell>
        </row>
        <row r="8971">
          <cell r="A8971" t="str">
            <v>U3D64E</v>
          </cell>
          <cell r="B8971" t="str">
            <v>ProCare 24x7 5年 Matrix OE w/IC 1-Svr用</v>
          </cell>
          <cell r="C8971" t="str">
            <v>【HPEプロアクティブケア】メーカー推奨／低価格で国内専用窓口の高品質な保守により、システム運用における安心を提供します。</v>
          </cell>
        </row>
        <row r="8972">
          <cell r="A8972" t="str">
            <v>U3D71E</v>
          </cell>
          <cell r="B8972" t="str">
            <v>ProCare24x7 3年 Matrix OE w/o IC 1-Svr用</v>
          </cell>
          <cell r="C8972" t="str">
            <v>【HPEプロアクティブケア】メーカー推奨／低価格で国内専用窓口の高品質な保守により、システム運用における安心を提供します。</v>
          </cell>
        </row>
        <row r="8973">
          <cell r="A8973" t="str">
            <v>U3D72E</v>
          </cell>
          <cell r="B8973" t="str">
            <v>ProCare24x7 4年 Matrix OE w/o IC 1-Svr用</v>
          </cell>
          <cell r="C8973" t="str">
            <v>【HPEプロアクティブケア】メーカー推奨／低価格で国内専用窓口の高品質な保守により、システム運用における安心を提供します。</v>
          </cell>
        </row>
        <row r="8974">
          <cell r="A8974" t="str">
            <v>U3D73E</v>
          </cell>
          <cell r="B8974" t="str">
            <v>ProCare24x7 5年 Matrix OE w/o IC 1-Svr用</v>
          </cell>
          <cell r="C8974" t="str">
            <v>【HPEプロアクティブケア】メーカー推奨／低価格で国内専用窓口の高品質な保守により、システム運用における安心を提供します。</v>
          </cell>
        </row>
        <row r="8975">
          <cell r="A8975" t="str">
            <v>U3E16E</v>
          </cell>
          <cell r="B8975" t="str">
            <v>ProCare 24x7 3年 iLO Adv Pack 8 for BL用</v>
          </cell>
          <cell r="C8975" t="str">
            <v>【HPEプロアクティブケア】メーカー推奨／低価格で国内専用窓口の高品質な保守により、システム運用における安心を提供します。</v>
          </cell>
        </row>
        <row r="8976">
          <cell r="A8976" t="str">
            <v>U3E17E</v>
          </cell>
          <cell r="B8976" t="str">
            <v>ProCare 24x7 4年 iLO Adv Pack 8 for BL用</v>
          </cell>
          <cell r="C8976" t="str">
            <v>【HPEプロアクティブケア】メーカー推奨／低価格で国内専用窓口の高品質な保守により、システム運用における安心を提供します。</v>
          </cell>
        </row>
        <row r="8977">
          <cell r="A8977" t="str">
            <v>U3E18E</v>
          </cell>
          <cell r="B8977" t="str">
            <v>ProCare 24x7 5年 iLO Adv Pack 8 for BL用</v>
          </cell>
          <cell r="C8977" t="str">
            <v>【HPEプロアクティブケア】メーカー推奨／低価格で国内専用窓口の高品質な保守により、システム運用における安心を提供します。</v>
          </cell>
        </row>
        <row r="8978">
          <cell r="A8978" t="str">
            <v>U3E94E</v>
          </cell>
          <cell r="B8978" t="str">
            <v>ProCare 24x7 3年SAN Switch 8-24 PP LTU用</v>
          </cell>
          <cell r="C8978" t="str">
            <v>【HPEプロアクティブケア】メーカー推奨／低価格で国内専用窓口の高品質な保守により、システム運用における安心を提供します。</v>
          </cell>
        </row>
        <row r="8979">
          <cell r="A8979" t="str">
            <v>U3E95E</v>
          </cell>
          <cell r="B8979" t="str">
            <v>ProCare 24x7 3年 SAN Switch 24-40 PP LTU</v>
          </cell>
          <cell r="C8979" t="str">
            <v>【HPEプロアクティブケア】メーカー推奨／低価格で国内専用窓口の高品質な保守により、システム運用における安心を提供します。</v>
          </cell>
        </row>
        <row r="8980">
          <cell r="A8980" t="str">
            <v>U3E96E</v>
          </cell>
          <cell r="B8980" t="str">
            <v>ProCare 24x7 3年 SAN Switch 48-80 PP LTU</v>
          </cell>
          <cell r="C8980" t="str">
            <v>【HPEプロアクティブケア】メーカー推奨／低価格で国内専用窓口の高品質な保守により、システム運用における安心を提供します。</v>
          </cell>
        </row>
        <row r="8981">
          <cell r="A8981" t="str">
            <v>U3N08E</v>
          </cell>
          <cell r="B8981" t="str">
            <v>ProCare 24x7 3年 IC 1-Svr用</v>
          </cell>
          <cell r="C8981" t="str">
            <v>【HPEプロアクティブケア】メーカー推奨／低価格で国内専用窓口の高品質な保守により、システム運用における安心を提供します。</v>
          </cell>
        </row>
        <row r="8982">
          <cell r="A8982" t="str">
            <v>U3N09E</v>
          </cell>
          <cell r="B8982" t="str">
            <v>ProCare 24x7 4年 IC 1-Svr用</v>
          </cell>
          <cell r="C8982" t="str">
            <v>【HPEプロアクティブケア】メーカー推奨／低価格で国内専用窓口の高品質な保守により、システム運用における安心を提供します。</v>
          </cell>
        </row>
        <row r="8983">
          <cell r="A8983" t="str">
            <v>U3N10E</v>
          </cell>
          <cell r="B8983" t="str">
            <v>ProCare 24x7 5年 IC 1-Svr用</v>
          </cell>
          <cell r="C8983" t="str">
            <v>【HPEプロアクティブケア】メーカー推奨／低価格で国内専用窓口の高品質な保守により、システム運用における安心を提供します。</v>
          </cell>
        </row>
        <row r="8984">
          <cell r="A8984" t="str">
            <v>U3N11E</v>
          </cell>
          <cell r="B8984" t="str">
            <v>ProCare24x7 3年 IC for Blade 8-Svr用</v>
          </cell>
          <cell r="C8984" t="str">
            <v>【HPEプロアクティブケア】メーカー推奨／低価格で国内専用窓口の高品質な保守により、システム運用における安心を提供します。</v>
          </cell>
        </row>
        <row r="8985">
          <cell r="A8985" t="str">
            <v>U3N12E</v>
          </cell>
          <cell r="B8985" t="str">
            <v>ProCare24x7 4年 IC for Blade 8-Svr用</v>
          </cell>
          <cell r="C8985" t="str">
            <v>【HPEプロアクティブケア】メーカー推奨／低価格で国内専用窓口の高品質な保守により、システム運用における安心を提供します。</v>
          </cell>
        </row>
        <row r="8986">
          <cell r="A8986" t="str">
            <v>U3N13E</v>
          </cell>
          <cell r="B8986" t="str">
            <v>ProCare24x7 5年 IC for Blade 8-Svr用</v>
          </cell>
          <cell r="C8986" t="str">
            <v>【HPEプロアクティブケア】メーカー推奨／低価格で国内専用窓口の高品質な保守により、システム運用における安心を提供します。</v>
          </cell>
        </row>
        <row r="8987">
          <cell r="A8987" t="str">
            <v>U3N14E</v>
          </cell>
          <cell r="B8987" t="str">
            <v>ProCare24x7 3年 IC for Blade 16-Svr用</v>
          </cell>
          <cell r="C8987" t="str">
            <v>【HPEプロアクティブケア】メーカー推奨／低価格で国内専用窓口の高品質な保守により、システム運用における安心を提供します。</v>
          </cell>
        </row>
        <row r="8988">
          <cell r="A8988" t="str">
            <v>U3N15E</v>
          </cell>
          <cell r="B8988" t="str">
            <v>ProCare24x7 4年 IC for Blade 16-Svr用</v>
          </cell>
          <cell r="C8988" t="str">
            <v>【HPEプロアクティブケア】メーカー推奨／低価格で国内専用窓口の高品質な保守により、システム運用における安心を提供します。</v>
          </cell>
        </row>
        <row r="8989">
          <cell r="A8989" t="str">
            <v>U3N16E</v>
          </cell>
          <cell r="B8989" t="str">
            <v>ProCare24x7 5年 IC for Blade 16-Svr用</v>
          </cell>
          <cell r="C8989" t="str">
            <v>【HPEプロアクティブケア】メーカー推奨／低価格で国内専用窓口の高品質な保守により、システム運用における安心を提供します。</v>
          </cell>
        </row>
        <row r="8990">
          <cell r="A8990" t="str">
            <v>U3Y11E</v>
          </cell>
          <cell r="B8990" t="str">
            <v>ProCare 24x7 3年 WSS2012R2 Upgrade Kit</v>
          </cell>
          <cell r="C8990" t="str">
            <v>【HPEプロアクティブケア】メーカー推奨／低価格で国内専用窓口の高品質な保守により、システム運用における安心を提供します。</v>
          </cell>
        </row>
        <row r="8991">
          <cell r="A8991" t="str">
            <v>U3Y12E</v>
          </cell>
          <cell r="B8991" t="str">
            <v>ProCare 24x7 4年 WSS2012R2 Upgrade Kit</v>
          </cell>
          <cell r="C8991" t="str">
            <v>【HPEプロアクティブケア】メーカー推奨／低価格で国内専用窓口の高品質な保守により、システム運用における安心を提供します。</v>
          </cell>
        </row>
        <row r="8992">
          <cell r="A8992" t="str">
            <v>U3Y13E</v>
          </cell>
          <cell r="B8992" t="str">
            <v>ProCare 24x7 5年 WSS2012R2 Upgrade Kit</v>
          </cell>
          <cell r="C8992" t="str">
            <v>【HPEプロアクティブケア】メーカー推奨／低価格で国内専用窓口の高品質な保守により、システム運用における安心を提供します。</v>
          </cell>
        </row>
        <row r="8993">
          <cell r="A8993" t="str">
            <v>U4PA9E</v>
          </cell>
          <cell r="B8993" t="str">
            <v>FC 24x7 3年 CS Foundation 1 Svr用</v>
          </cell>
          <cell r="C8993" t="str">
            <v>【ファウンデーションケア】</v>
          </cell>
        </row>
        <row r="8994">
          <cell r="A8994" t="str">
            <v>U4PB0E</v>
          </cell>
          <cell r="B8994" t="str">
            <v>FC 24x7 4年 CS Foundation 1 Svr用</v>
          </cell>
          <cell r="C8994" t="str">
            <v>【ファウンデーションケア】</v>
          </cell>
        </row>
        <row r="8995">
          <cell r="A8995" t="str">
            <v>U4PB1E</v>
          </cell>
          <cell r="B8995" t="str">
            <v>FC 24x7 5年 CS Foundation 1 Svr用</v>
          </cell>
          <cell r="C8995" t="str">
            <v>【ファウンデーションケア】</v>
          </cell>
        </row>
        <row r="8996">
          <cell r="A8996" t="str">
            <v>U4PB2E</v>
          </cell>
          <cell r="B8996" t="str">
            <v>ProCare 24x7 3年 CS Foundation 1Svr用</v>
          </cell>
          <cell r="C8996" t="str">
            <v>【HPEプロアクティブケア】メーカー推奨／低価格で国内専用窓口の高品質な保守により、システム運用における安心を提供します。</v>
          </cell>
        </row>
        <row r="8997">
          <cell r="A8997" t="str">
            <v>U4PB3E</v>
          </cell>
          <cell r="B8997" t="str">
            <v>ProCare 24x7 4年 CS Foundation 1Svr用</v>
          </cell>
          <cell r="C8997" t="str">
            <v>【HPEプロアクティブケア】メーカー推奨／低価格で国内専用窓口の高品質な保守により、システム運用における安心を提供します。</v>
          </cell>
        </row>
        <row r="8998">
          <cell r="A8998" t="str">
            <v>U4PB4E</v>
          </cell>
          <cell r="B8998" t="str">
            <v>ProCare 24x7 5年 CS Foundation 1Svr用</v>
          </cell>
          <cell r="C8998" t="str">
            <v>【HPEプロアクティブケア】メーカー推奨／低価格で国内専用窓口の高品質な保守により、システム運用における安心を提供します。</v>
          </cell>
        </row>
        <row r="8999">
          <cell r="A8999" t="str">
            <v>U4PC6E</v>
          </cell>
          <cell r="B8999" t="str">
            <v>FC 24x7 3年 CS Enterprise 1 Svr用</v>
          </cell>
          <cell r="C8999" t="str">
            <v>【ファウンデーションケア】</v>
          </cell>
        </row>
        <row r="9000">
          <cell r="A9000" t="str">
            <v>U4PC7E</v>
          </cell>
          <cell r="B9000" t="str">
            <v>FC 24x7 4年 CS Enterprise 1 Svr用</v>
          </cell>
          <cell r="C9000" t="str">
            <v>【ファウンデーションケア】</v>
          </cell>
        </row>
        <row r="9001">
          <cell r="A9001" t="str">
            <v>U4PC8E</v>
          </cell>
          <cell r="B9001" t="str">
            <v>FC 24x7 5年 CS Enterprise 1 Svr用</v>
          </cell>
          <cell r="C9001" t="str">
            <v>【ファウンデーションケア】</v>
          </cell>
        </row>
        <row r="9002">
          <cell r="A9002" t="str">
            <v>U4PC9E</v>
          </cell>
          <cell r="B9002" t="str">
            <v>ProCare 24x7 3年 CS Enterprise 1Svr用</v>
          </cell>
          <cell r="C9002" t="str">
            <v>【HPEプロアクティブケア】メーカー推奨／低価格で国内専用窓口の高品質な保守により、システム運用における安心を提供します。</v>
          </cell>
        </row>
        <row r="9003">
          <cell r="A9003" t="str">
            <v>U4PD0E</v>
          </cell>
          <cell r="B9003" t="str">
            <v>ProCare 24x7 4年 CS Enterprise 1Svr用</v>
          </cell>
          <cell r="C9003" t="str">
            <v>【HPEプロアクティブケア】メーカー推奨／低価格で国内専用窓口の高品質な保守により、システム運用における安心を提供します。</v>
          </cell>
        </row>
        <row r="9004">
          <cell r="A9004" t="str">
            <v>U4PD1E</v>
          </cell>
          <cell r="B9004" t="str">
            <v>ProCare 24x7 5年 CS Enterprise 1Svr用</v>
          </cell>
          <cell r="C9004" t="str">
            <v>【HPEプロアクティブケア】メーカー推奨／低価格で国内専用窓口の高品質な保守により、システム運用における安心を提供します。</v>
          </cell>
        </row>
        <row r="9005">
          <cell r="A9005" t="str">
            <v>U4PE2E</v>
          </cell>
          <cell r="B9005" t="str">
            <v>FC 24x7 4年 CS End 8Server 3年用</v>
          </cell>
          <cell r="C9005" t="str">
            <v>【ファウンデーションケア】</v>
          </cell>
        </row>
        <row r="9006">
          <cell r="A9006" t="str">
            <v>U4PE3E</v>
          </cell>
          <cell r="B9006" t="str">
            <v>FC 24x7 5年 CS End 8Server 3年用</v>
          </cell>
          <cell r="C9006" t="str">
            <v>【ファウンデーションケア】</v>
          </cell>
        </row>
        <row r="9007">
          <cell r="A9007" t="str">
            <v>U4PE4E</v>
          </cell>
          <cell r="B9007" t="str">
            <v>ProCare 24x7 3年 CS End 8Server 3年用</v>
          </cell>
          <cell r="C9007" t="str">
            <v>【HPEプロアクティブケア】メーカー推奨／低価格で国内専用窓口の高品質な保守により、システム運用における安心を提供します。</v>
          </cell>
        </row>
        <row r="9008">
          <cell r="A9008" t="str">
            <v>U4PE5E</v>
          </cell>
          <cell r="B9008" t="str">
            <v>ProCare 24x7 4年 CS End 8Server 3年用</v>
          </cell>
          <cell r="C9008" t="str">
            <v>【HPEプロアクティブケア】メーカー推奨／低価格で国内専用窓口の高品質な保守により、システム運用における安心を提供します。</v>
          </cell>
        </row>
        <row r="9009">
          <cell r="A9009" t="str">
            <v>U4PE6E</v>
          </cell>
          <cell r="B9009" t="str">
            <v>ProCare 24x7 5年 CS End 8Server 3年用</v>
          </cell>
          <cell r="C9009" t="str">
            <v>【HPEプロアクティブケア】メーカー推奨／低価格で国内専用窓口の高品質な保守により、システム運用における安心を提供します。</v>
          </cell>
        </row>
        <row r="9010">
          <cell r="A9010" t="str">
            <v>U4PF2E</v>
          </cell>
          <cell r="B9010" t="str">
            <v>FC 24x7 4年 CS Ent 80-OSI 3年用</v>
          </cell>
          <cell r="C9010" t="str">
            <v>【ファウンデーションケア】</v>
          </cell>
        </row>
        <row r="9011">
          <cell r="A9011" t="str">
            <v>U4PF3E</v>
          </cell>
          <cell r="B9011" t="str">
            <v>FC 24x7 5年 CS Ent 80-OSI 3年用</v>
          </cell>
          <cell r="C9011" t="str">
            <v>【ファウンデーションケア】</v>
          </cell>
        </row>
        <row r="9012">
          <cell r="A9012" t="str">
            <v>U4PF4E</v>
          </cell>
          <cell r="B9012" t="str">
            <v>ProCare 24x7 3年 CS Ent 80-OSI 3年用</v>
          </cell>
          <cell r="C9012" t="str">
            <v>【HPEプロアクティブケア】メーカー推奨／低価格で国内専用窓口の高品質な保守により、システム運用における安心を提供します。</v>
          </cell>
        </row>
        <row r="9013">
          <cell r="A9013" t="str">
            <v>U4PF5E</v>
          </cell>
          <cell r="B9013" t="str">
            <v>ProCare 24x7 4年 CS Ent 80-OSI 3年用</v>
          </cell>
          <cell r="C9013" t="str">
            <v>【HPEプロアクティブケア】メーカー推奨／低価格で国内専用窓口の高品質な保守により、システム運用における安心を提供します。</v>
          </cell>
        </row>
        <row r="9014">
          <cell r="A9014" t="str">
            <v>U4PF6E</v>
          </cell>
          <cell r="B9014" t="str">
            <v>ProCare 24x7 5年 CS Ent 80-OSI 3年用</v>
          </cell>
          <cell r="C9014" t="str">
            <v>【HPEプロアクティブケア】メーカー推奨／低価格で国内専用窓口の高品質な保守により、システム運用における安心を提供します。</v>
          </cell>
        </row>
        <row r="9015">
          <cell r="A9015" t="str">
            <v>U4PF7E</v>
          </cell>
          <cell r="B9015" t="str">
            <v>FC 24x7 4年 CS Ent 8Server 3年用</v>
          </cell>
          <cell r="C9015" t="str">
            <v>【ファウンデーションケア】</v>
          </cell>
        </row>
        <row r="9016">
          <cell r="A9016" t="str">
            <v>U4PF8E</v>
          </cell>
          <cell r="B9016" t="str">
            <v>FC 24x7 5年 CS Ent 8Server 3年用</v>
          </cell>
          <cell r="C9016" t="str">
            <v>【ファウンデーションケア】</v>
          </cell>
        </row>
        <row r="9017">
          <cell r="A9017" t="str">
            <v>U4PF9E</v>
          </cell>
          <cell r="B9017" t="str">
            <v>ProCare 24x7 3年 CS Ent 8Server 3年用</v>
          </cell>
          <cell r="C9017" t="str">
            <v>【HPEプロアクティブケア】メーカー推奨／低価格で国内専用窓口の高品質な保守により、システム運用における安心を提供します。</v>
          </cell>
        </row>
        <row r="9018">
          <cell r="A9018" t="str">
            <v>U4PG0E</v>
          </cell>
          <cell r="B9018" t="str">
            <v>ProCare 24x7 4年 CS Ent 8Server 3年用</v>
          </cell>
          <cell r="C9018" t="str">
            <v>【HPEプロアクティブケア】メーカー推奨／低価格で国内専用窓口の高品質な保守により、システム運用における安心を提供します。</v>
          </cell>
        </row>
        <row r="9019">
          <cell r="A9019" t="str">
            <v>U4PG1E</v>
          </cell>
          <cell r="B9019" t="str">
            <v>ProCare 24x7 5年 CS Ent 8Server 3年用</v>
          </cell>
          <cell r="C9019" t="str">
            <v>【HPEプロアクティブケア】メーカー推奨／低価格で国内専用窓口の高品質な保守により、システム運用における安心を提供します。</v>
          </cell>
        </row>
        <row r="9020">
          <cell r="A9020" t="str">
            <v>U4PG2E</v>
          </cell>
          <cell r="B9020" t="str">
            <v>FC 24x7 4年 CS Ent 160-OSI 3年用</v>
          </cell>
          <cell r="C9020" t="str">
            <v>【ファウンデーションケア】</v>
          </cell>
        </row>
        <row r="9021">
          <cell r="A9021" t="str">
            <v>U4PG3E</v>
          </cell>
          <cell r="B9021" t="str">
            <v>FC 24x7 5年 CS Ent 160-OSI 3年用</v>
          </cell>
          <cell r="C9021" t="str">
            <v>【ファウンデーションケア】</v>
          </cell>
        </row>
        <row r="9022">
          <cell r="A9022" t="str">
            <v>U4PG4E</v>
          </cell>
          <cell r="B9022" t="str">
            <v>ProCare 24x7 3年 CS Ent 160-OSI 3年用</v>
          </cell>
          <cell r="C9022" t="str">
            <v>【HPEプロアクティブケア】メーカー推奨／低価格で国内専用窓口の高品質な保守により、システム運用における安心を提供します。</v>
          </cell>
        </row>
        <row r="9023">
          <cell r="A9023" t="str">
            <v>U4PG5E</v>
          </cell>
          <cell r="B9023" t="str">
            <v>ProCare 24x7 4年 CS Ent 160-OSI 3年用</v>
          </cell>
          <cell r="C9023" t="str">
            <v>【HPEプロアクティブケア】メーカー推奨／低価格で国内専用窓口の高品質な保守により、システム運用における安心を提供します。</v>
          </cell>
        </row>
        <row r="9024">
          <cell r="A9024" t="str">
            <v>U4PG6E</v>
          </cell>
          <cell r="B9024" t="str">
            <v>ProCare 24x7 5年 CS Ent 160-OSI 3年用</v>
          </cell>
          <cell r="C9024" t="str">
            <v>【HPEプロアクティブケア】メーカー推奨／低価格で国内専用窓口の高品質な保守により、システム運用における安心を提供します。</v>
          </cell>
        </row>
        <row r="9025">
          <cell r="A9025" t="str">
            <v>U4QD8E</v>
          </cell>
          <cell r="B9025" t="str">
            <v>FC 24x7 3年 CCLX x86 1年24x7用</v>
          </cell>
          <cell r="C9025" t="str">
            <v>【ファウンデーションケア】</v>
          </cell>
        </row>
        <row r="9026">
          <cell r="A9026" t="str">
            <v>U4QD9E</v>
          </cell>
          <cell r="B9026" t="str">
            <v>ProCare 24x7 3年 CCLX x86 1年24x7用</v>
          </cell>
          <cell r="C9026" t="str">
            <v>【HPEプロアクティブケア】メーカー推奨／低価格で国内専用窓口の高品質な保守により、システム運用における安心を提供します。</v>
          </cell>
        </row>
        <row r="9027">
          <cell r="A9027" t="str">
            <v>U4QE0E</v>
          </cell>
          <cell r="B9027" t="str">
            <v>FC 24x7 4年 CCLX x86 1年24x7用</v>
          </cell>
          <cell r="C9027" t="str">
            <v>【ファウンデーションケア】</v>
          </cell>
        </row>
        <row r="9028">
          <cell r="A9028" t="str">
            <v>U4QE1E</v>
          </cell>
          <cell r="B9028" t="str">
            <v>FC 24x7 5年 CCLX x86 1年24x7用</v>
          </cell>
          <cell r="C9028" t="str">
            <v>【ファウンデーションケア】</v>
          </cell>
        </row>
        <row r="9029">
          <cell r="A9029" t="str">
            <v>U4QE2E</v>
          </cell>
          <cell r="B9029" t="str">
            <v>ProCare 24x7 5年 CCLX x86 1年24x7用</v>
          </cell>
          <cell r="C9029" t="str">
            <v>【HPEプロアクティブケア】メーカー推奨／低価格で国内専用窓口の高品質な保守により、システム運用における安心を提供します。</v>
          </cell>
        </row>
        <row r="9030">
          <cell r="A9030" t="str">
            <v>U4XG0E</v>
          </cell>
          <cell r="B9030" t="str">
            <v>FC 9x5 3年 SAN Switch 8-24 PP LTU用</v>
          </cell>
          <cell r="C9030" t="str">
            <v>【ファウンデーションケア】</v>
          </cell>
        </row>
        <row r="9031">
          <cell r="A9031" t="str">
            <v>U4XG1E</v>
          </cell>
          <cell r="B9031" t="str">
            <v>FC 24x7 3年 SAN Switch 8-24 PP LTU用</v>
          </cell>
          <cell r="C9031" t="str">
            <v>【ファウンデーションケア】</v>
          </cell>
        </row>
        <row r="9032">
          <cell r="A9032" t="str">
            <v>U4XG4E</v>
          </cell>
          <cell r="B9032" t="str">
            <v>FC 9x5 3年 SAN Switch 24-40 PP LTU用</v>
          </cell>
          <cell r="C9032" t="str">
            <v>【ファウンデーションケア】</v>
          </cell>
        </row>
        <row r="9033">
          <cell r="A9033" t="str">
            <v>U4XG5E</v>
          </cell>
          <cell r="B9033" t="str">
            <v>FC 24x7 3年 SAN Switch 24-40 PP LTU用</v>
          </cell>
          <cell r="C9033" t="str">
            <v>【ファウンデーションケア】</v>
          </cell>
        </row>
        <row r="9034">
          <cell r="A9034" t="str">
            <v>U4XG8E</v>
          </cell>
          <cell r="B9034" t="str">
            <v>FC 9x5 3年 SAN Switch 48-80 PP LTU用</v>
          </cell>
          <cell r="C9034" t="str">
            <v>【ファウンデーションケア】</v>
          </cell>
        </row>
        <row r="9035">
          <cell r="A9035" t="str">
            <v>U4XG9E</v>
          </cell>
          <cell r="B9035" t="str">
            <v>FC 24x7 3年 SAN Switch 48-80 PP LTU用</v>
          </cell>
          <cell r="C9035" t="str">
            <v>【ファウンデーションケア】</v>
          </cell>
        </row>
        <row r="9036">
          <cell r="A9036" t="str">
            <v>U4XL0E</v>
          </cell>
          <cell r="B9036" t="str">
            <v>FC 24x7 3年 32-64ポートAPM LTU用</v>
          </cell>
          <cell r="C9036" t="str">
            <v>【ファウンデーションケア】</v>
          </cell>
        </row>
        <row r="9037">
          <cell r="A9037" t="str">
            <v>U4XL1E</v>
          </cell>
          <cell r="B9037" t="str">
            <v>FC 9x5 3年 32-64ポートAPM LTU用</v>
          </cell>
          <cell r="C9037" t="str">
            <v>【ファウンデーションケア】</v>
          </cell>
        </row>
        <row r="9038">
          <cell r="A9038" t="str">
            <v>U5JH0E</v>
          </cell>
          <cell r="B9038" t="str">
            <v>FC24x7 1年 MS WS2016 Essentials用</v>
          </cell>
          <cell r="C9038" t="str">
            <v>【ファウンデーションケア】</v>
          </cell>
        </row>
        <row r="9039">
          <cell r="A9039" t="str">
            <v>U5JH1E</v>
          </cell>
          <cell r="B9039" t="str">
            <v>FC24x7 3年 MS WS2016 Essentials用</v>
          </cell>
          <cell r="C9039" t="str">
            <v>【ファウンデーションケア】</v>
          </cell>
        </row>
        <row r="9040">
          <cell r="A9040" t="str">
            <v>U5JH2E</v>
          </cell>
          <cell r="B9040" t="str">
            <v>FC24x7 4年 MS WS2016 Essentials用</v>
          </cell>
          <cell r="C9040" t="str">
            <v>【ファウンデーションケア】</v>
          </cell>
        </row>
        <row r="9041">
          <cell r="A9041" t="str">
            <v>U5JH3E</v>
          </cell>
          <cell r="B9041" t="str">
            <v>FC24x7 5年 MS WS2016 Essentials用</v>
          </cell>
          <cell r="C9041" t="str">
            <v>【ファウンデーションケア】</v>
          </cell>
        </row>
        <row r="9042">
          <cell r="A9042" t="str">
            <v>U5JH4E</v>
          </cell>
          <cell r="B9042" t="str">
            <v>PC24x7 3年 MS WS2016 Essentials用</v>
          </cell>
          <cell r="C9042" t="str">
            <v>【HPEプロアクティブケア】メーカー推奨／低価格で国内専用窓口の高品質な保守により、システム運用における安心を提供します。</v>
          </cell>
        </row>
        <row r="9043">
          <cell r="A9043" t="str">
            <v>U5JH5E</v>
          </cell>
          <cell r="B9043" t="str">
            <v>PC24x7 4年 MS WS2016 Essentials用</v>
          </cell>
          <cell r="C9043" t="str">
            <v>【HPEプロアクティブケア】メーカー推奨／低価格で国内専用窓口の高品質な保守により、システム運用における安心を提供します。</v>
          </cell>
        </row>
        <row r="9044">
          <cell r="A9044" t="str">
            <v>U5JH6E</v>
          </cell>
          <cell r="B9044" t="str">
            <v>PC24x7 5年 MS WS2016 Essentials用</v>
          </cell>
          <cell r="C9044" t="str">
            <v>【HPEプロアクティブケア】メーカー推奨／低価格で国内専用窓口の高品質な保守により、システム運用における安心を提供します。</v>
          </cell>
        </row>
        <row r="9045">
          <cell r="A9045" t="str">
            <v>U5JJ0E</v>
          </cell>
          <cell r="B9045" t="str">
            <v>FC24x7 1年 MS WS2016 (16-Core) Std用</v>
          </cell>
          <cell r="C9045" t="str">
            <v>【ファウンデーションケア】</v>
          </cell>
        </row>
        <row r="9046">
          <cell r="A9046" t="str">
            <v>U5JJ1E</v>
          </cell>
          <cell r="B9046" t="str">
            <v>FC24x7 3年 MS WS2016 (16-Core) Std用</v>
          </cell>
          <cell r="C9046" t="str">
            <v>【ファウンデーションケア】</v>
          </cell>
        </row>
        <row r="9047">
          <cell r="A9047" t="str">
            <v>U5JJ2E</v>
          </cell>
          <cell r="B9047" t="str">
            <v>FC24x7 4年 MS WS2016 (16-Core) Std用</v>
          </cell>
          <cell r="C9047" t="str">
            <v>【ファウンデーションケア】</v>
          </cell>
        </row>
        <row r="9048">
          <cell r="A9048" t="str">
            <v>U5JJ3E</v>
          </cell>
          <cell r="B9048" t="str">
            <v>FC24x7 5年 MS WS2016 (16-Core) Std用</v>
          </cell>
          <cell r="C9048" t="str">
            <v>【ファウンデーションケア】</v>
          </cell>
        </row>
        <row r="9049">
          <cell r="A9049" t="str">
            <v>U5JJ4E</v>
          </cell>
          <cell r="B9049" t="str">
            <v>PC24x7 3年 MS WS2016 (16-Core) Std用</v>
          </cell>
          <cell r="C9049" t="str">
            <v>【HPEプロアクティブケア】メーカー推奨／低価格で国内専用窓口の高品質な保守により、システム運用における安心を提供します。</v>
          </cell>
        </row>
        <row r="9050">
          <cell r="A9050" t="str">
            <v>U5JJ5E</v>
          </cell>
          <cell r="B9050" t="str">
            <v>PC24x7 4年 MS WS2016 (16-Core) Std用</v>
          </cell>
          <cell r="C9050" t="str">
            <v>【HPEプロアクティブケア】メーカー推奨／低価格で国内専用窓口の高品質な保守により、システム運用における安心を提供します。</v>
          </cell>
        </row>
        <row r="9051">
          <cell r="A9051" t="str">
            <v>U5JJ6E</v>
          </cell>
          <cell r="B9051" t="str">
            <v>PC24x7 5年 MS WS2016 (16-Core) Std用</v>
          </cell>
          <cell r="C9051" t="str">
            <v>【HPEプロアクティブケア】メーカー推奨／低価格で国内専用窓口の高品質な保守により、システム運用における安心を提供します。</v>
          </cell>
        </row>
        <row r="9052">
          <cell r="A9052" t="str">
            <v>U5JK0E</v>
          </cell>
          <cell r="B9052" t="str">
            <v>FC24x7 1年 MS WS2016 (4-Core) Std用</v>
          </cell>
          <cell r="C9052" t="str">
            <v>【ファウンデーションケア】</v>
          </cell>
        </row>
        <row r="9053">
          <cell r="A9053" t="str">
            <v>U5JK1E</v>
          </cell>
          <cell r="B9053" t="str">
            <v>FC24x7 3年 MS WS2016 (4-Core) Std用</v>
          </cell>
          <cell r="C9053" t="str">
            <v>【ファウンデーションケア】</v>
          </cell>
        </row>
        <row r="9054">
          <cell r="A9054" t="str">
            <v>U5JK2E</v>
          </cell>
          <cell r="B9054" t="str">
            <v>FC24x7 4年 MS WS2016 (4-Core) Std用</v>
          </cell>
          <cell r="C9054" t="str">
            <v>【ファウンデーションケア】</v>
          </cell>
        </row>
        <row r="9055">
          <cell r="A9055" t="str">
            <v>U5JK3E</v>
          </cell>
          <cell r="B9055" t="str">
            <v>FC24x7 5年 MS WS2016 (4-Core) Std用</v>
          </cell>
          <cell r="C9055" t="str">
            <v>【ファウンデーションケア】</v>
          </cell>
        </row>
        <row r="9056">
          <cell r="A9056" t="str">
            <v>U5JK4E</v>
          </cell>
          <cell r="B9056" t="str">
            <v>PC24x7 3年 MS WS2016 (4-Core) Std用</v>
          </cell>
          <cell r="C9056" t="str">
            <v>【HPEプロアクティブケア】メーカー推奨／低価格で国内専用窓口の高品質な保守により、システム運用における安心を提供します。</v>
          </cell>
        </row>
        <row r="9057">
          <cell r="A9057" t="str">
            <v>U5JK5E</v>
          </cell>
          <cell r="B9057" t="str">
            <v>PC24x7 4年 MS WS2016 (4-Core) Std用</v>
          </cell>
          <cell r="C9057" t="str">
            <v>【HPEプロアクティブケア】メーカー推奨／低価格で国内専用窓口の高品質な保守により、システム運用における安心を提供します。</v>
          </cell>
        </row>
        <row r="9058">
          <cell r="A9058" t="str">
            <v>U5JK6E</v>
          </cell>
          <cell r="B9058" t="str">
            <v>PC24x7 5年 MS WS2016 (4-Core) Std用</v>
          </cell>
          <cell r="C9058" t="str">
            <v>【HPEプロアクティブケア】メーカー推奨／低価格で国内専用窓口の高品質な保守により、システム運用における安心を提供します。</v>
          </cell>
        </row>
        <row r="9059">
          <cell r="A9059" t="str">
            <v>U5JL0E</v>
          </cell>
          <cell r="B9059" t="str">
            <v>FC24x7 1年 MS WS2016 (2-Core) Std用</v>
          </cell>
          <cell r="C9059" t="str">
            <v>【ファウンデーションケア】</v>
          </cell>
        </row>
        <row r="9060">
          <cell r="A9060" t="str">
            <v>U5JL1E</v>
          </cell>
          <cell r="B9060" t="str">
            <v>FC24x7 3年 MS WS2016 (2-Core) Std用</v>
          </cell>
          <cell r="C9060" t="str">
            <v>【ファウンデーションケア】</v>
          </cell>
        </row>
        <row r="9061">
          <cell r="A9061" t="str">
            <v>U5JL2E</v>
          </cell>
          <cell r="B9061" t="str">
            <v>FC24x7 4年 MS WS2016 (2-Core) Std用</v>
          </cell>
          <cell r="C9061" t="str">
            <v>【ファウンデーションケア】</v>
          </cell>
        </row>
        <row r="9062">
          <cell r="A9062" t="str">
            <v>U5JL3E</v>
          </cell>
          <cell r="B9062" t="str">
            <v>FC24x7 5年 MS WS2016 (2-Core) Std用</v>
          </cell>
          <cell r="C9062" t="str">
            <v>【ファウンデーションケア】</v>
          </cell>
        </row>
        <row r="9063">
          <cell r="A9063" t="str">
            <v>U5JL4E</v>
          </cell>
          <cell r="B9063" t="str">
            <v>PC24x7 3年 MS WS2016 (2-Core) Std用</v>
          </cell>
          <cell r="C9063" t="str">
            <v>【HPEプロアクティブケア】メーカー推奨／低価格で国内専用窓口の高品質な保守により、システム運用における安心を提供します。</v>
          </cell>
        </row>
        <row r="9064">
          <cell r="A9064" t="str">
            <v>U5JL5E</v>
          </cell>
          <cell r="B9064" t="str">
            <v>PC24x7 4年 MS WS2016 (2-Core) Std用</v>
          </cell>
          <cell r="C9064" t="str">
            <v>【HPEプロアクティブケア】メーカー推奨／低価格で国内専用窓口の高品質な保守により、システム運用における安心を提供します。</v>
          </cell>
        </row>
        <row r="9065">
          <cell r="A9065" t="str">
            <v>U5JL6E</v>
          </cell>
          <cell r="B9065" t="str">
            <v>PC24x7 5年 MS WS2016 (2-Core) Std用</v>
          </cell>
          <cell r="C9065" t="str">
            <v>【HPEプロアクティブケア】メーカー推奨／低価格で国内専用窓口の高品質な保守により、システム運用における安心を提供します。</v>
          </cell>
        </row>
        <row r="9066">
          <cell r="A9066" t="str">
            <v>U5JM0E</v>
          </cell>
          <cell r="B9066" t="str">
            <v>FC24x7 1年 MS WS2016 (16-Core) DC用</v>
          </cell>
          <cell r="C9066" t="str">
            <v>【ファウンデーションケア】</v>
          </cell>
        </row>
        <row r="9067">
          <cell r="A9067" t="str">
            <v>U5JM1E</v>
          </cell>
          <cell r="B9067" t="str">
            <v>FC24x7 3年 MS WS2016 (16-Core) DC用</v>
          </cell>
          <cell r="C9067" t="str">
            <v>【ファウンデーションケア】</v>
          </cell>
        </row>
        <row r="9068">
          <cell r="A9068" t="str">
            <v>U5JM2E</v>
          </cell>
          <cell r="B9068" t="str">
            <v>FC24x7 4年 MS WS2016 (16-Core) DC用</v>
          </cell>
          <cell r="C9068" t="str">
            <v>【ファウンデーションケア】</v>
          </cell>
        </row>
        <row r="9069">
          <cell r="A9069" t="str">
            <v>U5JM3E</v>
          </cell>
          <cell r="B9069" t="str">
            <v>FC24x7 5年 MS WS2016 (16-Core) DC用</v>
          </cell>
          <cell r="C9069" t="str">
            <v>【ファウンデーションケア】</v>
          </cell>
        </row>
        <row r="9070">
          <cell r="A9070" t="str">
            <v>U5JM4E</v>
          </cell>
          <cell r="B9070" t="str">
            <v>PC24x7 3年 MS WS2016 (16-Core) DC用</v>
          </cell>
          <cell r="C9070" t="str">
            <v>【HPEプロアクティブケア】メーカー推奨／低価格で国内専用窓口の高品質な保守により、システム運用における安心を提供します。</v>
          </cell>
        </row>
        <row r="9071">
          <cell r="A9071" t="str">
            <v>U5JM5E</v>
          </cell>
          <cell r="B9071" t="str">
            <v>PC24x7 4年 MS WS2016 (16-Core) DC用</v>
          </cell>
          <cell r="C9071" t="str">
            <v>【HPEプロアクティブケア】メーカー推奨／低価格で国内専用窓口の高品質な保守により、システム運用における安心を提供します。</v>
          </cell>
        </row>
        <row r="9072">
          <cell r="A9072" t="str">
            <v>U5JM6E</v>
          </cell>
          <cell r="B9072" t="str">
            <v>PC24x7 5年 MS WS2016 (16-Core) DC用</v>
          </cell>
          <cell r="C9072" t="str">
            <v>【HPEプロアクティブケア】メーカー推奨／低価格で国内専用窓口の高品質な保守により、システム運用における安心を提供します。</v>
          </cell>
        </row>
        <row r="9073">
          <cell r="A9073" t="str">
            <v>U5JN0E</v>
          </cell>
          <cell r="B9073" t="str">
            <v>FC24x7 1年 MS WS2016 (4-Core) DC用</v>
          </cell>
          <cell r="C9073" t="str">
            <v>【ファウンデーションケア】</v>
          </cell>
        </row>
        <row r="9074">
          <cell r="A9074" t="str">
            <v>U5JN1E</v>
          </cell>
          <cell r="B9074" t="str">
            <v>FC24x7 3年 MS WS2016 (4-Core) DC用</v>
          </cell>
          <cell r="C9074" t="str">
            <v>【ファウンデーションケア】</v>
          </cell>
        </row>
        <row r="9075">
          <cell r="A9075" t="str">
            <v>U5JN2E</v>
          </cell>
          <cell r="B9075" t="str">
            <v>FC24x7 4年 MS WS2016 (4-Core) DC用</v>
          </cell>
          <cell r="C9075" t="str">
            <v>【ファウンデーションケア】</v>
          </cell>
        </row>
        <row r="9076">
          <cell r="A9076" t="str">
            <v>U5JN3E</v>
          </cell>
          <cell r="B9076" t="str">
            <v>FC24x7 5年 MS WS2016 (4-Core) DC用</v>
          </cell>
          <cell r="C9076" t="str">
            <v>【ファウンデーションケア】</v>
          </cell>
        </row>
        <row r="9077">
          <cell r="A9077" t="str">
            <v>U5JN4E</v>
          </cell>
          <cell r="B9077" t="str">
            <v>PC24x7 3年 MS WS2016 (4-Core) DC用</v>
          </cell>
          <cell r="C9077" t="str">
            <v>【HPEプロアクティブケア】メーカー推奨／低価格で国内専用窓口の高品質な保守により、システム運用における安心を提供します。</v>
          </cell>
        </row>
        <row r="9078">
          <cell r="A9078" t="str">
            <v>U5JN5E</v>
          </cell>
          <cell r="B9078" t="str">
            <v>PC24x7 4年 MS WS2016 (4-Core) DC用</v>
          </cell>
          <cell r="C9078" t="str">
            <v>【HPEプロアクティブケア】メーカー推奨／低価格で国内専用窓口の高品質な保守により、システム運用における安心を提供します。</v>
          </cell>
        </row>
        <row r="9079">
          <cell r="A9079" t="str">
            <v>U5JN6E</v>
          </cell>
          <cell r="B9079" t="str">
            <v>PC24x7 5年 MS WS2016 (4-Core) DC用</v>
          </cell>
          <cell r="C9079" t="str">
            <v>【HPEプロアクティブケア】メーカー推奨／低価格で国内専用窓口の高品質な保守により、システム運用における安心を提供します。</v>
          </cell>
        </row>
        <row r="9080">
          <cell r="A9080" t="str">
            <v>U5JP0E</v>
          </cell>
          <cell r="B9080" t="str">
            <v>FC24x7 1年 MS WS2016 (2-Core) DC用</v>
          </cell>
          <cell r="C9080" t="str">
            <v>【ファウンデーションケア】</v>
          </cell>
        </row>
        <row r="9081">
          <cell r="A9081" t="str">
            <v>U5JP1E</v>
          </cell>
          <cell r="B9081" t="str">
            <v>FC24x7 3年 MS WS2016 (2-Core) DC用</v>
          </cell>
          <cell r="C9081" t="str">
            <v>【ファウンデーションケア】</v>
          </cell>
        </row>
        <row r="9082">
          <cell r="A9082" t="str">
            <v>U5JP2E</v>
          </cell>
          <cell r="B9082" t="str">
            <v>FC24x7 4年 MS WS2016 (2-Core) DC用</v>
          </cell>
          <cell r="C9082" t="str">
            <v>【ファウンデーションケア】</v>
          </cell>
        </row>
        <row r="9083">
          <cell r="A9083" t="str">
            <v>U5JP3E</v>
          </cell>
          <cell r="B9083" t="str">
            <v>FC24x7 5年 MS WS2016 (2-Core) DC用</v>
          </cell>
          <cell r="C9083" t="str">
            <v>【ファウンデーションケア】</v>
          </cell>
        </row>
        <row r="9084">
          <cell r="A9084" t="str">
            <v>U5JP4E</v>
          </cell>
          <cell r="B9084" t="str">
            <v>PC24x7 3年 MS WS2016 (2-Core) DC用</v>
          </cell>
          <cell r="C9084" t="str">
            <v>【HPEプロアクティブケア】メーカー推奨／低価格で国内専用窓口の高品質な保守により、システム運用における安心を提供します。</v>
          </cell>
        </row>
        <row r="9085">
          <cell r="A9085" t="str">
            <v>U5JP5E</v>
          </cell>
          <cell r="B9085" t="str">
            <v>PC24x7 4年 MS WS2016 (2-Core) DC用</v>
          </cell>
          <cell r="C9085" t="str">
            <v>【HPEプロアクティブケア】メーカー推奨／低価格で国内専用窓口の高品質な保守により、システム運用における安心を提供します。</v>
          </cell>
        </row>
        <row r="9086">
          <cell r="A9086" t="str">
            <v>U5JP6E</v>
          </cell>
          <cell r="B9086" t="str">
            <v>PC24x7 5年 MS WS2016 (2-Core) DC用</v>
          </cell>
          <cell r="C9086" t="str">
            <v>【HPEプロアクティブケア】メーカー推奨／低価格で国内専用窓口の高品質な保守により、システム運用における安心を提供します。</v>
          </cell>
        </row>
        <row r="9087">
          <cell r="A9087" t="str">
            <v>U5JV8PE</v>
          </cell>
          <cell r="B9087" t="str">
            <v>更新用FC 標準 1年 RHEL 2Skt/2Guest用</v>
          </cell>
          <cell r="C9087" t="str">
            <v>【ファウンデーションケア】</v>
          </cell>
        </row>
        <row r="9088">
          <cell r="A9088" t="str">
            <v>U5JV9PE</v>
          </cell>
          <cell r="B9088" t="str">
            <v>更新用FC 24x7 1年 RHEL 2Skt/2Guest用</v>
          </cell>
          <cell r="C9088" t="str">
            <v>【ファウンデーションケア】</v>
          </cell>
        </row>
        <row r="9089">
          <cell r="A9089" t="str">
            <v>U6SK0E</v>
          </cell>
          <cell r="B9089" t="str">
            <v>FC24x7 3年 StoreOnce 2000/3000 REP LTU用</v>
          </cell>
          <cell r="C9089" t="str">
            <v>【ファウンデーションケア】</v>
          </cell>
        </row>
        <row r="9090">
          <cell r="A9090" t="str">
            <v>U6SK3E</v>
          </cell>
          <cell r="B9090" t="str">
            <v>FC24x7 4年 StoreOnce 2000/3000 REP LTU用</v>
          </cell>
          <cell r="C9090" t="str">
            <v>【ファウンデーションケア】</v>
          </cell>
        </row>
        <row r="9091">
          <cell r="A9091" t="str">
            <v>U6SK4E</v>
          </cell>
          <cell r="B9091" t="str">
            <v>FC24x7 5年 StoreOnce 2000/3000 REP LTU用</v>
          </cell>
          <cell r="C9091" t="str">
            <v>【ファウンデーションケア】</v>
          </cell>
        </row>
        <row r="9092">
          <cell r="A9092" t="str">
            <v>U6SK5E</v>
          </cell>
          <cell r="B9092" t="str">
            <v>PC24x7 3年 StoreOnce 2000/3000 REP LTU用</v>
          </cell>
          <cell r="C9092" t="str">
            <v>【HPEプロアクティブケア】メーカー推奨／低価格で国内専用窓口の高品質な保守により、システム運用における安心を提供します。</v>
          </cell>
        </row>
        <row r="9093">
          <cell r="A9093" t="str">
            <v>U6SK6E</v>
          </cell>
          <cell r="B9093" t="str">
            <v>PC24x7 4年 StoreOnce 2000/3000 REP LTU用</v>
          </cell>
          <cell r="C9093" t="str">
            <v>【HPEプロアクティブケア】メーカー推奨／低価格で国内専用窓口の高品質な保守により、システム運用における安心を提供します。</v>
          </cell>
        </row>
        <row r="9094">
          <cell r="A9094" t="str">
            <v>U6SK7E</v>
          </cell>
          <cell r="B9094" t="str">
            <v>PC24x7 5年 StoreOnce 2000/3000 REP LTU用</v>
          </cell>
          <cell r="C9094" t="str">
            <v>【HPEプロアクティブケア】メーカー推奨／低価格で国内専用窓口の高品質な保守により、システム運用における安心を提供します。</v>
          </cell>
        </row>
        <row r="9095">
          <cell r="A9095" t="str">
            <v>U6VC2E</v>
          </cell>
          <cell r="B9095" t="str">
            <v>FC 24x7 4年 CS Foundation 16-Svr用</v>
          </cell>
          <cell r="C9095" t="str">
            <v>【ファウンデーションケア】</v>
          </cell>
        </row>
        <row r="9096">
          <cell r="A9096" t="str">
            <v>U6VC3E</v>
          </cell>
          <cell r="B9096" t="str">
            <v>FC 24x7 5年 CS Foundation 16-Svr用</v>
          </cell>
          <cell r="C9096" t="str">
            <v>【ファウンデーションケア】</v>
          </cell>
        </row>
        <row r="9097">
          <cell r="A9097" t="str">
            <v>U6VC4E</v>
          </cell>
          <cell r="B9097" t="str">
            <v>ProCare 24x7 3年 CS Foundation16Svｒ用</v>
          </cell>
          <cell r="C9097" t="str">
            <v>【HPEプロアクティブケア】メーカー推奨／低価格で国内専用窓口の高品質な保守により、システム運用における安心を提供します。</v>
          </cell>
        </row>
        <row r="9098">
          <cell r="A9098" t="str">
            <v>U6VC5E</v>
          </cell>
          <cell r="B9098" t="str">
            <v>ProCare 24x7 4年 CS Foundation16Svr用</v>
          </cell>
          <cell r="C9098" t="str">
            <v>【HPEプロアクティブケア】メーカー推奨／低価格で国内専用窓口の高品質な保守により、システム運用における安心を提供します。</v>
          </cell>
        </row>
        <row r="9099">
          <cell r="A9099" t="str">
            <v>U6VC6E</v>
          </cell>
          <cell r="B9099" t="str">
            <v>ProCare 24x7 5年 CS Foundation16Svr用</v>
          </cell>
          <cell r="C9099" t="str">
            <v>【HPEプロアクティブケア】メーカー推奨／低価格で国内専用窓口の高品質な保守により、システム運用における安心を提供します。</v>
          </cell>
        </row>
        <row r="9100">
          <cell r="A9100" t="str">
            <v>U6VC7E</v>
          </cell>
          <cell r="B9100" t="str">
            <v>FC 24x7 4年 CS Enterprise 16-Svr用</v>
          </cell>
          <cell r="C9100" t="str">
            <v>【ファウンデーションケア】</v>
          </cell>
        </row>
        <row r="9101">
          <cell r="A9101" t="str">
            <v>U6VC8E</v>
          </cell>
          <cell r="B9101" t="str">
            <v>FC 24x7 5年 CS Enterprise 16-Svr用</v>
          </cell>
          <cell r="C9101" t="str">
            <v>【ファウンデーションケア】</v>
          </cell>
        </row>
        <row r="9102">
          <cell r="A9102" t="str">
            <v>U6VC9E</v>
          </cell>
          <cell r="B9102" t="str">
            <v>ProCare 24x7 3年 CS Enterprise 16Svr用</v>
          </cell>
          <cell r="C9102" t="str">
            <v>【HPEプロアクティブケア】メーカー推奨／低価格で国内専用窓口の高品質な保守により、システム運用における安心を提供します。</v>
          </cell>
        </row>
        <row r="9103">
          <cell r="A9103" t="str">
            <v>U6VD0E</v>
          </cell>
          <cell r="B9103" t="str">
            <v>ProCare 24x7 4年 CS Enterprise 16Svr用</v>
          </cell>
          <cell r="C9103" t="str">
            <v>【HPEプロアクティブケア】メーカー推奨／低価格で国内専用窓口の高品質な保守により、システム運用における安心を提供します。</v>
          </cell>
        </row>
        <row r="9104">
          <cell r="A9104" t="str">
            <v>U6VD1E</v>
          </cell>
          <cell r="B9104" t="str">
            <v>ProCare 24x7 5年 CS Enterprise 16Svr用</v>
          </cell>
          <cell r="C9104" t="str">
            <v>【HPEプロアクティブケア】メーカー推奨／低価格で国内専用窓口の高品質な保守により、システム運用における安心を提供します。</v>
          </cell>
        </row>
        <row r="9105">
          <cell r="A9105" t="str">
            <v>U6ZJ4E</v>
          </cell>
          <cell r="B9105" t="str">
            <v>ProCare 24x7 3年 SLES 1-2 Sckt/1-2 VM用</v>
          </cell>
          <cell r="C9105" t="str">
            <v>【HPEプロアクティブケア】メーカー推奨／低価格で国内専用窓口の高品質な保守により、システム運用における安心を提供します。</v>
          </cell>
        </row>
        <row r="9106">
          <cell r="A9106" t="str">
            <v>U6ZJ6E</v>
          </cell>
          <cell r="B9106" t="str">
            <v>ProCare 24x7 3年 SLES 1-2 Sckt UltdVM用</v>
          </cell>
          <cell r="C9106" t="str">
            <v>【HPEプロアクティブケア】メーカー推奨／低価格で国内専用窓口の高品質な保守により、システム運用における安心を提供します。</v>
          </cell>
        </row>
        <row r="9107">
          <cell r="A9107" t="str">
            <v>U6ZJ8E</v>
          </cell>
          <cell r="B9107" t="str">
            <v>ProCare 24x7 3年 SLES SAP 2Sckt/1-2VM用</v>
          </cell>
          <cell r="C9107" t="str">
            <v>【HPEプロアクティブケア】メーカー推奨／低価格で国内専用窓口の高品質な保守により、システム運用における安心を提供します。</v>
          </cell>
        </row>
        <row r="9108">
          <cell r="A9108" t="str">
            <v>U6ZK0E</v>
          </cell>
          <cell r="B9108" t="str">
            <v>ProCare 24x7 3年 SLES SAP 2SktUltd VM用</v>
          </cell>
          <cell r="C9108" t="str">
            <v>【HPEプロアクティブケア】メーカー推奨／低価格で国内専用窓口の高品質な保守により、システム運用における安心を提供します。</v>
          </cell>
        </row>
        <row r="9109">
          <cell r="A9109" t="str">
            <v>U6ZK2E</v>
          </cell>
          <cell r="B9109" t="str">
            <v>ProCare 24x7 5年 SLES SAP 2Sckt/1-2VM用</v>
          </cell>
          <cell r="C9109" t="str">
            <v>【HPEプロアクティブケア】メーカー推奨／低価格で国内専用窓口の高品質な保守により、システム運用における安心を提供します。</v>
          </cell>
        </row>
        <row r="9110">
          <cell r="A9110" t="str">
            <v>U6ZK4E</v>
          </cell>
          <cell r="B9110" t="str">
            <v>ProCare 24x7 5年 SLES SAP 2SktUltd VM用</v>
          </cell>
          <cell r="C9110" t="str">
            <v>【HPEプロアクティブケア】メーカー推奨／低価格で国内専用窓口の高品質な保守により、システム運用における安心を提供します。</v>
          </cell>
        </row>
        <row r="9111">
          <cell r="A9111" t="str">
            <v>U6ZK6E</v>
          </cell>
          <cell r="B9111" t="str">
            <v>ProCare 24x7 3年 SLES HPC HN 1-2 Sckt用</v>
          </cell>
          <cell r="C9111" t="str">
            <v>【HPEプロアクティブケア】メーカー推奨／低価格で国内専用窓口の高品質な保守により、システム運用における安心を提供します。</v>
          </cell>
        </row>
        <row r="9112">
          <cell r="A9112" t="str">
            <v>U7D45E</v>
          </cell>
          <cell r="B9112" t="str">
            <v>ProCare 24x7 3年 VMw vSp Std1P 3年24x7用</v>
          </cell>
          <cell r="C9112" t="str">
            <v>【HPEプロアクティブケア】メーカー推奨／低価格で国内専用窓口の高品質な保守により、システム運用における安心を提供します。</v>
          </cell>
        </row>
        <row r="9113">
          <cell r="A9113" t="str">
            <v>U7D47E</v>
          </cell>
          <cell r="B9113" t="str">
            <v>ProCare 24x7 3年 VMw vSpEnt+1P 3年24x7用</v>
          </cell>
          <cell r="C9113" t="str">
            <v>【HPEプロアクティブケア】メーカー推奨／低価格で国内専用窓口の高品質な保守により、システム運用における安心を提供します。</v>
          </cell>
        </row>
        <row r="9114">
          <cell r="A9114" t="str">
            <v>U7D51E</v>
          </cell>
          <cell r="B9114" t="str">
            <v>ProCare 24x7 3年 VMw vCnSrvFnd 3年24x7用</v>
          </cell>
          <cell r="C9114" t="str">
            <v>【HPEプロアクティブケア】メーカー推奨／低価格で国内専用窓口の高品質な保守により、システム運用における安心を提供します。</v>
          </cell>
        </row>
        <row r="9115">
          <cell r="A9115" t="str">
            <v>U7D52E</v>
          </cell>
          <cell r="B9115" t="str">
            <v>ProCare 24x7 3年 VMw vCnSrvStd 3年24x7用</v>
          </cell>
          <cell r="C9115" t="str">
            <v>【HPEプロアクティブケア】メーカー推奨／低価格で国内専用窓口の高品質な保守により、システム運用における安心を提供します。</v>
          </cell>
        </row>
        <row r="9116">
          <cell r="A9116" t="str">
            <v>U7D62E</v>
          </cell>
          <cell r="B9116" t="str">
            <v>ProCare 24x7 3年 VMw vSpEnt+32P3年24x7用</v>
          </cell>
          <cell r="C9116" t="str">
            <v>【HPEプロアクティブケア】メーカー推奨／低価格で国内専用窓口の高品質な保守により、システム運用における安心を提供します。</v>
          </cell>
        </row>
        <row r="9117">
          <cell r="A9117" t="str">
            <v>U7D64E</v>
          </cell>
          <cell r="B9117" t="str">
            <v>ProCare 24x7 3年 VMw vCen SRM Std 25VM用</v>
          </cell>
          <cell r="C9117" t="str">
            <v>【HPEプロアクティブケア】メーカー推奨／低価格で国内専用窓口の高品質な保守により、システム運用における安心を提供します。</v>
          </cell>
        </row>
        <row r="9118">
          <cell r="A9118" t="str">
            <v>U7D65E</v>
          </cell>
          <cell r="B9118" t="str">
            <v>ProCare 24x7 3年 VMw vCen SRM Ent 25VM用</v>
          </cell>
          <cell r="C9118" t="str">
            <v>【HPEプロアクティブケア】メーカー推奨／低価格で国内専用窓口の高品質な保守により、システム運用における安心を提供します。</v>
          </cell>
        </row>
        <row r="9119">
          <cell r="A9119" t="str">
            <v>U7D87E</v>
          </cell>
          <cell r="B9119" t="str">
            <v>ProCare 24x7 5年 VMw vSp Std1P 5年24x7用</v>
          </cell>
          <cell r="C9119" t="str">
            <v>【HPEプロアクティブケア】メーカー推奨／低価格で国内専用窓口の高品質な保守により、システム運用における安心を提供します。</v>
          </cell>
        </row>
        <row r="9120">
          <cell r="A9120" t="str">
            <v>U7D89E</v>
          </cell>
          <cell r="B9120" t="str">
            <v>ProCare 24x7 5年 VMw vSpEnt+1P 5年24x7用</v>
          </cell>
          <cell r="C9120" t="str">
            <v>【HPEプロアクティブケア】メーカー推奨／低価格で国内専用窓口の高品質な保守により、システム運用における安心を提供します。</v>
          </cell>
        </row>
        <row r="9121">
          <cell r="A9121" t="str">
            <v>U7D93E</v>
          </cell>
          <cell r="B9121" t="str">
            <v>ProCare 24x7 5年 VMw vCnSrvFnd 5年24x7用</v>
          </cell>
          <cell r="C9121" t="str">
            <v>【HPEプロアクティブケア】メーカー推奨／低価格で国内専用窓口の高品質な保守により、システム運用における安心を提供します。</v>
          </cell>
        </row>
        <row r="9122">
          <cell r="A9122" t="str">
            <v>U7D94E</v>
          </cell>
          <cell r="B9122" t="str">
            <v>ProCare 24x7 5年 VMw vCnSrvStd 5年24x7用</v>
          </cell>
          <cell r="C9122" t="str">
            <v>【HPEプロアクティブケア】メーカー推奨／低価格で国内専用窓口の高品質な保守により、システム運用における安心を提供します。</v>
          </cell>
        </row>
        <row r="9123">
          <cell r="A9123" t="str">
            <v>U7E04E</v>
          </cell>
          <cell r="B9123" t="str">
            <v>ProCare 24x7 5年 VMw vSpEnt+32P5年24x7用</v>
          </cell>
          <cell r="C9123" t="str">
            <v>【HPEプロアクティブケア】メーカー推奨／低価格で国内専用窓口の高品質な保守により、システム運用における安心を提供します。</v>
          </cell>
        </row>
        <row r="9124">
          <cell r="A9124" t="str">
            <v>U7E06E</v>
          </cell>
          <cell r="B9124" t="str">
            <v>ProCare 24x7 5年 VMw vCen SRM Std 25VM用</v>
          </cell>
          <cell r="C9124" t="str">
            <v>【HPEプロアクティブケア】メーカー推奨／低価格で国内専用窓口の高品質な保守により、システム運用における安心を提供します。</v>
          </cell>
        </row>
        <row r="9125">
          <cell r="A9125" t="str">
            <v>U7E07E</v>
          </cell>
          <cell r="B9125" t="str">
            <v>ProCare 24x7 5年 VMw vCen SRM Ent 25VM用</v>
          </cell>
          <cell r="C9125" t="str">
            <v>【HPEプロアクティブケア】メーカー推奨／低価格で国内専用窓口の高品質な保守により、システム運用における安心を提供します。</v>
          </cell>
        </row>
        <row r="9126">
          <cell r="A9126" t="str">
            <v>U7F94E</v>
          </cell>
          <cell r="B9126" t="str">
            <v>ProCare 24x7 3年 VMw vSOMEntPlus1P用</v>
          </cell>
          <cell r="C9126" t="str">
            <v>【HPEプロアクティブケア】メーカー推奨／低価格で国内専用窓口の高品質な保守により、システム運用における安心を提供します。</v>
          </cell>
        </row>
        <row r="9127">
          <cell r="A9127" t="str">
            <v>U7F95E</v>
          </cell>
          <cell r="B9127" t="str">
            <v>ProCare 24x7 5年 VMw vSOMEntPlus1P用</v>
          </cell>
          <cell r="C9127" t="str">
            <v>【HPEプロアクティブケア】メーカー推奨／低価格で国内専用窓口の高品質な保守により、システム運用における安心を提供します。</v>
          </cell>
        </row>
        <row r="9128">
          <cell r="A9128" t="str">
            <v>U7G75E</v>
          </cell>
          <cell r="B9128" t="str">
            <v>ProCare 24x7 3年 MS WS12StandardOS&amp;APP用</v>
          </cell>
          <cell r="C9128" t="str">
            <v>【HPEプロアクティブケア】メーカー推奨／低価格で国内専用窓口の高品質な保守により、システム運用における安心を提供します。</v>
          </cell>
        </row>
        <row r="9129">
          <cell r="A9129" t="str">
            <v>U7G76E</v>
          </cell>
          <cell r="B9129" t="str">
            <v>ProCare 24x7 4年 MS WS12StandardOS&amp;APP用</v>
          </cell>
          <cell r="C9129" t="str">
            <v>【HPEプロアクティブケア】メーカー推奨／低価格で国内専用窓口の高品質な保守により、システム運用における安心を提供します。</v>
          </cell>
        </row>
        <row r="9130">
          <cell r="A9130" t="str">
            <v>U7G77E</v>
          </cell>
          <cell r="B9130" t="str">
            <v>ProCare 24x7 5年 MS WS12StandardOS&amp;APP用</v>
          </cell>
          <cell r="C9130" t="str">
            <v>【HPEプロアクティブケア】メーカー推奨／低価格で国内専用窓口の高品質な保守により、システム運用における安心を提供します。</v>
          </cell>
        </row>
        <row r="9131">
          <cell r="A9131" t="str">
            <v>U7G80E</v>
          </cell>
          <cell r="B9131" t="str">
            <v>ProCare 24x7 3年 MSWS12DatacenterOS&amp;AP用</v>
          </cell>
          <cell r="C9131" t="str">
            <v>【HPEプロアクティブケア】メーカー推奨／低価格で国内専用窓口の高品質な保守により、システム運用における安心を提供します。</v>
          </cell>
        </row>
        <row r="9132">
          <cell r="A9132" t="str">
            <v>U7G81E</v>
          </cell>
          <cell r="B9132" t="str">
            <v>ProCare 24x7 4年 MSWS12DatacenterOS&amp;AP用</v>
          </cell>
          <cell r="C9132" t="str">
            <v>【HPEプロアクティブケア】メーカー推奨／低価格で国内専用窓口の高品質な保守により、システム運用における安心を提供します。</v>
          </cell>
        </row>
        <row r="9133">
          <cell r="A9133" t="str">
            <v>U7G82E</v>
          </cell>
          <cell r="B9133" t="str">
            <v>ProCare 24x7 5年 MSWS12DatacenterOS&amp;AP用</v>
          </cell>
          <cell r="C9133" t="str">
            <v>【HPEプロアクティブケア】メーカー推奨／低価格で国内専用窓口の高品質な保守により、システム運用における安心を提供します。</v>
          </cell>
        </row>
        <row r="9134">
          <cell r="A9134" t="str">
            <v>U7H40E</v>
          </cell>
          <cell r="B9134" t="str">
            <v>ProCare 24x7 3年 SGLX Base 1年用</v>
          </cell>
          <cell r="C9134" t="str">
            <v>【HPEプロアクティブケア】メーカー推奨／低価格で国内専用窓口の高品質な保守により、システム運用における安心を提供します。</v>
          </cell>
        </row>
        <row r="9135">
          <cell r="A9135" t="str">
            <v>U7H41E</v>
          </cell>
          <cell r="B9135" t="str">
            <v>ProCare 24x7 3年 SGLX Advanced 1年用</v>
          </cell>
          <cell r="C9135" t="str">
            <v>【HPEプロアクティブケア】メーカー推奨／低価格で国内専用窓口の高品質な保守により、システム運用における安心を提供します。</v>
          </cell>
        </row>
        <row r="9136">
          <cell r="A9136" t="str">
            <v>U7H42E</v>
          </cell>
          <cell r="B9136" t="str">
            <v>ProCare 24x7 3年 SGLX BaseToAdv Up 1年用</v>
          </cell>
          <cell r="C9136" t="str">
            <v>【HPEプロアクティブケア】メーカー推奨／低価格で国内専用窓口の高品質な保守により、システム運用における安心を提供します。</v>
          </cell>
        </row>
        <row r="9137">
          <cell r="A9137" t="str">
            <v>U7H43E</v>
          </cell>
          <cell r="B9137" t="str">
            <v>ProCare 24x7 3年 SGLX Enterprise 1年用</v>
          </cell>
          <cell r="C9137" t="str">
            <v>【HPEプロアクティブケア】メーカー推奨／低価格で国内専用窓口の高品質な保守により、システム運用における安心を提供します。</v>
          </cell>
        </row>
        <row r="9138">
          <cell r="A9138" t="str">
            <v>U7H44E</v>
          </cell>
          <cell r="B9138" t="str">
            <v>ProCare 24x7 3年 SGLX BaseToEnt Up 1年用</v>
          </cell>
          <cell r="C9138" t="str">
            <v>【HPEプロアクティブケア】メーカー推奨／低価格で国内専用窓口の高品質な保守により、システム運用における安心を提供します。</v>
          </cell>
        </row>
        <row r="9139">
          <cell r="A9139" t="str">
            <v>U7H45E</v>
          </cell>
          <cell r="B9139" t="str">
            <v>ProCare 24x7 3年 SGLX AdvToEnt Up 1年用</v>
          </cell>
          <cell r="C9139" t="str">
            <v>【HPEプロアクティブケア】メーカー推奨／低価格で国内専用窓口の高品質な保守により、システム運用における安心を提供します。</v>
          </cell>
        </row>
        <row r="9140">
          <cell r="A9140" t="str">
            <v>U7H52E</v>
          </cell>
          <cell r="B9140" t="str">
            <v>ProCare 24x7 4年 SGLX Base 1年用</v>
          </cell>
          <cell r="C9140" t="str">
            <v>【HPEプロアクティブケア】メーカー推奨／低価格で国内専用窓口の高品質な保守により、システム運用における安心を提供します。</v>
          </cell>
        </row>
        <row r="9141">
          <cell r="A9141" t="str">
            <v>U7H53E</v>
          </cell>
          <cell r="B9141" t="str">
            <v>ProCare 24x7 4年 SGLX Advanced 1年用</v>
          </cell>
          <cell r="C9141" t="str">
            <v>【HPEプロアクティブケア】メーカー推奨／低価格で国内専用窓口の高品質な保守により、システム運用における安心を提供します。</v>
          </cell>
        </row>
        <row r="9142">
          <cell r="A9142" t="str">
            <v>U7H54E</v>
          </cell>
          <cell r="B9142" t="str">
            <v>ProCare 24x7 4年 SGLX BaseToAdv Up 1年用</v>
          </cell>
          <cell r="C9142" t="str">
            <v>【HPEプロアクティブケア】メーカー推奨／低価格で国内専用窓口の高品質な保守により、システム運用における安心を提供します。</v>
          </cell>
        </row>
        <row r="9143">
          <cell r="A9143" t="str">
            <v>U7H55E</v>
          </cell>
          <cell r="B9143" t="str">
            <v>ProCare 24x7 4年 SGLX Enterprise 1年用</v>
          </cell>
          <cell r="C9143" t="str">
            <v>【HPEプロアクティブケア】メーカー推奨／低価格で国内専用窓口の高品質な保守により、システム運用における安心を提供します。</v>
          </cell>
        </row>
        <row r="9144">
          <cell r="A9144" t="str">
            <v>U7H56E</v>
          </cell>
          <cell r="B9144" t="str">
            <v>ProCare 24x7 4年 SGLX BaseToEnt Up 1年用</v>
          </cell>
          <cell r="C9144" t="str">
            <v>【HPEプロアクティブケア】メーカー推奨／低価格で国内専用窓口の高品質な保守により、システム運用における安心を提供します。</v>
          </cell>
        </row>
        <row r="9145">
          <cell r="A9145" t="str">
            <v>U7H57E</v>
          </cell>
          <cell r="B9145" t="str">
            <v>ProCare 24x7 4年 SGLX AdvToEnt Up 1年用</v>
          </cell>
          <cell r="C9145" t="str">
            <v>【HPEプロアクティブケア】メーカー推奨／低価格で国内専用窓口の高品質な保守により、システム運用における安心を提供します。</v>
          </cell>
        </row>
        <row r="9146">
          <cell r="A9146" t="str">
            <v>U7H64E</v>
          </cell>
          <cell r="B9146" t="str">
            <v>ProCare 24x7 5年 SGLX Base 1年用</v>
          </cell>
          <cell r="C9146" t="str">
            <v>【HPEプロアクティブケア】メーカー推奨／低価格で国内専用窓口の高品質な保守により、システム運用における安心を提供します。</v>
          </cell>
        </row>
        <row r="9147">
          <cell r="A9147" t="str">
            <v>U7H65E</v>
          </cell>
          <cell r="B9147" t="str">
            <v>ProCare 24x7 5年 SGLX Advanced 1年用</v>
          </cell>
          <cell r="C9147" t="str">
            <v>【HPEプロアクティブケア】メーカー推奨／低価格で国内専用窓口の高品質な保守により、システム運用における安心を提供します。</v>
          </cell>
        </row>
        <row r="9148">
          <cell r="A9148" t="str">
            <v>U7H66E</v>
          </cell>
          <cell r="B9148" t="str">
            <v>ProCare 24x7 5年 SGLX BaseToAdv Up 1年用</v>
          </cell>
          <cell r="C9148" t="str">
            <v>【HPEプロアクティブケア】メーカー推奨／低価格で国内専用窓口の高品質な保守により、システム運用における安心を提供します。</v>
          </cell>
        </row>
        <row r="9149">
          <cell r="A9149" t="str">
            <v>U7H67E</v>
          </cell>
          <cell r="B9149" t="str">
            <v>ProCare 24x7 5年 SGLX Enterprise 1年用</v>
          </cell>
          <cell r="C9149" t="str">
            <v>【HPEプロアクティブケア】メーカー推奨／低価格で国内専用窓口の高品質な保守により、システム運用における安心を提供します。</v>
          </cell>
        </row>
        <row r="9150">
          <cell r="A9150" t="str">
            <v>U7H68E</v>
          </cell>
          <cell r="B9150" t="str">
            <v>ProCare 24x7 5年 SGLX BaseToEnt Up 1年用</v>
          </cell>
          <cell r="C9150" t="str">
            <v>【HPEプロアクティブケア】メーカー推奨／低価格で国内専用窓口の高品質な保守により、システム運用における安心を提供します。</v>
          </cell>
        </row>
        <row r="9151">
          <cell r="A9151" t="str">
            <v>U7H69E</v>
          </cell>
          <cell r="B9151" t="str">
            <v>ProCare 24x7 5年 SGLX AdvToEnt Up 1年用</v>
          </cell>
          <cell r="C9151" t="str">
            <v>【HPEプロアクティブケア】メーカー推奨／低価格で国内専用窓口の高品質な保守により、システム運用における安心を提供します。</v>
          </cell>
        </row>
        <row r="9152">
          <cell r="A9152" t="str">
            <v>U7H72E</v>
          </cell>
          <cell r="B9152" t="str">
            <v>ProCare 24x7 3年 RHVrtl DC2Sckt 3年用</v>
          </cell>
          <cell r="C9152" t="str">
            <v>【HPEプロアクティブケア】メーカー推奨／低価格で国内専用窓口の高品質な保守により、システム運用における安心を提供します。</v>
          </cell>
        </row>
        <row r="9153">
          <cell r="A9153" t="str">
            <v>U7H73E</v>
          </cell>
          <cell r="B9153" t="str">
            <v>ProCare 24x7 5年 RHVrtl DC2Sckt 5年用</v>
          </cell>
          <cell r="C9153" t="str">
            <v>【HPEプロアクティブケア】メーカー推奨／低価格で国内専用窓口の高品質な保守により、システム運用における安心を提供します。</v>
          </cell>
        </row>
        <row r="9154">
          <cell r="A9154" t="str">
            <v>U7H74E</v>
          </cell>
          <cell r="B9154" t="str">
            <v>ProCare 24x7 3年 RH Sv2Sckt2Gst 3年用</v>
          </cell>
          <cell r="C9154" t="str">
            <v>【HPEプロアクティブケア】メーカー推奨／低価格で国内専用窓口の高品質な保守により、システム運用における安心を提供します。</v>
          </cell>
        </row>
        <row r="9155">
          <cell r="A9155" t="str">
            <v>U7H75E</v>
          </cell>
          <cell r="B9155" t="str">
            <v>ProCare 24x7 5年 RH Sv2Sckt2Gst 5年用</v>
          </cell>
          <cell r="C9155" t="str">
            <v>【HPEプロアクティブケア】メーカー推奨／低価格で国内専用窓口の高品質な保守により、システム運用における安心を提供します。</v>
          </cell>
        </row>
        <row r="9156">
          <cell r="A9156" t="str">
            <v>U7H76E</v>
          </cell>
          <cell r="B9156" t="str">
            <v>ProCare 24x7 3年 RH HA 2Sckt2 Gst 3年用</v>
          </cell>
          <cell r="C9156" t="str">
            <v>【HPEプロアクティブケア】メーカー推奨／低価格で国内専用窓口の高品質な保守により、システム運用における安心を提供します。</v>
          </cell>
        </row>
        <row r="9157">
          <cell r="A9157" t="str">
            <v>U7H77E</v>
          </cell>
          <cell r="B9157" t="str">
            <v>ProCare 24x7 3年 RH RS 2Sckt2 Gst 3年用</v>
          </cell>
          <cell r="C9157" t="str">
            <v>【HPEプロアクティブケア】メーカー推奨／低価格で国内専用窓口の高品質な保守により、システム運用における安心を提供します。</v>
          </cell>
        </row>
        <row r="9158">
          <cell r="A9158" t="str">
            <v>U7H78E</v>
          </cell>
          <cell r="B9158" t="str">
            <v>ProCare 24x7 3年 RH LB 2Sckt 2Gst用</v>
          </cell>
          <cell r="C9158" t="str">
            <v>【HPEプロアクティブケア】メーカー推奨／低価格で国内専用窓口の高品質な保守により、システム運用における安心を提供します。</v>
          </cell>
        </row>
        <row r="9159">
          <cell r="A9159" t="str">
            <v>U7H79E</v>
          </cell>
          <cell r="B9159" t="str">
            <v>ProCare 24x7 3年 RH SM 2Sckt 2Gst用</v>
          </cell>
          <cell r="C9159" t="str">
            <v>【HPEプロアクティブケア】メーカー推奨／低価格で国内専用窓口の高品質な保守により、システム運用における安心を提供します。</v>
          </cell>
        </row>
        <row r="9160">
          <cell r="A9160" t="str">
            <v>U7H80E</v>
          </cell>
          <cell r="B9160" t="str">
            <v>ProCare 24x7 3年 RH SM 2Sckt Unlim Gst用</v>
          </cell>
          <cell r="C9160" t="str">
            <v>【HPEプロアクティブケア】メーカー推奨／低価格で国内専用窓口の高品質な保守により、システム運用における安心を提供します。</v>
          </cell>
        </row>
        <row r="9161">
          <cell r="A9161" t="str">
            <v>U7H81E</v>
          </cell>
          <cell r="B9161" t="str">
            <v>ProCare 24x7 3年 RH Svr 2Sckt 4Gst3年用</v>
          </cell>
          <cell r="C9161" t="str">
            <v>【HPEプロアクティブケア】メーカー推奨／低価格で国内専用窓口の高品質な保守により、システム運用における安心を提供します。</v>
          </cell>
        </row>
        <row r="9162">
          <cell r="A9162" t="str">
            <v>U7H82E</v>
          </cell>
          <cell r="B9162" t="str">
            <v>ProCare 24x7 3年 RH HA 2SktunltGst 3年用</v>
          </cell>
          <cell r="C9162" t="str">
            <v>【HPEプロアクティブケア】メーカー推奨／低価格で国内専用窓口の高品質な保守により、システム運用における安心を提供します。</v>
          </cell>
        </row>
        <row r="9163">
          <cell r="A9163" t="str">
            <v>U7H83E</v>
          </cell>
          <cell r="B9163" t="str">
            <v>ProCare 24x7 3年 RH RS 2SktunltGst 3年用</v>
          </cell>
          <cell r="C9163" t="str">
            <v>【HPEプロアクティブケア】メーカー推奨／低価格で国内専用窓口の高品質な保守により、システム運用における安心を提供します。</v>
          </cell>
        </row>
        <row r="9164">
          <cell r="A9164" t="str">
            <v>U7H92E</v>
          </cell>
          <cell r="B9164" t="str">
            <v>ProCare 24x7 3年 RHEV 2 Sckt用</v>
          </cell>
          <cell r="C9164" t="str">
            <v>【HPEプロアクティブケア】メーカー推奨／低価格で国内専用窓口の高品質な保守により、システム運用における安心を提供します。</v>
          </cell>
        </row>
        <row r="9165">
          <cell r="A9165" t="str">
            <v>U7H93E</v>
          </cell>
          <cell r="B9165" t="str">
            <v>ProCare 24x7 3年 RHEV+RHVDC 2 Sckt用</v>
          </cell>
          <cell r="C9165" t="str">
            <v>【HPEプロアクティブケア】メーカー推奨／低価格で国内専用窓口の高品質な保守により、システム運用における安心を提供します。</v>
          </cell>
        </row>
        <row r="9166">
          <cell r="A9166" t="str">
            <v>U7J02E</v>
          </cell>
          <cell r="B9166" t="str">
            <v>ProCare 24x7 3年 VMwvSOMEntPlusKit6P用</v>
          </cell>
          <cell r="C9166" t="str">
            <v>【HPEプロアクティブケア】メーカー推奨／低価格で国内専用窓口の高品質な保守により、システム運用における安心を提供します。</v>
          </cell>
        </row>
        <row r="9167">
          <cell r="A9167" t="str">
            <v>U7J03E</v>
          </cell>
          <cell r="B9167" t="str">
            <v>ProCare 24x7 5年 VMwvSOMEntPlusKit6P用</v>
          </cell>
          <cell r="C9167" t="str">
            <v>【HPEプロアクティブケア】メーカー推奨／低価格で国内専用窓口の高品質な保守により、システム運用における安心を提供します。</v>
          </cell>
        </row>
        <row r="9168">
          <cell r="A9168" t="str">
            <v>U7RR2E</v>
          </cell>
          <cell r="B9168" t="str">
            <v>FC 9x5 3年 StoreFront SV LTU用</v>
          </cell>
          <cell r="C9168" t="str">
            <v>【ファウンデーションケア】</v>
          </cell>
        </row>
        <row r="9169">
          <cell r="A9169" t="str">
            <v>U7RR3E</v>
          </cell>
          <cell r="B9169" t="str">
            <v>ProCare 24x7 3年 StoreFront SV LTU用</v>
          </cell>
          <cell r="C9169" t="str">
            <v>【HPEプロアクティブケア】メーカー推奨／低価格で国内専用窓口の高品質な保守により、システム運用における安心を提供します。</v>
          </cell>
        </row>
        <row r="9170">
          <cell r="A9170" t="str">
            <v>U7RR6E</v>
          </cell>
          <cell r="B9170" t="str">
            <v>FC 24x7 3年 StoreFront SV LTU用</v>
          </cell>
          <cell r="C9170" t="str">
            <v>【ファウンデーションケア】</v>
          </cell>
        </row>
        <row r="9171">
          <cell r="A9171" t="str">
            <v>U7RS0E</v>
          </cell>
          <cell r="B9171" t="str">
            <v>FC 9x5 4年 StoreFront SV LTU用</v>
          </cell>
          <cell r="C9171" t="str">
            <v>【ファウンデーションケア】</v>
          </cell>
        </row>
        <row r="9172">
          <cell r="A9172" t="str">
            <v>U7RS1E</v>
          </cell>
          <cell r="B9172" t="str">
            <v>ProCare 24x7 4年 StoreFront SV LTU用</v>
          </cell>
          <cell r="C9172" t="str">
            <v>【HPEプロアクティブケア】メーカー推奨／低価格で国内専用窓口の高品質な保守により、システム運用における安心を提供します。</v>
          </cell>
        </row>
        <row r="9173">
          <cell r="A9173" t="str">
            <v>U7RS4E</v>
          </cell>
          <cell r="B9173" t="str">
            <v>FC 24x7 4年 StoreFront SV LTU用</v>
          </cell>
          <cell r="C9173" t="str">
            <v>【ファウンデーションケア】</v>
          </cell>
        </row>
        <row r="9174">
          <cell r="A9174" t="str">
            <v>U7RS8E</v>
          </cell>
          <cell r="B9174" t="str">
            <v>FC 9x5 5年 StoreFront SV LTU用</v>
          </cell>
          <cell r="C9174" t="str">
            <v>【ファウンデーションケア】</v>
          </cell>
        </row>
        <row r="9175">
          <cell r="A9175" t="str">
            <v>U7RS9E</v>
          </cell>
          <cell r="B9175" t="str">
            <v>ProCare 24x7 5年 StoreFront SV LTU用</v>
          </cell>
          <cell r="C9175" t="str">
            <v>【HPEプロアクティブケア】メーカー推奨／低価格で国内専用窓口の高品質な保守により、システム運用における安心を提供します。</v>
          </cell>
        </row>
        <row r="9176">
          <cell r="A9176" t="str">
            <v>U7RT2E</v>
          </cell>
          <cell r="B9176" t="str">
            <v>FC 24x7 5年 StoreFront SV LTU用</v>
          </cell>
          <cell r="C9176" t="str">
            <v>【ファウンデーションケア】</v>
          </cell>
        </row>
        <row r="9177">
          <cell r="A9177" t="str">
            <v>U7TB9E</v>
          </cell>
          <cell r="B9177" t="str">
            <v>FC 24x7 1年 MS Non-WinSvr2012 OS Only用</v>
          </cell>
          <cell r="C9177" t="str">
            <v>【ファウンデーションケア】</v>
          </cell>
        </row>
        <row r="9178">
          <cell r="A9178" t="str">
            <v>U7TC8E</v>
          </cell>
          <cell r="B9178" t="str">
            <v>FC 24x7 3年 VMware ESXi Standalone用</v>
          </cell>
          <cell r="C9178" t="str">
            <v>【ファウンデーションケア】</v>
          </cell>
        </row>
        <row r="9179">
          <cell r="A9179" t="str">
            <v>U7TC9E</v>
          </cell>
          <cell r="B9179" t="str">
            <v>FC 24x7 5年 VMware ESXi Standalone用</v>
          </cell>
          <cell r="C9179" t="str">
            <v>【ファウンデーションケア】</v>
          </cell>
        </row>
        <row r="9180">
          <cell r="A9180" t="str">
            <v>U7TP0E</v>
          </cell>
          <cell r="B9180" t="str">
            <v>FC 9x5 3年 MSA 1040 LTU 用</v>
          </cell>
          <cell r="C9180" t="str">
            <v>【ファウンデーションケア】</v>
          </cell>
        </row>
        <row r="9181">
          <cell r="A9181" t="str">
            <v>U7TP1E</v>
          </cell>
          <cell r="B9181" t="str">
            <v>ProCare 24x7 3年 MSA 1040 LTU用</v>
          </cell>
          <cell r="C9181" t="str">
            <v>【HPEプロアクティブケア】メーカー推奨／低価格で国内専用窓口の高品質な保守により、システム運用における安心を提供します。</v>
          </cell>
        </row>
        <row r="9182">
          <cell r="A9182" t="str">
            <v>U7TP3E</v>
          </cell>
          <cell r="B9182" t="str">
            <v>FC 24x7 3年 MSA 1040 LTU 用</v>
          </cell>
          <cell r="C9182" t="str">
            <v>【ファウンデーションケア】</v>
          </cell>
        </row>
        <row r="9183">
          <cell r="A9183" t="str">
            <v>U7TP6E</v>
          </cell>
          <cell r="B9183" t="str">
            <v>FC 9x5 4年 MSA 1040 LTU 用</v>
          </cell>
          <cell r="C9183" t="str">
            <v>【ファウンデーションケア】</v>
          </cell>
        </row>
        <row r="9184">
          <cell r="A9184" t="str">
            <v>U7TP7E</v>
          </cell>
          <cell r="B9184" t="str">
            <v>ProCare 24x7 4年 MSA 1040 LTU用</v>
          </cell>
          <cell r="C9184" t="str">
            <v>【HPEプロアクティブケア】メーカー推奨／低価格で国内専用窓口の高品質な保守により、システム運用における安心を提供します。</v>
          </cell>
        </row>
        <row r="9185">
          <cell r="A9185" t="str">
            <v>U7TP9E</v>
          </cell>
          <cell r="B9185" t="str">
            <v>FC 24x7 4年 MSA 1040 LTU 用</v>
          </cell>
          <cell r="C9185" t="str">
            <v>【ファウンデーションケア】</v>
          </cell>
        </row>
        <row r="9186">
          <cell r="A9186" t="str">
            <v>U7TQ2E</v>
          </cell>
          <cell r="B9186" t="str">
            <v>FC 9x5 5年 MSA 1040 LTU 用</v>
          </cell>
          <cell r="C9186" t="str">
            <v>【ファウンデーションケア】</v>
          </cell>
        </row>
        <row r="9187">
          <cell r="A9187" t="str">
            <v>U7TQ3E</v>
          </cell>
          <cell r="B9187" t="str">
            <v>ProCare 24x7 5年 MSA 1040 LTU用</v>
          </cell>
          <cell r="C9187" t="str">
            <v>【HPEプロアクティブケア】メーカー推奨／低価格で国内専用窓口の高品質な保守により、システム運用における安心を提供します。</v>
          </cell>
        </row>
        <row r="9188">
          <cell r="A9188" t="str">
            <v>U7TQ5E</v>
          </cell>
          <cell r="B9188" t="str">
            <v>FC 24x7 5年 MSA 1040 LTU 用</v>
          </cell>
          <cell r="C9188" t="str">
            <v>【ファウンデーションケア】</v>
          </cell>
        </row>
        <row r="9189">
          <cell r="A9189" t="str">
            <v>U7TQ8E</v>
          </cell>
          <cell r="B9189" t="str">
            <v>FC 9x5 3年 MSA 2040 LTU用</v>
          </cell>
          <cell r="C9189" t="str">
            <v>【ファウンデーションケア】</v>
          </cell>
        </row>
        <row r="9190">
          <cell r="A9190" t="str">
            <v>U7TQ9E</v>
          </cell>
          <cell r="B9190" t="str">
            <v>ProCare 24x7 3年 MSA 2040 LTU用</v>
          </cell>
          <cell r="C9190" t="str">
            <v>【HPEプロアクティブケア】メーカー推奨／低価格で国内専用窓口の高品質な保守により、システム運用における安心を提供します。</v>
          </cell>
        </row>
        <row r="9191">
          <cell r="A9191" t="str">
            <v>U7TR1E</v>
          </cell>
          <cell r="B9191" t="str">
            <v>FC 24x7 3年 MSA 2040 LTU用</v>
          </cell>
          <cell r="C9191" t="str">
            <v>【ファウンデーションケア】</v>
          </cell>
        </row>
        <row r="9192">
          <cell r="A9192" t="str">
            <v>U7TR4E</v>
          </cell>
          <cell r="B9192" t="str">
            <v>FC 9x5 4年 MSA 2040 LTU用</v>
          </cell>
          <cell r="C9192" t="str">
            <v>【ファウンデーションケア】</v>
          </cell>
        </row>
        <row r="9193">
          <cell r="A9193" t="str">
            <v>U7TR5E</v>
          </cell>
          <cell r="B9193" t="str">
            <v>ProCare 24x7 4年 MSA 2040 LTU用</v>
          </cell>
          <cell r="C9193" t="str">
            <v>【HPEプロアクティブケア】メーカー推奨／低価格で国内専用窓口の高品質な保守により、システム運用における安心を提供します。</v>
          </cell>
        </row>
        <row r="9194">
          <cell r="A9194" t="str">
            <v>U7TR7E</v>
          </cell>
          <cell r="B9194" t="str">
            <v>FC 24x7 4年 MSA 2040 LTU用</v>
          </cell>
          <cell r="C9194" t="str">
            <v>【ファウンデーションケア】</v>
          </cell>
        </row>
        <row r="9195">
          <cell r="A9195" t="str">
            <v>U7TS0E</v>
          </cell>
          <cell r="B9195" t="str">
            <v>FC 9x5 5年 MSA 2040 LTU用</v>
          </cell>
          <cell r="C9195" t="str">
            <v>【ファウンデーションケア】</v>
          </cell>
        </row>
        <row r="9196">
          <cell r="A9196" t="str">
            <v>U7TS1E</v>
          </cell>
          <cell r="B9196" t="str">
            <v>ProCare 24x7 5年 MSA 2040 LTU用</v>
          </cell>
          <cell r="C9196" t="str">
            <v>【HPEプロアクティブケア】メーカー推奨／低価格で国内専用窓口の高品質な保守により、システム運用における安心を提供します。</v>
          </cell>
        </row>
        <row r="9197">
          <cell r="A9197" t="str">
            <v>U7TS3E</v>
          </cell>
          <cell r="B9197" t="str">
            <v>FC 24x7 5年 MSA 2040 LTU用</v>
          </cell>
          <cell r="C9197" t="str">
            <v>【ファウンデーションケア】</v>
          </cell>
        </row>
        <row r="9198">
          <cell r="A9198" t="str">
            <v>U7Y05E</v>
          </cell>
          <cell r="B9198" t="str">
            <v>ProCare 24x7 3年 StorOnce2700 Cat LTU用</v>
          </cell>
          <cell r="C9198" t="str">
            <v>【HPEプロアクティブケア】メーカー推奨／低価格で国内専用窓口の高品質な保守により、システム運用における安心を提供します。</v>
          </cell>
        </row>
        <row r="9199">
          <cell r="A9199" t="str">
            <v>U7Y11E</v>
          </cell>
          <cell r="B9199" t="str">
            <v>ProCare 24x7 4年 StorOnce2700 Cat LTU用</v>
          </cell>
          <cell r="C9199" t="str">
            <v>【HPEプロアクティブケア】メーカー推奨／低価格で国内専用窓口の高品質な保守により、システム運用における安心を提供します。</v>
          </cell>
        </row>
        <row r="9200">
          <cell r="A9200" t="str">
            <v>U7Y17E</v>
          </cell>
          <cell r="B9200" t="str">
            <v>ProCare 24x7 5年 StorOnce2700 Cat LTU用</v>
          </cell>
          <cell r="C9200" t="str">
            <v>【HPEプロアクティブケア】メーカー推奨／低価格で国内専用窓口の高品質な保守により、システム運用における安心を提供します。</v>
          </cell>
        </row>
        <row r="9201">
          <cell r="A9201" t="str">
            <v>U7Y28E</v>
          </cell>
          <cell r="B9201" t="str">
            <v>ProCare 24x7 3年 StorOnce4500 Cat LTU用</v>
          </cell>
          <cell r="C9201" t="str">
            <v>【HPEプロアクティブケア】メーカー推奨／低価格で国内専用窓口の高品質な保守により、システム運用における安心を提供します。</v>
          </cell>
        </row>
        <row r="9202">
          <cell r="A9202" t="str">
            <v>U7Y34E</v>
          </cell>
          <cell r="B9202" t="str">
            <v>ProCare 24x7 4年 StorOnce4500 Cat LTU用</v>
          </cell>
          <cell r="C9202" t="str">
            <v>【HPEプロアクティブケア】メーカー推奨／低価格で国内専用窓口の高品質な保守により、システム運用における安心を提供します。</v>
          </cell>
        </row>
        <row r="9203">
          <cell r="A9203" t="str">
            <v>U7Y40E</v>
          </cell>
          <cell r="B9203" t="str">
            <v>ProCare 24x7 5年 StorOnce4500 Cat LTU用</v>
          </cell>
          <cell r="C9203" t="str">
            <v>【HPEプロアクティブケア】メーカー推奨／低価格で国内専用窓口の高品質な保守により、システム運用における安心を提供します。</v>
          </cell>
        </row>
        <row r="9204">
          <cell r="A9204" t="str">
            <v>U7Y51E</v>
          </cell>
          <cell r="B9204" t="str">
            <v>ProCare 24x7 3年 StorOnce4700 Cat LTU用</v>
          </cell>
          <cell r="C9204" t="str">
            <v>【HPEプロアクティブケア】メーカー推奨／低価格で国内専用窓口の高品質な保守により、システム運用における安心を提供します。</v>
          </cell>
        </row>
        <row r="9205">
          <cell r="A9205" t="str">
            <v>U7Y57E</v>
          </cell>
          <cell r="B9205" t="str">
            <v>ProCare 24x7 4年 StorOnce4700 Cat LTU用</v>
          </cell>
          <cell r="C9205" t="str">
            <v>【HPEプロアクティブケア】メーカー推奨／低価格で国内専用窓口の高品質な保守により、システム運用における安心を提供します。</v>
          </cell>
        </row>
        <row r="9206">
          <cell r="A9206" t="str">
            <v>U7Y63E</v>
          </cell>
          <cell r="B9206" t="str">
            <v>ProCare 24x7 5年 StorOnce4700 Cat LTU用</v>
          </cell>
          <cell r="C9206" t="str">
            <v>【HPEプロアクティブケア】メーカー推奨／低価格で国内専用窓口の高品質な保守により、システム運用における安心を提供します。</v>
          </cell>
        </row>
        <row r="9207">
          <cell r="A9207" t="str">
            <v>U7YZ7E</v>
          </cell>
          <cell r="B9207" t="str">
            <v>ProCare 24x7 3年 Stor Recov Base LTU用</v>
          </cell>
          <cell r="C9207" t="str">
            <v>【HPEプロアクティブケア】メーカー推奨／低価格で国内専用窓口の高品質な保守により、システム運用における安心を提供します。</v>
          </cell>
        </row>
        <row r="9208">
          <cell r="A9208" t="str">
            <v>U7YZ8E</v>
          </cell>
          <cell r="B9208" t="str">
            <v>FC 24x7 3年 Stor Recov Base LTU用</v>
          </cell>
          <cell r="C9208" t="str">
            <v>【ファウンデーションケア】</v>
          </cell>
        </row>
        <row r="9209">
          <cell r="A9209" t="str">
            <v>U7Z16E</v>
          </cell>
          <cell r="B9209" t="str">
            <v>ProCare 24x7 3年 iLO Essentials 3年用</v>
          </cell>
          <cell r="C9209" t="str">
            <v>【HPEプロアクティブケア】メーカー推奨／低価格で国内専用窓口の高品質な保守により、システム運用における安心を提供します。</v>
          </cell>
        </row>
        <row r="9210">
          <cell r="A9210" t="str">
            <v>U7Z17E</v>
          </cell>
          <cell r="B9210" t="str">
            <v>ProCare 24x7 4年 iLO Essentials 3年用</v>
          </cell>
          <cell r="C9210" t="str">
            <v>【HPEプロアクティブケア】メーカー推奨／低価格で国内専用窓口の高品質な保守により、システム運用における安心を提供します。</v>
          </cell>
        </row>
        <row r="9211">
          <cell r="A9211" t="str">
            <v>U7Z18E</v>
          </cell>
          <cell r="B9211" t="str">
            <v>ProCare 24x7 5年 iLO Essentials 3年用</v>
          </cell>
          <cell r="C9211" t="str">
            <v>【HPEプロアクティブケア】メーカー推奨／低価格で国内専用窓口の高品質な保守により、システム運用における安心を提供します。</v>
          </cell>
        </row>
        <row r="9212">
          <cell r="A9212" t="str">
            <v>U7Z27E</v>
          </cell>
          <cell r="B9212" t="str">
            <v>ProCare 24x7 3年 iLO Scale-Out 3年用</v>
          </cell>
          <cell r="C9212" t="str">
            <v>【HPEプロアクティブケア】メーカー推奨／低価格で国内専用窓口の高品質な保守により、システム運用における安心を提供します。</v>
          </cell>
        </row>
        <row r="9213">
          <cell r="A9213" t="str">
            <v>U7Z28E</v>
          </cell>
          <cell r="B9213" t="str">
            <v>ProCare 24x7 4年 iLO Scale-Out 3年用</v>
          </cell>
          <cell r="C9213" t="str">
            <v>【HPEプロアクティブケア】メーカー推奨／低価格で国内専用窓口の高品質な保守により、システム運用における安心を提供します。</v>
          </cell>
        </row>
        <row r="9214">
          <cell r="A9214" t="str">
            <v>U7Z29E</v>
          </cell>
          <cell r="B9214" t="str">
            <v>ProCare 24x7 5年 iLO Scale-Out 3年用</v>
          </cell>
          <cell r="C9214" t="str">
            <v>【HPEプロアクティブケア】メーカー推奨／低価格で国内専用窓口の高品質な保守により、システム運用における安心を提供します。</v>
          </cell>
        </row>
        <row r="9215">
          <cell r="A9215" t="str">
            <v>U7ZA1E</v>
          </cell>
          <cell r="B9215" t="str">
            <v>ProCare 24x7 4年 Stor Recov Base LTU用</v>
          </cell>
          <cell r="C9215" t="str">
            <v>【HPEプロアクティブケア】メーカー推奨／低価格で国内専用窓口の高品質な保守により、システム運用における安心を提供します。</v>
          </cell>
        </row>
        <row r="9216">
          <cell r="A9216" t="str">
            <v>U7ZA2E</v>
          </cell>
          <cell r="B9216" t="str">
            <v>FC 24x7 4年 Stor Recov Base LTU用</v>
          </cell>
          <cell r="C9216" t="str">
            <v>【ファウンデーションケア】</v>
          </cell>
        </row>
        <row r="9217">
          <cell r="A9217" t="str">
            <v>U7ZA5E</v>
          </cell>
          <cell r="B9217" t="str">
            <v>ProCare 24x7 5年 Stor Recov Base LTU用</v>
          </cell>
          <cell r="C9217" t="str">
            <v>【HPEプロアクティブケア】メーカー推奨／低価格で国内専用窓口の高品質な保守により、システム運用における安心を提供します。</v>
          </cell>
        </row>
        <row r="9218">
          <cell r="A9218" t="str">
            <v>U7ZA6E</v>
          </cell>
          <cell r="B9218" t="str">
            <v>FC 24x7 5年 Stor Recov Base LTU用</v>
          </cell>
          <cell r="C9218" t="str">
            <v>【ファウンデーションケア】</v>
          </cell>
        </row>
        <row r="9219">
          <cell r="A9219" t="str">
            <v>U7ZA9E</v>
          </cell>
          <cell r="B9219" t="str">
            <v>ProCare 24x7 3年 Stor Recov SS 7200用</v>
          </cell>
          <cell r="C9219" t="str">
            <v>【HPEプロアクティブケア】メーカー推奨／低価格で国内専用窓口の高品質な保守により、システム運用における安心を提供します。</v>
          </cell>
        </row>
        <row r="9220">
          <cell r="A9220" t="str">
            <v>U7ZB0E</v>
          </cell>
          <cell r="B9220" t="str">
            <v>FC 24x7 3年 Stor Recov SS 7200用</v>
          </cell>
          <cell r="C9220" t="str">
            <v>【ファウンデーションケア】</v>
          </cell>
        </row>
        <row r="9221">
          <cell r="A9221" t="str">
            <v>U7ZB3E</v>
          </cell>
          <cell r="B9221" t="str">
            <v>ProCare 24x7 4年 Stor Recov SS 7200用</v>
          </cell>
          <cell r="C9221" t="str">
            <v>【HPEプロアクティブケア】メーカー推奨／低価格で国内専用窓口の高品質な保守により、システム運用における安心を提供します。</v>
          </cell>
        </row>
        <row r="9222">
          <cell r="A9222" t="str">
            <v>U7ZB4E</v>
          </cell>
          <cell r="B9222" t="str">
            <v>FC 24x7 4年 Stor Recov SS 7200用</v>
          </cell>
          <cell r="C9222" t="str">
            <v>【ファウンデーションケア】</v>
          </cell>
        </row>
        <row r="9223">
          <cell r="A9223" t="str">
            <v>U7ZB7E</v>
          </cell>
          <cell r="B9223" t="str">
            <v>ProCare 24x7 5年 Stor Recov SS 7200用</v>
          </cell>
          <cell r="C9223" t="str">
            <v>【HPEプロアクティブケア】メーカー推奨／低価格で国内専用窓口の高品質な保守により、システム運用における安心を提供します。</v>
          </cell>
        </row>
        <row r="9224">
          <cell r="A9224" t="str">
            <v>U7ZB8E</v>
          </cell>
          <cell r="B9224" t="str">
            <v>FC 24x7 5年 Stor Recov SS 7200用</v>
          </cell>
          <cell r="C9224" t="str">
            <v>【ファウンデーションケア】</v>
          </cell>
        </row>
        <row r="9225">
          <cell r="A9225" t="str">
            <v>U7ZD2E</v>
          </cell>
          <cell r="B9225" t="str">
            <v>FC 9x5 3年 Stor Recov SS 7400用</v>
          </cell>
          <cell r="C9225" t="str">
            <v>【ファウンデーションケア】</v>
          </cell>
        </row>
        <row r="9226">
          <cell r="A9226" t="str">
            <v>U7ZD3E</v>
          </cell>
          <cell r="B9226" t="str">
            <v>ProCare 24x7 3年 Stor Recov SS 7400用</v>
          </cell>
          <cell r="C9226" t="str">
            <v>【HPEプロアクティブケア】メーカー推奨／低価格で国内専用窓口の高品質な保守により、システム運用における安心を提供します。</v>
          </cell>
        </row>
        <row r="9227">
          <cell r="A9227" t="str">
            <v>U7ZD4E</v>
          </cell>
          <cell r="B9227" t="str">
            <v>FC 24x7 3年 Stor Recov SS 7400用</v>
          </cell>
          <cell r="C9227" t="str">
            <v>【ファウンデーションケア】</v>
          </cell>
        </row>
        <row r="9228">
          <cell r="A9228" t="str">
            <v>U7ZD6E</v>
          </cell>
          <cell r="B9228" t="str">
            <v>FC 9x5 4年 Stor Recov SS 7400用</v>
          </cell>
          <cell r="C9228" t="str">
            <v>【ファウンデーションケア】</v>
          </cell>
        </row>
        <row r="9229">
          <cell r="A9229" t="str">
            <v>U7ZD7E</v>
          </cell>
          <cell r="B9229" t="str">
            <v>ProCare 24x7 4年 Stor Recov SS 7400用</v>
          </cell>
          <cell r="C9229" t="str">
            <v>【HPEプロアクティブケア】メーカー推奨／低価格で国内専用窓口の高品質な保守により、システム運用における安心を提供します。</v>
          </cell>
        </row>
        <row r="9230">
          <cell r="A9230" t="str">
            <v>U7ZD8E</v>
          </cell>
          <cell r="B9230" t="str">
            <v>FC 24x7 4年 Stor Recov SS 7400用</v>
          </cell>
          <cell r="C9230" t="str">
            <v>【ファウンデーションケア】</v>
          </cell>
        </row>
        <row r="9231">
          <cell r="A9231" t="str">
            <v>U7ZE0E</v>
          </cell>
          <cell r="B9231" t="str">
            <v>FC 9x5 5年 Stor Recov SS 7400用</v>
          </cell>
          <cell r="C9231" t="str">
            <v>【ファウンデーションケア】</v>
          </cell>
        </row>
        <row r="9232">
          <cell r="A9232" t="str">
            <v>U7ZE1E</v>
          </cell>
          <cell r="B9232" t="str">
            <v>ProCare 24x7 5年 Stor Recov SS 7400用</v>
          </cell>
          <cell r="C9232" t="str">
            <v>【HPEプロアクティブケア】メーカー推奨／低価格で国内専用窓口の高品質な保守により、システム運用における安心を提供します。</v>
          </cell>
        </row>
        <row r="9233">
          <cell r="A9233" t="str">
            <v>U7ZE2E</v>
          </cell>
          <cell r="B9233" t="str">
            <v>FC 24x7 5年 Stor Recov SS 7400用</v>
          </cell>
          <cell r="C9233" t="str">
            <v>【ファウンデーションケア】</v>
          </cell>
        </row>
        <row r="9234">
          <cell r="A9234" t="str">
            <v>H0PH7E</v>
          </cell>
          <cell r="B9234" t="str">
            <v>FC 24x7 1年 12916E Switch用</v>
          </cell>
          <cell r="C9234" t="str">
            <v>【ファウンデーションケア】</v>
          </cell>
        </row>
        <row r="9235">
          <cell r="A9235" t="str">
            <v>H0PJ7E</v>
          </cell>
          <cell r="B9235" t="str">
            <v>FC 9x5 3年 12916E Switch用</v>
          </cell>
          <cell r="C9235" t="str">
            <v>【ファウンデーションケア】</v>
          </cell>
        </row>
        <row r="9236">
          <cell r="A9236" t="str">
            <v>H0PK2E</v>
          </cell>
          <cell r="B9236" t="str">
            <v>FC 24x7 3年 12916E Switch用</v>
          </cell>
          <cell r="C9236" t="str">
            <v>【ファウンデーションケア】</v>
          </cell>
        </row>
        <row r="9237">
          <cell r="A9237" t="str">
            <v>H0PK4E</v>
          </cell>
          <cell r="B9237" t="str">
            <v>ProCare 24x7 3年 12916E Switch用</v>
          </cell>
          <cell r="C9237" t="str">
            <v>【HPEプロアクティブケア】メーカー推奨／低価格で国内専用窓口の高品質な保守により、システム運用における安心を提供します。</v>
          </cell>
        </row>
        <row r="9238">
          <cell r="A9238" t="str">
            <v>H0PM0E</v>
          </cell>
          <cell r="B9238" t="str">
            <v>FC 9x5 4年 12916E Switch用</v>
          </cell>
          <cell r="C9238" t="str">
            <v>【ファウンデーションケア】</v>
          </cell>
        </row>
        <row r="9239">
          <cell r="A9239" t="str">
            <v>H0PM5E</v>
          </cell>
          <cell r="B9239" t="str">
            <v>FC 24x7 4年 12916E Switch用</v>
          </cell>
          <cell r="C9239" t="str">
            <v>【ファウンデーションケア】</v>
          </cell>
        </row>
        <row r="9240">
          <cell r="A9240" t="str">
            <v>H0PM7E</v>
          </cell>
          <cell r="B9240" t="str">
            <v>ProCare 24x7 4年 12916E Switch用</v>
          </cell>
          <cell r="C9240" t="str">
            <v>【HPEプロアクティブケア】メーカー推奨／低価格で国内専用窓口の高品質な保守により、システム運用における安心を提供します。</v>
          </cell>
        </row>
        <row r="9241">
          <cell r="A9241" t="str">
            <v>H0PP3E</v>
          </cell>
          <cell r="B9241" t="str">
            <v>FC 9x5 5年 12916E Switch用</v>
          </cell>
          <cell r="C9241" t="str">
            <v>【ファウンデーションケア】</v>
          </cell>
        </row>
        <row r="9242">
          <cell r="A9242" t="str">
            <v>H0PP8E</v>
          </cell>
          <cell r="B9242" t="str">
            <v>FC 24x7 5年 12916E Switch用</v>
          </cell>
          <cell r="C9242" t="str">
            <v>【ファウンデーションケア】</v>
          </cell>
        </row>
        <row r="9243">
          <cell r="A9243" t="str">
            <v>H0PQ0E</v>
          </cell>
          <cell r="B9243" t="str">
            <v>ProCare 24x7 5年 12916E Switch用</v>
          </cell>
          <cell r="C9243" t="str">
            <v>【HPEプロアクティブケア】メーカー推奨／低価格で国内専用窓口の高品質な保守により、システム運用における安心を提供します。</v>
          </cell>
        </row>
        <row r="9244">
          <cell r="A9244" t="str">
            <v>H0PR6PE</v>
          </cell>
          <cell r="B9244" t="str">
            <v>PW FC 9x5 1年 12916E Switch用</v>
          </cell>
          <cell r="C9244" t="str">
            <v>【ファウンデーションケア】</v>
          </cell>
        </row>
        <row r="9245">
          <cell r="A9245" t="str">
            <v>H0PR9PE</v>
          </cell>
          <cell r="B9245" t="str">
            <v>PW FC 24x7 1年 12916E Switch用</v>
          </cell>
          <cell r="C9245" t="str">
            <v>【ファウンデーションケア】</v>
          </cell>
        </row>
        <row r="9246">
          <cell r="A9246" t="str">
            <v>H0PS1PE</v>
          </cell>
          <cell r="B9246" t="str">
            <v>PW PC 24x7 1年 12916E Switch用</v>
          </cell>
          <cell r="C9246" t="str">
            <v>【HPEプロアクティブケア】メーカー推奨／低価格で国内専用窓口の高品質な保守により、システム運用における安心を提供します。</v>
          </cell>
        </row>
        <row r="9247">
          <cell r="A9247" t="str">
            <v>H0PT1E</v>
          </cell>
          <cell r="B9247" t="str">
            <v>FC 24x7 1年 12908E Switch用</v>
          </cell>
          <cell r="C9247" t="str">
            <v>【ファウンデーションケア】</v>
          </cell>
        </row>
        <row r="9248">
          <cell r="A9248" t="str">
            <v>H0PU1E</v>
          </cell>
          <cell r="B9248" t="str">
            <v>FC 9x5 3年 12908E Switch用</v>
          </cell>
          <cell r="C9248" t="str">
            <v>【ファウンデーションケア】</v>
          </cell>
        </row>
        <row r="9249">
          <cell r="A9249" t="str">
            <v>H0PU6E</v>
          </cell>
          <cell r="B9249" t="str">
            <v>FC 24x7 3年 12908E Switch用</v>
          </cell>
          <cell r="C9249" t="str">
            <v>【ファウンデーションケア】</v>
          </cell>
        </row>
        <row r="9250">
          <cell r="A9250" t="str">
            <v>H0PU8E</v>
          </cell>
          <cell r="B9250" t="str">
            <v>ProCare 24x7 3年 12908E Switch用</v>
          </cell>
          <cell r="C9250" t="str">
            <v>【HPEプロアクティブケア】メーカー推奨／低価格で国内専用窓口の高品質な保守により、システム運用における安心を提供します。</v>
          </cell>
        </row>
        <row r="9251">
          <cell r="A9251" t="str">
            <v>H0PW4E</v>
          </cell>
          <cell r="B9251" t="str">
            <v>FC 9x5 4年 12908E Switch用</v>
          </cell>
          <cell r="C9251" t="str">
            <v>【ファウンデーションケア】</v>
          </cell>
        </row>
        <row r="9252">
          <cell r="A9252" t="str">
            <v>H0PW9E</v>
          </cell>
          <cell r="B9252" t="str">
            <v>FC 24x7 4年 12908E Switch用</v>
          </cell>
          <cell r="C9252" t="str">
            <v>【ファウンデーションケア】</v>
          </cell>
        </row>
        <row r="9253">
          <cell r="A9253" t="str">
            <v>H0PX1E</v>
          </cell>
          <cell r="B9253" t="str">
            <v>ProCare 24x7 4年 12908E Switch用</v>
          </cell>
          <cell r="C9253" t="str">
            <v>【HPEプロアクティブケア】メーカー推奨／低価格で国内専用窓口の高品質な保守により、システム運用における安心を提供します。</v>
          </cell>
        </row>
        <row r="9254">
          <cell r="A9254" t="str">
            <v>H0PY7E</v>
          </cell>
          <cell r="B9254" t="str">
            <v>FC 9x5 5年 12908E Switch用</v>
          </cell>
          <cell r="C9254" t="str">
            <v>【ファウンデーションケア】</v>
          </cell>
        </row>
        <row r="9255">
          <cell r="A9255" t="str">
            <v>H0PZ2E</v>
          </cell>
          <cell r="B9255" t="str">
            <v>FC 24x7 5年 12908E Switch用</v>
          </cell>
          <cell r="C9255" t="str">
            <v>【ファウンデーションケア】</v>
          </cell>
        </row>
        <row r="9256">
          <cell r="A9256" t="str">
            <v>H0PZ4E</v>
          </cell>
          <cell r="B9256" t="str">
            <v>ProCare 24x7 5年 12908E Switch用</v>
          </cell>
          <cell r="C9256" t="str">
            <v>【HPEプロアクティブケア】メーカー推奨／低価格で国内専用窓口の高品質な保守により、システム運用における安心を提供します。</v>
          </cell>
        </row>
        <row r="9257">
          <cell r="A9257" t="str">
            <v>H0QB0PE</v>
          </cell>
          <cell r="B9257" t="str">
            <v>PW FC 9x5 1年 12908E Switch用</v>
          </cell>
          <cell r="C9257" t="str">
            <v>【ファウンデーションケア】</v>
          </cell>
        </row>
        <row r="9258">
          <cell r="A9258" t="str">
            <v>H0QB3PE</v>
          </cell>
          <cell r="B9258" t="str">
            <v>PW FC 24x7 1年 12908E Switch用</v>
          </cell>
          <cell r="C9258" t="str">
            <v>【ファウンデーションケア】</v>
          </cell>
        </row>
        <row r="9259">
          <cell r="A9259" t="str">
            <v>H0QB5PE</v>
          </cell>
          <cell r="B9259" t="str">
            <v>PW PC 24x7 1年 12908E Switch用</v>
          </cell>
          <cell r="C9259" t="str">
            <v>【HPEプロアクティブケア】メーカー推奨／低価格で国内専用窓口の高品質な保守により、システム運用における安心を提供します。</v>
          </cell>
        </row>
        <row r="9260">
          <cell r="A9260" t="str">
            <v>H0QC5E</v>
          </cell>
          <cell r="B9260" t="str">
            <v>FC 24x7 1年 12904E Switch用</v>
          </cell>
          <cell r="C9260" t="str">
            <v>【ファウンデーションケア】</v>
          </cell>
        </row>
        <row r="9261">
          <cell r="A9261" t="str">
            <v>H0QD5E</v>
          </cell>
          <cell r="B9261" t="str">
            <v>FC 9x5 3年 12904E Switch用</v>
          </cell>
          <cell r="C9261" t="str">
            <v>【ファウンデーションケア】</v>
          </cell>
        </row>
        <row r="9262">
          <cell r="A9262" t="str">
            <v>H0QE0E</v>
          </cell>
          <cell r="B9262" t="str">
            <v>FC 24x7 3年 12904E Switch用</v>
          </cell>
          <cell r="C9262" t="str">
            <v>【ファウンデーションケア】</v>
          </cell>
        </row>
        <row r="9263">
          <cell r="A9263" t="str">
            <v>H0QE2E</v>
          </cell>
          <cell r="B9263" t="str">
            <v>ProCare 24x7 3年 12904E Switch用</v>
          </cell>
          <cell r="C9263" t="str">
            <v>【HPEプロアクティブケア】メーカー推奨／低価格で国内専用窓口の高品質な保守により、システム運用における安心を提供します。</v>
          </cell>
        </row>
        <row r="9264">
          <cell r="A9264" t="str">
            <v>H0QF8E</v>
          </cell>
          <cell r="B9264" t="str">
            <v>FC 9x5 4年 12904E Switch用</v>
          </cell>
          <cell r="C9264" t="str">
            <v>【ファウンデーションケア】</v>
          </cell>
        </row>
        <row r="9265">
          <cell r="A9265" t="str">
            <v>H0QG3E</v>
          </cell>
          <cell r="B9265" t="str">
            <v>FC 24x7 4年 12904E Switch用</v>
          </cell>
          <cell r="C9265" t="str">
            <v>【ファウンデーションケア】</v>
          </cell>
        </row>
        <row r="9266">
          <cell r="A9266" t="str">
            <v>H0QG5E</v>
          </cell>
          <cell r="B9266" t="str">
            <v>ProCare 24x7 4年 12904E Switch用</v>
          </cell>
          <cell r="C9266" t="str">
            <v>【HPEプロアクティブケア】メーカー推奨／低価格で国内専用窓口の高品質な保守により、システム運用における安心を提供します。</v>
          </cell>
        </row>
        <row r="9267">
          <cell r="A9267" t="str">
            <v>H0QJ1E</v>
          </cell>
          <cell r="B9267" t="str">
            <v>FC 9x5 5年 12904E Switch用</v>
          </cell>
          <cell r="C9267" t="str">
            <v>【ファウンデーションケア】</v>
          </cell>
        </row>
        <row r="9268">
          <cell r="A9268" t="str">
            <v>H0QJ6E</v>
          </cell>
          <cell r="B9268" t="str">
            <v>FC 24x7 5年 12904E Switch用</v>
          </cell>
          <cell r="C9268" t="str">
            <v>【ファウンデーションケア】</v>
          </cell>
        </row>
        <row r="9269">
          <cell r="A9269" t="str">
            <v>H0QJ8E</v>
          </cell>
          <cell r="B9269" t="str">
            <v>ProCare 24x7 5年 12904E Switch用</v>
          </cell>
          <cell r="C9269" t="str">
            <v>【HPEプロアクティブケア】メーカー推奨／低価格で国内専用窓口の高品質な保守により、システム運用における安心を提供します。</v>
          </cell>
        </row>
        <row r="9270">
          <cell r="A9270" t="str">
            <v>H0QL4PE</v>
          </cell>
          <cell r="B9270" t="str">
            <v>PW FC 9x5 1年 12904E Switch用</v>
          </cell>
          <cell r="C9270" t="str">
            <v>【ファウンデーションケア】</v>
          </cell>
        </row>
        <row r="9271">
          <cell r="A9271" t="str">
            <v>H0QL7PE</v>
          </cell>
          <cell r="B9271" t="str">
            <v>PW FC 24x7 1年 12904E Switch用</v>
          </cell>
          <cell r="C9271" t="str">
            <v>【ファウンデーションケア】</v>
          </cell>
        </row>
        <row r="9272">
          <cell r="A9272" t="str">
            <v>H0QL9PE</v>
          </cell>
          <cell r="B9272" t="str">
            <v>PW PC 24x7 1年 12904E Switch用</v>
          </cell>
          <cell r="C9272" t="str">
            <v>【HPEプロアクティブケア】メーカー推奨／低価格で国内専用窓口の高品質な保守により、システム運用における安心を提供します。</v>
          </cell>
        </row>
        <row r="9273">
          <cell r="A9273" t="str">
            <v>H0RJ5E</v>
          </cell>
          <cell r="B9273" t="str">
            <v>ProCare 24x7 4年 5130-24G-PoE HI Switch</v>
          </cell>
          <cell r="C9273" t="str">
            <v>【HPEプロアクティブケア】メーカー推奨／低価格で国内専用窓口の高品質な保守により、システム運用における安心を提供します。</v>
          </cell>
        </row>
        <row r="9274">
          <cell r="A9274" t="str">
            <v>H0RL8E</v>
          </cell>
          <cell r="B9274" t="str">
            <v>ProCare 24x7 5年 5130-24G-PoE HI Switch</v>
          </cell>
          <cell r="C9274" t="str">
            <v>【HPEプロアクティブケア】メーカー推奨／低価格で国内専用窓口の高品質な保守により、システム運用における安心を提供します。</v>
          </cell>
        </row>
        <row r="9275">
          <cell r="A9275" t="str">
            <v>H0RN8PE</v>
          </cell>
          <cell r="B9275" t="str">
            <v>更新用PC 24x7 1年 5130-24G-PoE HI Switch</v>
          </cell>
          <cell r="C9275" t="str">
            <v>【HPEプロアクティブケア】メーカー推奨／低価格で国内専用窓口の高品質な保守により、システム運用における安心を提供します。</v>
          </cell>
        </row>
        <row r="9276">
          <cell r="A9276" t="str">
            <v>H0RR3E</v>
          </cell>
          <cell r="B9276" t="str">
            <v>ProCare 24x7 3年 5130-48G-PoE HI Switch</v>
          </cell>
          <cell r="C9276" t="str">
            <v>【HPEプロアクティブケア】メーカー推奨／低価格で国内専用窓口の高品質な保守により、システム運用における安心を提供します。</v>
          </cell>
        </row>
        <row r="9277">
          <cell r="A9277" t="str">
            <v>H0RT6E</v>
          </cell>
          <cell r="B9277" t="str">
            <v>ProCare 24x7 4年 5130-48G-PoE HI Switch</v>
          </cell>
          <cell r="C9277" t="str">
            <v>【HPEプロアクティブケア】メーカー推奨／低価格で国内専用窓口の高品質な保守により、システム運用における安心を提供します。</v>
          </cell>
        </row>
        <row r="9278">
          <cell r="A9278" t="str">
            <v>H0RV9E</v>
          </cell>
          <cell r="B9278" t="str">
            <v>ProCare 24x7 5年 5130-48G-PoE HI Switch</v>
          </cell>
          <cell r="C9278" t="str">
            <v>【HPEプロアクティブケア】メーカー推奨／低価格で国内専用窓口の高品質な保守により、システム運用における安心を提供します。</v>
          </cell>
        </row>
        <row r="9279">
          <cell r="A9279" t="str">
            <v>H0RX9PE</v>
          </cell>
          <cell r="B9279" t="str">
            <v>更新用PC 24x7 1年 5130-48G-PoE HI Switch</v>
          </cell>
          <cell r="C9279" t="str">
            <v>【HPEプロアクティブケア】メーカー推奨／低価格で国内専用窓口の高品質な保守により、システム運用における安心を提供します。</v>
          </cell>
        </row>
        <row r="9280">
          <cell r="A9280" t="str">
            <v>H1GK8E</v>
          </cell>
          <cell r="B9280" t="str">
            <v>PC 24x7 3年 2530-8 Switch用</v>
          </cell>
          <cell r="C9280" t="str">
            <v>【HPEプロアクティブケア】メーカー推奨／低価格で国内専用窓口の高品質な保守により、システム運用における安心を提供します。</v>
          </cell>
        </row>
        <row r="9281">
          <cell r="A9281" t="str">
            <v>H1GN1E</v>
          </cell>
          <cell r="B9281" t="str">
            <v>PC 24x7 4年 2530-8 Switch用</v>
          </cell>
          <cell r="C9281" t="str">
            <v>【HPEプロアクティブケア】メーカー推奨／低価格で国内専用窓口の高品質な保守により、システム運用における安心を提供します。</v>
          </cell>
        </row>
        <row r="9282">
          <cell r="A9282" t="str">
            <v>H1GQ4E</v>
          </cell>
          <cell r="B9282" t="str">
            <v>PC 24x7 5年 2530-8 Switch用</v>
          </cell>
          <cell r="C9282" t="str">
            <v>【HPEプロアクティブケア】メーカー推奨／低価格で国内専用窓口の高品質な保守により、システム運用における安心を提供します。</v>
          </cell>
        </row>
        <row r="9283">
          <cell r="A9283" t="str">
            <v>H1GS4PE</v>
          </cell>
          <cell r="B9283" t="str">
            <v>更新用PC 24x7 1年 2530-8 Switch用</v>
          </cell>
          <cell r="C9283" t="str">
            <v>【HPEプロアクティブケア】メーカー推奨／低価格で国内専用窓口の高品質な保守により、システム運用における安心を提供します。</v>
          </cell>
        </row>
        <row r="9284">
          <cell r="A9284" t="str">
            <v>H1GU9E</v>
          </cell>
          <cell r="B9284" t="str">
            <v>PC 24x7 3年 2530-24 Switch用</v>
          </cell>
          <cell r="C9284" t="str">
            <v>【HPEプロアクティブケア】メーカー推奨／低価格で国内専用窓口の高品質な保守により、システム運用における安心を提供します。</v>
          </cell>
        </row>
        <row r="9285">
          <cell r="A9285" t="str">
            <v>H1GX2E</v>
          </cell>
          <cell r="B9285" t="str">
            <v>PC 24x7 4年 2530-24 Switch用</v>
          </cell>
          <cell r="C9285" t="str">
            <v>【HPEプロアクティブケア】メーカー推奨／低価格で国内専用窓口の高品質な保守により、システム運用における安心を提供します。</v>
          </cell>
        </row>
        <row r="9286">
          <cell r="A9286" t="str">
            <v>H1GZ5E</v>
          </cell>
          <cell r="B9286" t="str">
            <v>PC 24x7 5年 2530-24 Switch用</v>
          </cell>
          <cell r="C9286" t="str">
            <v>【HPEプロアクティブケア】メーカー推奨／低価格で国内専用窓口の高品質な保守により、システム運用における安心を提供します。</v>
          </cell>
        </row>
        <row r="9287">
          <cell r="A9287" t="str">
            <v>H1HB5PE</v>
          </cell>
          <cell r="B9287" t="str">
            <v>更新用PC 24x7 1年 2530-24 Switch用</v>
          </cell>
          <cell r="C9287" t="str">
            <v>【HPEプロアクティブケア】メーカー推奨／低価格で国内専用窓口の高品質な保守により、システム運用における安心を提供します。</v>
          </cell>
        </row>
        <row r="9288">
          <cell r="A9288" t="str">
            <v>H1HE0E</v>
          </cell>
          <cell r="B9288" t="str">
            <v>PC 24x7 3年 2530-24 2SFP Switch用</v>
          </cell>
          <cell r="C9288" t="str">
            <v>【HPEプロアクティブケア】メーカー推奨／低価格で国内専用窓口の高品質な保守により、システム運用における安心を提供します。</v>
          </cell>
        </row>
        <row r="9289">
          <cell r="A9289" t="str">
            <v>H1HG3E</v>
          </cell>
          <cell r="B9289" t="str">
            <v>PC 24x7 4年 2530-24 2SFP Switch用</v>
          </cell>
          <cell r="C9289" t="str">
            <v>【HPEプロアクティブケア】メーカー推奨／低価格で国内専用窓口の高品質な保守により、システム運用における安心を提供します。</v>
          </cell>
        </row>
        <row r="9290">
          <cell r="A9290" t="str">
            <v>H1HJ6E</v>
          </cell>
          <cell r="B9290" t="str">
            <v>PC 24x7 5年 2530-24 2SFP Switch用</v>
          </cell>
          <cell r="C9290" t="str">
            <v>【HPEプロアクティブケア】メーカー推奨／低価格で国内専用窓口の高品質な保守により、システム運用における安心を提供します。</v>
          </cell>
        </row>
        <row r="9291">
          <cell r="A9291" t="str">
            <v>H1HL6PE</v>
          </cell>
          <cell r="B9291" t="str">
            <v>更新用PC 24x7 1年 2530-24 2SFP Switch用</v>
          </cell>
          <cell r="C9291" t="str">
            <v>【HPEプロアクティブケア】メーカー推奨／低価格で国内専用窓口の高品質な保守により、システム運用における安心を提供します。</v>
          </cell>
        </row>
        <row r="9292">
          <cell r="A9292" t="str">
            <v>H1HP1E</v>
          </cell>
          <cell r="B9292" t="str">
            <v>PC 24x7 3年 2530-24 PoE Switch用</v>
          </cell>
          <cell r="C9292" t="str">
            <v>【HPEプロアクティブケア】メーカー推奨／低価格で国内専用窓口の高品質な保守により、システム運用における安心を提供します。</v>
          </cell>
        </row>
        <row r="9293">
          <cell r="A9293" t="str">
            <v>H1HR4E</v>
          </cell>
          <cell r="B9293" t="str">
            <v>PC 24x7 4年 2530-24 PoE Switch用</v>
          </cell>
          <cell r="C9293" t="str">
            <v>【HPEプロアクティブケア】メーカー推奨／低価格で国内専用窓口の高品質な保守により、システム運用における安心を提供します。</v>
          </cell>
        </row>
        <row r="9294">
          <cell r="A9294" t="str">
            <v>H1HT7E</v>
          </cell>
          <cell r="B9294" t="str">
            <v>PC 24x7 5年 2530-24 PoE Switch用</v>
          </cell>
          <cell r="C9294" t="str">
            <v>【HPEプロアクティブケア】メーカー推奨／低価格で国内専用窓口の高品質な保守により、システム運用における安心を提供します。</v>
          </cell>
        </row>
        <row r="9295">
          <cell r="A9295" t="str">
            <v>H1HV7PE</v>
          </cell>
          <cell r="B9295" t="str">
            <v>更新用PC 24x7 1年 2530-24 PoE Switch用</v>
          </cell>
          <cell r="C9295" t="str">
            <v>【HPEプロアクティブケア】メーカー推奨／低価格で国内専用窓口の高品質な保守により、システム運用における安心を提供します。</v>
          </cell>
        </row>
        <row r="9296">
          <cell r="A9296" t="str">
            <v>H1HY2E</v>
          </cell>
          <cell r="B9296" t="str">
            <v>PC 24x7 3年 2530-24 PoE 2SFP Switch</v>
          </cell>
          <cell r="C9296" t="str">
            <v>【HPEプロアクティブケア】メーカー推奨／低価格で国内専用窓口の高品質な保守により、システム運用における安心を提供します。</v>
          </cell>
        </row>
        <row r="9297">
          <cell r="A9297" t="str">
            <v>H1JA5E</v>
          </cell>
          <cell r="B9297" t="str">
            <v>PC 24x7 4年 2530-24 PoE 2SFP Switch</v>
          </cell>
          <cell r="C9297" t="str">
            <v>【HPEプロアクティブケア】メーカー推奨／低価格で国内専用窓口の高品質な保守により、システム運用における安心を提供します。</v>
          </cell>
        </row>
        <row r="9298">
          <cell r="A9298" t="str">
            <v>H1JC8E</v>
          </cell>
          <cell r="B9298" t="str">
            <v>PC 24x7 5年 2530-24 PoE 2SFP Switch</v>
          </cell>
          <cell r="C9298" t="str">
            <v>【HPEプロアクティブケア】メーカー推奨／低価格で国内専用窓口の高品質な保守により、システム運用における安心を提供します。</v>
          </cell>
        </row>
        <row r="9299">
          <cell r="A9299" t="str">
            <v>H1JE8PE</v>
          </cell>
          <cell r="B9299" t="str">
            <v>更新用PC 24x7 1年2530-24 PoE 2SFP Switch</v>
          </cell>
          <cell r="C9299" t="str">
            <v>【HPEプロアクティブケア】メーカー推奨／低価格で国内専用窓口の高品質な保守により、システム運用における安心を提供します。</v>
          </cell>
        </row>
        <row r="9300">
          <cell r="A9300" t="str">
            <v>H1JH3E</v>
          </cell>
          <cell r="B9300" t="str">
            <v>PC 24x7 3年 2530-48 Switch用</v>
          </cell>
          <cell r="C9300" t="str">
            <v>【HPEプロアクティブケア】メーカー推奨／低価格で国内専用窓口の高品質な保守により、システム運用における安心を提供します。</v>
          </cell>
        </row>
        <row r="9301">
          <cell r="A9301" t="str">
            <v>H1JK6E</v>
          </cell>
          <cell r="B9301" t="str">
            <v>PC 24x7 4年 2530-48 Switch用</v>
          </cell>
          <cell r="C9301" t="str">
            <v>【HPEプロアクティブケア】メーカー推奨／低価格で国内専用窓口の高品質な保守により、システム運用における安心を提供します。</v>
          </cell>
        </row>
        <row r="9302">
          <cell r="A9302" t="str">
            <v>H1JM9E</v>
          </cell>
          <cell r="B9302" t="str">
            <v>PC 24x7 5年 2530-48 Switch用</v>
          </cell>
          <cell r="C9302" t="str">
            <v>【HPEプロアクティブケア】メーカー推奨／低価格で国内専用窓口の高品質な保守により、システム運用における安心を提供します。</v>
          </cell>
        </row>
        <row r="9303">
          <cell r="A9303" t="str">
            <v>H1JP9PE</v>
          </cell>
          <cell r="B9303" t="str">
            <v>更新用PC 24x7 1年 2530-48 Switch用</v>
          </cell>
          <cell r="C9303" t="str">
            <v>【HPEプロアクティブケア】メーカー推奨／低価格で国内専用窓口の高品質な保守により、システム運用における安心を提供します。</v>
          </cell>
        </row>
        <row r="9304">
          <cell r="A9304" t="str">
            <v>H1JS4E</v>
          </cell>
          <cell r="B9304" t="str">
            <v>PC 24x7 3年 2530-48 2SFP Switch用</v>
          </cell>
          <cell r="C9304" t="str">
            <v>【HPEプロアクティブケア】メーカー推奨／低価格で国内専用窓口の高品質な保守により、システム運用における安心を提供します。</v>
          </cell>
        </row>
        <row r="9305">
          <cell r="A9305" t="str">
            <v>H1JU7E</v>
          </cell>
          <cell r="B9305" t="str">
            <v>PC 24x7 4年 2530-48 2SFP Switch用</v>
          </cell>
          <cell r="C9305" t="str">
            <v>【HPEプロアクティブケア】メーカー推奨／低価格で国内専用窓口の高品質な保守により、システム運用における安心を提供します。</v>
          </cell>
        </row>
        <row r="9306">
          <cell r="A9306" t="str">
            <v>H1JX0E</v>
          </cell>
          <cell r="B9306" t="str">
            <v>PC 24x7 5年 2530-48 2SFP Switch用</v>
          </cell>
          <cell r="C9306" t="str">
            <v>【HPEプロアクティブケア】メーカー推奨／低価格で国内専用窓口の高品質な保守により、システム運用における安心を提供します。</v>
          </cell>
        </row>
        <row r="9307">
          <cell r="A9307" t="str">
            <v>H1JZ0PE</v>
          </cell>
          <cell r="B9307" t="str">
            <v>更新用PC 24x7 1年 2530-48 2SFP Switch用</v>
          </cell>
          <cell r="C9307" t="str">
            <v>【HPEプロアクティブケア】メーカー推奨／低価格で国内専用窓口の高品質な保守により、システム運用における安心を提供します。</v>
          </cell>
        </row>
        <row r="9308">
          <cell r="A9308" t="str">
            <v>H1KB5E</v>
          </cell>
          <cell r="B9308" t="str">
            <v>PC 24x7 3年 2530-48 PoE Switch用</v>
          </cell>
          <cell r="C9308" t="str">
            <v>【HPEプロアクティブケア】メーカー推奨／低価格で国内専用窓口の高品質な保守により、システム運用における安心を提供します。</v>
          </cell>
        </row>
        <row r="9309">
          <cell r="A9309" t="str">
            <v>H1KD8E</v>
          </cell>
          <cell r="B9309" t="str">
            <v>PC 24x7 4年 2530-48 PoE Switch用</v>
          </cell>
          <cell r="C9309" t="str">
            <v>【HPEプロアクティブケア】メーカー推奨／低価格で国内専用窓口の高品質な保守により、システム運用における安心を提供します。</v>
          </cell>
        </row>
        <row r="9310">
          <cell r="A9310" t="str">
            <v>H1KG1E</v>
          </cell>
          <cell r="B9310" t="str">
            <v>PC 24x7 5年 2530-48 PoE Switch用</v>
          </cell>
          <cell r="C9310" t="str">
            <v>【HPEプロアクティブケア】メーカー推奨／低価格で国内専用窓口の高品質な保守により、システム運用における安心を提供します。</v>
          </cell>
        </row>
        <row r="9311">
          <cell r="A9311" t="str">
            <v>H1KJ1PE</v>
          </cell>
          <cell r="B9311" t="str">
            <v>更新用PC 24x7 1年 2530-48 PoE Switch用</v>
          </cell>
          <cell r="C9311" t="str">
            <v>【HPEプロアクティブケア】メーカー推奨／低価格で国内専用窓口の高品質な保守により、システム運用における安心を提供します。</v>
          </cell>
        </row>
        <row r="9312">
          <cell r="A9312" t="str">
            <v>H1KL6E</v>
          </cell>
          <cell r="B9312" t="str">
            <v>PC 24x7 3年 2530-48 PoE 2SFP Switch</v>
          </cell>
          <cell r="C9312" t="str">
            <v>【HPEプロアクティブケア】メーカー推奨／低価格で国内専用窓口の高品質な保守により、システム運用における安心を提供します。</v>
          </cell>
        </row>
        <row r="9313">
          <cell r="A9313" t="str">
            <v>H1KN9E</v>
          </cell>
          <cell r="B9313" t="str">
            <v>PC 24x7 4年 2530-48 PoE 2SFP Switch</v>
          </cell>
          <cell r="C9313" t="str">
            <v>【HPEプロアクティブケア】メーカー推奨／低価格で国内専用窓口の高品質な保守により、システム運用における安心を提供します。</v>
          </cell>
        </row>
        <row r="9314">
          <cell r="A9314" t="str">
            <v>H1KR2E</v>
          </cell>
          <cell r="B9314" t="str">
            <v>PC 24x7 5年 2530-48 PoE 2SFP Switch</v>
          </cell>
          <cell r="C9314" t="str">
            <v>【HPEプロアクティブケア】メーカー推奨／低価格で国内専用窓口の高品質な保守により、システム運用における安心を提供します。</v>
          </cell>
        </row>
        <row r="9315">
          <cell r="A9315" t="str">
            <v>H1KT2PE</v>
          </cell>
          <cell r="B9315" t="str">
            <v>更新用PC 24x7 1年2530-48 PoE 2SFP Switch</v>
          </cell>
          <cell r="C9315" t="str">
            <v>【HPEプロアクティブケア】メーカー推奨／低価格で国内専用窓口の高品質な保守により、システム運用における安心を提供します。</v>
          </cell>
        </row>
        <row r="9316">
          <cell r="A9316" t="str">
            <v>H1KV7E</v>
          </cell>
          <cell r="B9316" t="str">
            <v>PC 24x7 3年 2920-24 Switch用</v>
          </cell>
          <cell r="C9316" t="str">
            <v>【HPEプロアクティブケア】メーカー推奨／低価格で国内専用窓口の高品質な保守により、システム運用における安心を提供します。</v>
          </cell>
        </row>
        <row r="9317">
          <cell r="A9317" t="str">
            <v>H1KY0E</v>
          </cell>
          <cell r="B9317" t="str">
            <v>PC 24x7 4年 2920-24 Switch用</v>
          </cell>
          <cell r="C9317" t="str">
            <v>【HPEプロアクティブケア】メーカー推奨／低価格で国内専用窓口の高品質な保守により、システム運用における安心を提供します。</v>
          </cell>
        </row>
        <row r="9318">
          <cell r="A9318" t="str">
            <v>H1LA3E</v>
          </cell>
          <cell r="B9318" t="str">
            <v>PC 24x7 5年 2920-24 Switch用</v>
          </cell>
          <cell r="C9318" t="str">
            <v>【HPEプロアクティブケア】メーカー推奨／低価格で国内専用窓口の高品質な保守により、システム運用における安心を提供します。</v>
          </cell>
        </row>
        <row r="9319">
          <cell r="A9319" t="str">
            <v>H1LC3PE</v>
          </cell>
          <cell r="B9319" t="str">
            <v>更新用PC 24x7 1年 2920-24 Switch用</v>
          </cell>
          <cell r="C9319" t="str">
            <v>【HPEプロアクティブケア】メーカー推奨／低価格で国内専用窓口の高品質な保守により、システム運用における安心を提供します。</v>
          </cell>
        </row>
        <row r="9320">
          <cell r="A9320" t="str">
            <v>H1LE8E</v>
          </cell>
          <cell r="B9320" t="str">
            <v>PC 24x7 3年 2920-24 PoE Switch用</v>
          </cell>
          <cell r="C9320" t="str">
            <v>【HPEプロアクティブケア】メーカー推奨／低価格で国内専用窓口の高品質な保守により、システム運用における安心を提供します。</v>
          </cell>
        </row>
        <row r="9321">
          <cell r="A9321" t="str">
            <v>H1LH1E</v>
          </cell>
          <cell r="B9321" t="str">
            <v>PC 24x7 4年 2920-24 PoE Switch用</v>
          </cell>
          <cell r="C9321" t="str">
            <v>【HPEプロアクティブケア】メーカー推奨／低価格で国内専用窓口の高品質な保守により、システム運用における安心を提供します。</v>
          </cell>
        </row>
        <row r="9322">
          <cell r="A9322" t="str">
            <v>H1LK4E</v>
          </cell>
          <cell r="B9322" t="str">
            <v>PC 24x7 5年 2920-24 PoE Switch用</v>
          </cell>
          <cell r="C9322" t="str">
            <v>【HPEプロアクティブケア】メーカー推奨／低価格で国内専用窓口の高品質な保守により、システム運用における安心を提供します。</v>
          </cell>
        </row>
        <row r="9323">
          <cell r="A9323" t="str">
            <v>H1LM4PE</v>
          </cell>
          <cell r="B9323" t="str">
            <v>更新用PC 24x7 1年 2920-24 PoE Switch用</v>
          </cell>
          <cell r="C9323" t="str">
            <v>【HPEプロアクティブケア】メーカー推奨／低価格で国内専用窓口の高品質な保守により、システム運用における安心を提供します。</v>
          </cell>
        </row>
        <row r="9324">
          <cell r="A9324" t="str">
            <v>H1LP9E</v>
          </cell>
          <cell r="B9324" t="str">
            <v>PC 24x7 3年 2920-48 Switch用</v>
          </cell>
          <cell r="C9324" t="str">
            <v>【HPEプロアクティブケア】メーカー推奨／低価格で国内専用窓口の高品質な保守により、システム運用における安心を提供します。</v>
          </cell>
        </row>
        <row r="9325">
          <cell r="A9325" t="str">
            <v>H1LS2E</v>
          </cell>
          <cell r="B9325" t="str">
            <v>PC 24x7 4年 2920-48 Switch用</v>
          </cell>
          <cell r="C9325" t="str">
            <v>【HPEプロアクティブケア】メーカー推奨／低価格で国内専用窓口の高品質な保守により、システム運用における安心を提供します。</v>
          </cell>
        </row>
        <row r="9326">
          <cell r="A9326" t="str">
            <v>H1LU5E</v>
          </cell>
          <cell r="B9326" t="str">
            <v>PC 24x7 5年 2920-48 Switch用</v>
          </cell>
          <cell r="C9326" t="str">
            <v>【HPEプロアクティブケア】メーカー推奨／低価格で国内専用窓口の高品質な保守により、システム運用における安心を提供します。</v>
          </cell>
        </row>
        <row r="9327">
          <cell r="A9327" t="str">
            <v>H1LW5PE</v>
          </cell>
          <cell r="B9327" t="str">
            <v>更新用PC 24x7 1年 2920-48 Switch用</v>
          </cell>
          <cell r="C9327" t="str">
            <v>【HPEプロアクティブケア】メーカー推奨／低価格で国内専用窓口の高品質な保守により、システム運用における安心を提供します。</v>
          </cell>
        </row>
        <row r="9328">
          <cell r="A9328" t="str">
            <v>H1LZ0E</v>
          </cell>
          <cell r="B9328" t="str">
            <v>PC 24x7 3年 2920-48 PoE Switch用</v>
          </cell>
          <cell r="C9328" t="str">
            <v>【HPEプロアクティブケア】メーカー推奨／低価格で国内専用窓口の高品質な保守により、システム運用における安心を提供します。</v>
          </cell>
        </row>
        <row r="9329">
          <cell r="A9329" t="str">
            <v>H1MB3E</v>
          </cell>
          <cell r="B9329" t="str">
            <v>PC 24x7 4年 2920-48 PoE Switch用</v>
          </cell>
          <cell r="C9329" t="str">
            <v>【HPEプロアクティブケア】メーカー推奨／低価格で国内専用窓口の高品質な保守により、システム運用における安心を提供します。</v>
          </cell>
        </row>
        <row r="9330">
          <cell r="A9330" t="str">
            <v>H1MD6E</v>
          </cell>
          <cell r="B9330" t="str">
            <v>PC 24x7 5年 2920-48 PoE Switch用</v>
          </cell>
          <cell r="C9330" t="str">
            <v>【HPEプロアクティブケア】メーカー推奨／低価格で国内専用窓口の高品質な保守により、システム運用における安心を提供します。</v>
          </cell>
        </row>
        <row r="9331">
          <cell r="A9331" t="str">
            <v>H1MF6PE</v>
          </cell>
          <cell r="B9331" t="str">
            <v>更新用PC 24x7 1年 2920-48 PoE Switch用</v>
          </cell>
          <cell r="C9331" t="str">
            <v>【HPEプロアクティブケア】メーカー推奨／低価格で国内専用窓口の高品質な保守により、システム運用における安心を提供します。</v>
          </cell>
        </row>
        <row r="9332">
          <cell r="A9332" t="str">
            <v>H1MT2E</v>
          </cell>
          <cell r="B9332" t="str">
            <v>PC 24x7 3年 Aruba 5406R Switch用</v>
          </cell>
          <cell r="C9332" t="str">
            <v>【HPEプロアクティブケア】メーカー推奨／低価格で国内専用窓口の高品質な保守により、システム運用における安心を提供します。</v>
          </cell>
        </row>
        <row r="9333">
          <cell r="A9333" t="str">
            <v>H1MV5E</v>
          </cell>
          <cell r="B9333" t="str">
            <v>PC 24x7 4年 Aruba 5406R Switch用</v>
          </cell>
          <cell r="C9333" t="str">
            <v>【HPEプロアクティブケア】メーカー推奨／低価格で国内専用窓口の高品質な保守により、システム運用における安心を提供します。</v>
          </cell>
        </row>
        <row r="9334">
          <cell r="A9334" t="str">
            <v>H1MX8E</v>
          </cell>
          <cell r="B9334" t="str">
            <v>PC 24x7 5年 Aruba 5406R Switch用</v>
          </cell>
          <cell r="C9334" t="str">
            <v>【HPEプロアクティブケア】メーカー推奨／低価格で国内専用窓口の高品質な保守により、システム運用における安心を提供します。</v>
          </cell>
        </row>
        <row r="9335">
          <cell r="A9335" t="str">
            <v>H1MZ8PE</v>
          </cell>
          <cell r="B9335" t="str">
            <v>更新用PC 24x7 1年 Aruba 5406R Switch用</v>
          </cell>
          <cell r="C9335" t="str">
            <v>【HPEプロアクティブケア】メーカー推奨／低価格で国内専用窓口の高品質な保守により、システム運用における安心を提供します。</v>
          </cell>
        </row>
        <row r="9336">
          <cell r="A9336" t="str">
            <v>H1NC3E</v>
          </cell>
          <cell r="B9336" t="str">
            <v>PC 24x7 3年 Aruba 5412R Switch用</v>
          </cell>
          <cell r="C9336" t="str">
            <v>【HPEプロアクティブケア】メーカー推奨／低価格で国内専用窓口の高品質な保守により、システム運用における安心を提供します。</v>
          </cell>
        </row>
        <row r="9337">
          <cell r="A9337" t="str">
            <v>H1NE6E</v>
          </cell>
          <cell r="B9337" t="str">
            <v>PC 24x7 4年 Aruba 5412R Switch用</v>
          </cell>
          <cell r="C9337" t="str">
            <v>【HPEプロアクティブケア】メーカー推奨／低価格で国内専用窓口の高品質な保守により、システム運用における安心を提供します。</v>
          </cell>
        </row>
        <row r="9338">
          <cell r="A9338" t="str">
            <v>H1NG9E</v>
          </cell>
          <cell r="B9338" t="str">
            <v>PC 24x7 5年 Aruba 5412R Switch用</v>
          </cell>
          <cell r="C9338" t="str">
            <v>【HPEプロアクティブケア】メーカー推奨／低価格で国内専用窓口の高品質な保守により、システム運用における安心を提供します。</v>
          </cell>
        </row>
        <row r="9339">
          <cell r="A9339" t="str">
            <v>H1NJ9PE</v>
          </cell>
          <cell r="B9339" t="str">
            <v>更新用PC 24x7 1年 Aruba 5412R Switch用</v>
          </cell>
          <cell r="C9339" t="str">
            <v>【HPEプロアクティブケア】メーカー推奨／低価格で国内専用窓口の高品質な保守により、システム運用における安心を提供します。</v>
          </cell>
        </row>
        <row r="9340">
          <cell r="A9340" t="str">
            <v>H1TQ9E</v>
          </cell>
          <cell r="B9340" t="str">
            <v>PC 24x7 3年 2930M 24G Switch用</v>
          </cell>
          <cell r="C9340" t="str">
            <v>【HPEプロアクティブケア】メーカー推奨／低価格で国内専用窓口の高品質な保守により、システム運用における安心を提供します。</v>
          </cell>
        </row>
        <row r="9341">
          <cell r="A9341" t="str">
            <v>H1TT2E</v>
          </cell>
          <cell r="B9341" t="str">
            <v>PC 24x7 4年 2930M 24G Switch用</v>
          </cell>
          <cell r="C9341" t="str">
            <v>【HPEプロアクティブケア】メーカー推奨／低価格で国内専用窓口の高品質な保守により、システム運用における安心を提供します。</v>
          </cell>
        </row>
        <row r="9342">
          <cell r="A9342" t="str">
            <v>H1TV5E</v>
          </cell>
          <cell r="B9342" t="str">
            <v>PC 24x7 5年 2930M 24G Switch用</v>
          </cell>
          <cell r="C9342" t="str">
            <v>【HPEプロアクティブケア】メーカー推奨／低価格で国内専用窓口の高品質な保守により、システム運用における安心を提供します。</v>
          </cell>
        </row>
        <row r="9343">
          <cell r="A9343" t="str">
            <v>H1TX5PE</v>
          </cell>
          <cell r="B9343" t="str">
            <v>更新用 PC 24x7 1年 2930M 24G Switch用</v>
          </cell>
          <cell r="C9343" t="str">
            <v>【HPEプロアクティブケア】メーカー推奨／低価格で国内専用窓口の高品質な保守により、システム運用における安心を提供します。</v>
          </cell>
        </row>
        <row r="9344">
          <cell r="A9344" t="str">
            <v>H1UA0E</v>
          </cell>
          <cell r="B9344" t="str">
            <v>PC 24x7 3年 2930M 24G PoE Switch用</v>
          </cell>
          <cell r="C9344" t="str">
            <v>【HPEプロアクティブケア】メーカー推奨／低価格で国内専用窓口の高品質な保守により、システム運用における安心を提供します。</v>
          </cell>
        </row>
        <row r="9345">
          <cell r="A9345" t="str">
            <v>H1UC3E</v>
          </cell>
          <cell r="B9345" t="str">
            <v>PC 24x7 4年 2930M 24G PoE Switch用</v>
          </cell>
          <cell r="C9345" t="str">
            <v>【HPEプロアクティブケア】メーカー推奨／低価格で国内専用窓口の高品質な保守により、システム運用における安心を提供します。</v>
          </cell>
        </row>
        <row r="9346">
          <cell r="A9346" t="str">
            <v>H1UE6E</v>
          </cell>
          <cell r="B9346" t="str">
            <v>PC 24x7 5年 2930M 24G PoE Switch用</v>
          </cell>
          <cell r="C9346" t="str">
            <v>【HPEプロアクティブケア】メーカー推奨／低価格で国内専用窓口の高品質な保守により、システム運用における安心を提供します。</v>
          </cell>
        </row>
        <row r="9347">
          <cell r="A9347" t="str">
            <v>H1XL7E</v>
          </cell>
          <cell r="B9347" t="str">
            <v>PC 24x7 3年 2930F-24G 4SFP用</v>
          </cell>
          <cell r="C9347" t="str">
            <v>【HPEプロアクティブケア】メーカー推奨／低価格で国内専用窓口の高品質な保守により、システム運用における安心を提供します。</v>
          </cell>
        </row>
        <row r="9348">
          <cell r="A9348" t="str">
            <v>H1XP0E</v>
          </cell>
          <cell r="B9348" t="str">
            <v>PC 24x7 4年 2930F-24G 4SFP用</v>
          </cell>
          <cell r="C9348" t="str">
            <v>【HPEプロアクティブケア】メーカー推奨／低価格で国内専用窓口の高品質な保守により、システム運用における安心を提供します。</v>
          </cell>
        </row>
        <row r="9349">
          <cell r="A9349" t="str">
            <v>H1XR3E</v>
          </cell>
          <cell r="B9349" t="str">
            <v>PC 24x7 5年 2930F-24G 4SFP用</v>
          </cell>
          <cell r="C9349" t="str">
            <v>【HPEプロアクティブケア】メーカー推奨／低価格で国内専用窓口の高品質な保守により、システム運用における安心を提供します。</v>
          </cell>
        </row>
        <row r="9350">
          <cell r="A9350" t="str">
            <v>H1XT3PE</v>
          </cell>
          <cell r="B9350" t="str">
            <v>更新用 PC 24x7 1年 2930F-24G 4SFP用</v>
          </cell>
          <cell r="C9350" t="str">
            <v>【HPEプロアクティブケア】メーカー推奨／低価格で国内専用窓口の高品質な保守により、システム運用における安心を提供します。</v>
          </cell>
        </row>
        <row r="9351">
          <cell r="A9351" t="str">
            <v>H1XV9E</v>
          </cell>
          <cell r="B9351" t="str">
            <v>PC 24x7 3年 2930F-24G 4SFP+用</v>
          </cell>
          <cell r="C9351" t="str">
            <v>【HPEプロアクティブケア】メーカー推奨／低価格で国内専用窓口の高品質な保守により、システム運用における安心を提供します。</v>
          </cell>
        </row>
        <row r="9352">
          <cell r="A9352" t="str">
            <v>H1XY2E</v>
          </cell>
          <cell r="B9352" t="str">
            <v>PC 24x7 4年 2930F-24G 4SFP+用</v>
          </cell>
          <cell r="C9352" t="str">
            <v>【HPEプロアクティブケア】メーカー推奨／低価格で国内専用窓口の高品質な保守により、システム運用における安心を提供します。</v>
          </cell>
        </row>
        <row r="9353">
          <cell r="A9353" t="str">
            <v>H1YA5E</v>
          </cell>
          <cell r="B9353" t="str">
            <v>PC 24x7 5年 2930F-24G 4SFP+用</v>
          </cell>
          <cell r="C9353" t="str">
            <v>【HPEプロアクティブケア】メーカー推奨／低価格で国内専用窓口の高品質な保守により、システム運用における安心を提供します。</v>
          </cell>
        </row>
        <row r="9354">
          <cell r="A9354" t="str">
            <v>H1YC5PE</v>
          </cell>
          <cell r="B9354" t="str">
            <v>更新用 PC 24x7 1年 2930F-24G 4SFP+用</v>
          </cell>
          <cell r="C9354" t="str">
            <v>【HPEプロアクティブケア】メーカー推奨／低価格で国内専用窓口の高品質な保守により、システム運用における安心を提供します。</v>
          </cell>
        </row>
        <row r="9355">
          <cell r="A9355" t="str">
            <v>H1YF1E</v>
          </cell>
          <cell r="B9355" t="str">
            <v>PC 24x7 3年 2930F-24G PoE+ 4SFP用</v>
          </cell>
          <cell r="C9355" t="str">
            <v>【HPEプロアクティブケア】メーカー推奨／低価格で国内専用窓口の高品質な保守により、システム運用における安心を提供します。</v>
          </cell>
        </row>
        <row r="9356">
          <cell r="A9356" t="str">
            <v>H1YH4E</v>
          </cell>
          <cell r="B9356" t="str">
            <v>PC 24x7 4年 2930F-24G PoE+ 4SFP用</v>
          </cell>
          <cell r="C9356" t="str">
            <v>【HPEプロアクティブケア】メーカー推奨／低価格で国内専用窓口の高品質な保守により、システム運用における安心を提供します。</v>
          </cell>
        </row>
        <row r="9357">
          <cell r="A9357" t="str">
            <v>H1YK7E</v>
          </cell>
          <cell r="B9357" t="str">
            <v>PC 24x7 5年 2930F-24G PoE+ 4SFP用</v>
          </cell>
          <cell r="C9357" t="str">
            <v>【HPEプロアクティブケア】メーカー推奨／低価格で国内専用窓口の高品質な保守により、システム運用における安心を提供します。</v>
          </cell>
        </row>
        <row r="9358">
          <cell r="A9358" t="str">
            <v>H1YM7PE</v>
          </cell>
          <cell r="B9358" t="str">
            <v>更新用 PC 24x7 1年 2930F-24G PoE+ 4SFP用</v>
          </cell>
          <cell r="C9358" t="str">
            <v>【HPEプロアクティブケア】メーカー推奨／低価格で国内専用窓口の高品質な保守により、システム運用における安心を提供します。</v>
          </cell>
        </row>
        <row r="9359">
          <cell r="A9359" t="str">
            <v>H1YQ3E</v>
          </cell>
          <cell r="B9359" t="str">
            <v>PC 24x7 3年 2930F-24G PoE+ 4SFP+用</v>
          </cell>
          <cell r="C9359" t="str">
            <v>【HPEプロアクティブケア】メーカー推奨／低価格で国内専用窓口の高品質な保守により、システム運用における安心を提供します。</v>
          </cell>
        </row>
        <row r="9360">
          <cell r="A9360" t="str">
            <v>H1YS6E</v>
          </cell>
          <cell r="B9360" t="str">
            <v>PC 24x7 4年 2930F-24G PoE+ 4SFP+用</v>
          </cell>
          <cell r="C9360" t="str">
            <v>【HPEプロアクティブケア】メーカー推奨／低価格で国内専用窓口の高品質な保守により、システム運用における安心を提供します。</v>
          </cell>
        </row>
        <row r="9361">
          <cell r="A9361" t="str">
            <v>H1YU9E</v>
          </cell>
          <cell r="B9361" t="str">
            <v>PC 24x7 5年 2930F-24G PoE+ 4SFP+用</v>
          </cell>
          <cell r="C9361" t="str">
            <v>【HPEプロアクティブケア】メーカー推奨／低価格で国内専用窓口の高品質な保守により、システム運用における安心を提供します。</v>
          </cell>
        </row>
        <row r="9362">
          <cell r="A9362" t="str">
            <v>H1YW9PE</v>
          </cell>
          <cell r="B9362" t="str">
            <v>更新用 PC 24x7 1年 2930F-24G PoE+ 4SFP+</v>
          </cell>
          <cell r="C9362" t="str">
            <v>【HPEプロアクティブケア】メーカー推奨／低価格で国内専用窓口の高品質な保守により、システム運用における安心を提供します。</v>
          </cell>
        </row>
        <row r="9363">
          <cell r="A9363" t="str">
            <v>H1ZJ7E</v>
          </cell>
          <cell r="B9363" t="str">
            <v>PC 24x7 3年 2930F-48G 4SFP用</v>
          </cell>
          <cell r="C9363" t="str">
            <v>【HPEプロアクティブケア】メーカー推奨／低価格で国内専用窓口の高品質な保守により、システム運用における安心を提供します。</v>
          </cell>
        </row>
        <row r="9364">
          <cell r="A9364" t="str">
            <v>H1ZM0E</v>
          </cell>
          <cell r="B9364" t="str">
            <v>PC 24x7 4年 2930F-48G 4SFP用</v>
          </cell>
          <cell r="C9364" t="str">
            <v>【HPEプロアクティブケア】メーカー推奨／低価格で国内専用窓口の高品質な保守により、システム運用における安心を提供します。</v>
          </cell>
        </row>
        <row r="9365">
          <cell r="A9365" t="str">
            <v>H1ZP3E</v>
          </cell>
          <cell r="B9365" t="str">
            <v>PC 24x7 5年 2930F-48G 4SFP用</v>
          </cell>
          <cell r="C9365" t="str">
            <v>【HPEプロアクティブケア】メーカー推奨／低価格で国内専用窓口の高品質な保守により、システム運用における安心を提供します。</v>
          </cell>
        </row>
        <row r="9366">
          <cell r="A9366" t="str">
            <v>H1ZR3PE</v>
          </cell>
          <cell r="B9366" t="str">
            <v>更新用 PC 24x7 1年 2930F-48G 4SFP用</v>
          </cell>
          <cell r="C9366" t="str">
            <v>【HPEプロアクティブケア】メーカー推奨／低価格で国内専用窓口の高品質な保守により、システム運用における安心を提供します。</v>
          </cell>
        </row>
        <row r="9367">
          <cell r="A9367" t="str">
            <v>H1ZT9E</v>
          </cell>
          <cell r="B9367" t="str">
            <v>PC 24x7 3年 2930F-48G 4SFP+用</v>
          </cell>
          <cell r="C9367" t="str">
            <v>【HPEプロアクティブケア】メーカー推奨／低価格で国内専用窓口の高品質な保守により、システム運用における安心を提供します。</v>
          </cell>
        </row>
        <row r="9368">
          <cell r="A9368" t="str">
            <v>H1ZW2E</v>
          </cell>
          <cell r="B9368" t="str">
            <v>PC 24x7 4年 2930F-48G 4SFP+用</v>
          </cell>
          <cell r="C9368" t="str">
            <v>【HPEプロアクティブケア】メーカー推奨／低価格で国内専用窓口の高品質な保守により、システム運用における安心を提供します。</v>
          </cell>
        </row>
        <row r="9369">
          <cell r="A9369" t="str">
            <v>H1ZY5E</v>
          </cell>
          <cell r="B9369" t="str">
            <v>PC 24x7 5年 2930F-48G 4SFP+用</v>
          </cell>
          <cell r="C9369" t="str">
            <v>【HPEプロアクティブケア】メーカー推奨／低価格で国内専用窓口の高品質な保守により、システム運用における安心を提供します。</v>
          </cell>
        </row>
        <row r="9370">
          <cell r="A9370" t="str">
            <v>H2AA5PE</v>
          </cell>
          <cell r="B9370" t="str">
            <v>更新用 PC 24x7 1年 2930F-48G 4SFP+用</v>
          </cell>
          <cell r="C9370" t="str">
            <v>【HPEプロアクティブケア】メーカー推奨／低価格で国内専用窓口の高品質な保守により、システム運用における安心を提供します。</v>
          </cell>
        </row>
        <row r="9371">
          <cell r="A9371" t="str">
            <v>H2AD1E</v>
          </cell>
          <cell r="B9371" t="str">
            <v>PC 24x7 3年 2930F-48G PoE+ 4SFP用</v>
          </cell>
          <cell r="C9371" t="str">
            <v>【HPEプロアクティブケア】メーカー推奨／低価格で国内専用窓口の高品質な保守により、システム運用における安心を提供します。</v>
          </cell>
        </row>
        <row r="9372">
          <cell r="A9372" t="str">
            <v>H2AF4E</v>
          </cell>
          <cell r="B9372" t="str">
            <v>PC 24x7 4年 2930F-48G PoE+ 4SFP用</v>
          </cell>
          <cell r="C9372" t="str">
            <v>【HPEプロアクティブケア】メーカー推奨／低価格で国内専用窓口の高品質な保守により、システム運用における安心を提供します。</v>
          </cell>
        </row>
        <row r="9373">
          <cell r="A9373" t="str">
            <v>H2AH7E</v>
          </cell>
          <cell r="B9373" t="str">
            <v>PC 24x7 5年 2930F-48G PoE+ 4SFP用</v>
          </cell>
          <cell r="C9373" t="str">
            <v>【HPEプロアクティブケア】メーカー推奨／低価格で国内専用窓口の高品質な保守により、システム運用における安心を提供します。</v>
          </cell>
        </row>
        <row r="9374">
          <cell r="A9374" t="str">
            <v>H2AK7PE</v>
          </cell>
          <cell r="B9374" t="str">
            <v>更新用 PC 24x7 1年 2930F-48G PoE+ 4SFP用</v>
          </cell>
          <cell r="C9374" t="str">
            <v>【HPEプロアクティブケア】メーカー推奨／低価格で国内専用窓口の高品質な保守により、システム運用における安心を提供します。</v>
          </cell>
        </row>
        <row r="9375">
          <cell r="A9375" t="str">
            <v>H2AN3E</v>
          </cell>
          <cell r="B9375" t="str">
            <v>PC 24x7 3年 2930F-48G PoE+ 4SFP+用</v>
          </cell>
          <cell r="C9375" t="str">
            <v>【HPEプロアクティブケア】メーカー推奨／低価格で国内専用窓口の高品質な保守により、システム運用における安心を提供します。</v>
          </cell>
        </row>
        <row r="9376">
          <cell r="A9376" t="str">
            <v>H2AQ6E</v>
          </cell>
          <cell r="B9376" t="str">
            <v>PC 24x7 4年 2930F-48G PoE+ 4SFP+用</v>
          </cell>
          <cell r="C9376" t="str">
            <v>【HPEプロアクティブケア】メーカー推奨／低価格で国内専用窓口の高品質な保守により、システム運用における安心を提供します。</v>
          </cell>
        </row>
        <row r="9377">
          <cell r="A9377" t="str">
            <v>H2AS9E</v>
          </cell>
          <cell r="B9377" t="str">
            <v>PC 24x7 5年 2930F-48G PoE+ 4SFP+用</v>
          </cell>
          <cell r="C9377" t="str">
            <v>【HPEプロアクティブケア】メーカー推奨／低価格で国内専用窓口の高品質な保守により、システム運用における安心を提供します。</v>
          </cell>
        </row>
        <row r="9378">
          <cell r="A9378" t="str">
            <v>H2AU9PE</v>
          </cell>
          <cell r="B9378" t="str">
            <v>更新用 PC 24x7 1年 2930F-48G PoE+ 4SFP+</v>
          </cell>
          <cell r="C9378" t="str">
            <v>【HPEプロアクティブケア】メーカー推奨／低価格で国内専用窓口の高品質な保守により、システム運用における安心を提供します。</v>
          </cell>
        </row>
        <row r="9379">
          <cell r="A9379" t="str">
            <v>H2BG7E</v>
          </cell>
          <cell r="B9379" t="str">
            <v>PC 24x7 3年 2930F-8G PoE+ 2SFP+用</v>
          </cell>
          <cell r="C9379" t="str">
            <v>【HPEプロアクティブケア】メーカー推奨／低価格で国内専用窓口の高品質な保守により、システム運用における安心を提供します。</v>
          </cell>
        </row>
        <row r="9380">
          <cell r="A9380" t="str">
            <v>H2BK0E</v>
          </cell>
          <cell r="B9380" t="str">
            <v>PC 24x7 4年 2930F-8G PoE+ 2SFP+用</v>
          </cell>
          <cell r="C9380" t="str">
            <v>【HPEプロアクティブケア】メーカー推奨／低価格で国内専用窓口の高品質な保守により、システム運用における安心を提供します。</v>
          </cell>
        </row>
        <row r="9381">
          <cell r="A9381" t="str">
            <v>H2BM3E</v>
          </cell>
          <cell r="B9381" t="str">
            <v>PC 24x7 5年 2930F-8G PoE+ 2SFP+用</v>
          </cell>
          <cell r="C9381" t="str">
            <v>【HPEプロアクティブケア】メーカー推奨／低価格で国内専用窓口の高品質な保守により、システム運用における安心を提供します。</v>
          </cell>
        </row>
        <row r="9382">
          <cell r="A9382" t="str">
            <v>H2BQ2PE</v>
          </cell>
          <cell r="B9382" t="str">
            <v>更新用 PC 24x7 1年 2930M 24G PoE Switch</v>
          </cell>
          <cell r="C9382" t="str">
            <v>【HPEプロアクティブケア】メーカー推奨／低価格で国内専用窓口の高品質な保守により、システム運用における安心を提供します。</v>
          </cell>
        </row>
        <row r="9383">
          <cell r="A9383" t="str">
            <v>H2BS7E</v>
          </cell>
          <cell r="B9383" t="str">
            <v>PC 24x7 3年 2930M 48G Switch用</v>
          </cell>
          <cell r="C9383" t="str">
            <v>【HPEプロアクティブケア】メーカー推奨／低価格で国内専用窓口の高品質な保守により、システム運用における安心を提供します。</v>
          </cell>
        </row>
        <row r="9384">
          <cell r="A9384" t="str">
            <v>H2BV0E</v>
          </cell>
          <cell r="B9384" t="str">
            <v>PC 24x7 4年 2930M 48G Switch用</v>
          </cell>
          <cell r="C9384" t="str">
            <v>【HPEプロアクティブケア】メーカー推奨／低価格で国内専用窓口の高品質な保守により、システム運用における安心を提供します。</v>
          </cell>
        </row>
        <row r="9385">
          <cell r="A9385" t="str">
            <v>H2BX3E</v>
          </cell>
          <cell r="B9385" t="str">
            <v>PC 24x7 5年 2930M 48G Switch用</v>
          </cell>
          <cell r="C9385" t="str">
            <v>【HPEプロアクティブケア】メーカー推奨／低価格で国内専用窓口の高品質な保守により、システム運用における安心を提供します。</v>
          </cell>
        </row>
        <row r="9386">
          <cell r="A9386" t="str">
            <v>H2BZ3PE</v>
          </cell>
          <cell r="B9386" t="str">
            <v>更新用 PC 24x7 1年 2930M 48G Switch用</v>
          </cell>
          <cell r="C9386" t="str">
            <v>【HPEプロアクティブケア】メーカー推奨／低価格で国内専用窓口の高品質な保守により、システム運用における安心を提供します。</v>
          </cell>
        </row>
        <row r="9387">
          <cell r="A9387" t="str">
            <v>H2CB8E</v>
          </cell>
          <cell r="B9387" t="str">
            <v>PC 24x7 3年 2930M 48G PoE Switch用</v>
          </cell>
          <cell r="C9387" t="str">
            <v>【HPEプロアクティブケア】メーカー推奨／低価格で国内専用窓口の高品質な保守により、システム運用における安心を提供します。</v>
          </cell>
        </row>
        <row r="9388">
          <cell r="A9388" t="str">
            <v>H2CE1E</v>
          </cell>
          <cell r="B9388" t="str">
            <v>PC 24x7 4年 2930M 48G PoE Switch用</v>
          </cell>
          <cell r="C9388" t="str">
            <v>【HPEプロアクティブケア】メーカー推奨／低価格で国内専用窓口の高品質な保守により、システム運用における安心を提供します。</v>
          </cell>
        </row>
        <row r="9389">
          <cell r="A9389" t="str">
            <v>H2CG4E</v>
          </cell>
          <cell r="B9389" t="str">
            <v>PC 24x7 5年 2930M 48G PoE Switch用</v>
          </cell>
          <cell r="C9389" t="str">
            <v>【HPEプロアクティブケア】メーカー推奨／低価格で国内専用窓口の高品質な保守により、システム運用における安心を提供します。</v>
          </cell>
        </row>
        <row r="9390">
          <cell r="A9390" t="str">
            <v>H2CJ4PE</v>
          </cell>
          <cell r="B9390" t="str">
            <v>更新用 PC 24x7 1年 2930M 48G PoE Switch</v>
          </cell>
          <cell r="C9390" t="str">
            <v>【HPEプロアクティブケア】メーカー推奨／低価格で国内専用窓口の高品質な保守により、システム運用における安心を提供します。</v>
          </cell>
        </row>
        <row r="9391">
          <cell r="A9391" t="str">
            <v>H2HJ2E</v>
          </cell>
          <cell r="B9391" t="str">
            <v>FC 24x7 1年 5950 32QSFP28 Switch用</v>
          </cell>
          <cell r="C9391" t="str">
            <v>【ファウンデーションケア】</v>
          </cell>
        </row>
        <row r="9392">
          <cell r="A9392" t="str">
            <v>H2HK2E</v>
          </cell>
          <cell r="B9392" t="str">
            <v>FC 9x5 3年 5950 32QSFP28 Switch用</v>
          </cell>
          <cell r="C9392" t="str">
            <v>【ファウンデーションケア】</v>
          </cell>
        </row>
        <row r="9393">
          <cell r="A9393" t="str">
            <v>H2HK7E</v>
          </cell>
          <cell r="B9393" t="str">
            <v>FC 24x7 3年 5950 32QSFP28 Switch用</v>
          </cell>
          <cell r="C9393" t="str">
            <v>【ファウンデーションケア】</v>
          </cell>
        </row>
        <row r="9394">
          <cell r="A9394" t="str">
            <v>H2HK9E</v>
          </cell>
          <cell r="B9394" t="str">
            <v>PC 24x7 3年 5950 32QSFP28 Switch用</v>
          </cell>
          <cell r="C9394" t="str">
            <v>【HPEプロアクティブケア】メーカー推奨／低価格で国内専用窓口の高品質な保守により、システム運用における安心を提供します。</v>
          </cell>
        </row>
        <row r="9395">
          <cell r="A9395" t="str">
            <v>H2HM5E</v>
          </cell>
          <cell r="B9395" t="str">
            <v>FC 9x5 4年 5950 32QSFP28 Switch用</v>
          </cell>
          <cell r="C9395" t="str">
            <v>【ファウンデーションケア】</v>
          </cell>
        </row>
        <row r="9396">
          <cell r="A9396" t="str">
            <v>H2HN0E</v>
          </cell>
          <cell r="B9396" t="str">
            <v>FC 24x7 4年 5950 32QSFP28 Switch用</v>
          </cell>
          <cell r="C9396" t="str">
            <v>【ファウンデーションケア】</v>
          </cell>
        </row>
        <row r="9397">
          <cell r="A9397" t="str">
            <v>H2HN3E</v>
          </cell>
          <cell r="B9397" t="str">
            <v>PC 24x7 4年 5950 32QSFP28 Switch用</v>
          </cell>
          <cell r="C9397" t="str">
            <v>【HPEプロアクティブケア】メーカー推奨／低価格で国内専用窓口の高品質な保守により、システム運用における安心を提供します。</v>
          </cell>
        </row>
        <row r="9398">
          <cell r="A9398" t="str">
            <v>H2HP9E</v>
          </cell>
          <cell r="B9398" t="str">
            <v>FC 9x5 5年 5950 32QSFP28 Switch用</v>
          </cell>
          <cell r="C9398" t="str">
            <v>【ファウンデーションケア】</v>
          </cell>
        </row>
        <row r="9399">
          <cell r="A9399" t="str">
            <v>H2HQ4E</v>
          </cell>
          <cell r="B9399" t="str">
            <v>FC 24x7 5年 5950 32QSFP28 Switch用</v>
          </cell>
          <cell r="C9399" t="str">
            <v>【ファウンデーションケア】</v>
          </cell>
        </row>
        <row r="9400">
          <cell r="A9400" t="str">
            <v>H2HQ6E</v>
          </cell>
          <cell r="B9400" t="str">
            <v>PC 24x7 5年 5950 32QSFP28 Switch用</v>
          </cell>
          <cell r="C9400" t="str">
            <v>【HPEプロアクティブケア】メーカー推奨／低価格で国内専用窓口の高品質な保守により、システム運用における安心を提供します。</v>
          </cell>
        </row>
        <row r="9401">
          <cell r="A9401" t="str">
            <v>H2HS2PE</v>
          </cell>
          <cell r="B9401" t="str">
            <v>PW FC 9x5 1年 5950 32QSFP28 Switch用</v>
          </cell>
          <cell r="C9401" t="str">
            <v>【ファウンデーションケア】</v>
          </cell>
        </row>
        <row r="9402">
          <cell r="A9402" t="str">
            <v>H2HS5PE</v>
          </cell>
          <cell r="B9402" t="str">
            <v>PW FC 24x7 1年 5950 32QSFP28 Switch用</v>
          </cell>
          <cell r="C9402" t="str">
            <v>【ファウンデーションケア】</v>
          </cell>
        </row>
        <row r="9403">
          <cell r="A9403" t="str">
            <v>H2HS7PE</v>
          </cell>
          <cell r="B9403" t="str">
            <v>PW PC 24x7 1年 5950 32QSFP28 Switch用</v>
          </cell>
          <cell r="C9403" t="str">
            <v>【HPEプロアクティブケア】メーカー推奨／低価格で国内専用窓口の高品質な保守により、システム運用における安心を提供します。</v>
          </cell>
        </row>
        <row r="9404">
          <cell r="A9404" t="str">
            <v>H2SF9E</v>
          </cell>
          <cell r="B9404" t="str">
            <v>FC 24x7 1年 5940 Switch用</v>
          </cell>
          <cell r="C9404" t="str">
            <v>【ファウンデーションケア】</v>
          </cell>
        </row>
        <row r="9405">
          <cell r="A9405" t="str">
            <v>H2SG9E</v>
          </cell>
          <cell r="B9405" t="str">
            <v>FC 9x5 3年 5940 Switch用</v>
          </cell>
          <cell r="C9405" t="str">
            <v>【ファウンデーションケア】</v>
          </cell>
        </row>
        <row r="9406">
          <cell r="A9406" t="str">
            <v>H2SH4E</v>
          </cell>
          <cell r="B9406" t="str">
            <v>FC 24x7 3年 5940 Switch用</v>
          </cell>
          <cell r="C9406" t="str">
            <v>【ファウンデーションケア】</v>
          </cell>
        </row>
        <row r="9407">
          <cell r="A9407" t="str">
            <v>H2SH6E</v>
          </cell>
          <cell r="B9407" t="str">
            <v>ProCare 24x7 3年 5940 Switch用</v>
          </cell>
          <cell r="C9407" t="str">
            <v>【HPEプロアクティブケア】メーカー推奨／低価格で国内専用窓口の高品質な保守により、システム運用における安心を提供します。</v>
          </cell>
        </row>
        <row r="9408">
          <cell r="A9408" t="str">
            <v>H2SK2E</v>
          </cell>
          <cell r="B9408" t="str">
            <v>FC 9x5 4年 5940 Switch用</v>
          </cell>
          <cell r="C9408" t="str">
            <v>【ファウンデーションケア】</v>
          </cell>
        </row>
        <row r="9409">
          <cell r="A9409" t="str">
            <v>H2SK7E</v>
          </cell>
          <cell r="B9409" t="str">
            <v>FC 24x7 4年 5940 Switch用</v>
          </cell>
          <cell r="C9409" t="str">
            <v>【ファウンデーションケア】</v>
          </cell>
        </row>
        <row r="9410">
          <cell r="A9410" t="str">
            <v>H2SL0E</v>
          </cell>
          <cell r="B9410" t="str">
            <v>ProCare 24x7 4年 5940 Switch用</v>
          </cell>
          <cell r="C9410" t="str">
            <v>【HPEプロアクティブケア】メーカー推奨／低価格で国内専用窓口の高品質な保守により、システム運用における安心を提供します。</v>
          </cell>
        </row>
        <row r="9411">
          <cell r="A9411" t="str">
            <v>H2SM6E</v>
          </cell>
          <cell r="B9411" t="str">
            <v>FC 9x5 5年 5940 Switch用</v>
          </cell>
          <cell r="C9411" t="str">
            <v>【ファウンデーションケア】</v>
          </cell>
        </row>
        <row r="9412">
          <cell r="A9412" t="str">
            <v>H2SN1E</v>
          </cell>
          <cell r="B9412" t="str">
            <v>FC 24x7 5年 5940 Switch用</v>
          </cell>
          <cell r="C9412" t="str">
            <v>【ファウンデーションケア】</v>
          </cell>
        </row>
        <row r="9413">
          <cell r="A9413" t="str">
            <v>H2SN3E</v>
          </cell>
          <cell r="B9413" t="str">
            <v>ProCare 24x7 5年 5940 Switch用</v>
          </cell>
          <cell r="C9413" t="str">
            <v>【HPEプロアクティブケア】メーカー推奨／低価格で国内専用窓口の高品質な保守により、システム運用における安心を提供します。</v>
          </cell>
        </row>
        <row r="9414">
          <cell r="A9414" t="str">
            <v>H2SP9PE</v>
          </cell>
          <cell r="B9414" t="str">
            <v>PW FC 9x5 1年 5940 Switch用</v>
          </cell>
          <cell r="C9414" t="str">
            <v>【ファウンデーションケア】</v>
          </cell>
        </row>
        <row r="9415">
          <cell r="A9415" t="str">
            <v>H2SQ2PE</v>
          </cell>
          <cell r="B9415" t="str">
            <v>PW FC 24x7 1年 5940 Switch用</v>
          </cell>
          <cell r="C9415" t="str">
            <v>【ファウンデーションケア】</v>
          </cell>
        </row>
        <row r="9416">
          <cell r="A9416" t="str">
            <v>H2SQ4PE</v>
          </cell>
          <cell r="B9416" t="str">
            <v>PW PC 24x7 1年 5940 Switch用</v>
          </cell>
          <cell r="C9416" t="str">
            <v>【HPEプロアクティブケア】メーカー推奨／低価格で国内専用窓口の高品質な保守により、システム運用における安心を提供します。</v>
          </cell>
        </row>
        <row r="9417">
          <cell r="A9417" t="str">
            <v>H5WV1E</v>
          </cell>
          <cell r="B9417" t="str">
            <v>ProCare 24x7 3年 2540-24G-PoE Switch用</v>
          </cell>
          <cell r="C9417" t="str">
            <v>【HPEプロアクティブケア】メーカー推奨／低価格で国内専用窓口の高品質な保守により、システム運用における安心を提供します。</v>
          </cell>
        </row>
        <row r="9418">
          <cell r="A9418" t="str">
            <v>H5WV2E</v>
          </cell>
          <cell r="B9418" t="str">
            <v>ProCare 24x7 3年 2540-48G-PoE Switch用</v>
          </cell>
          <cell r="C9418" t="str">
            <v>【HPEプロアクティブケア】メーカー推奨／低価格で国内専用窓口の高品質な保守により、システム運用における安心を提供します。</v>
          </cell>
        </row>
        <row r="9419">
          <cell r="A9419" t="str">
            <v>H5WV3E</v>
          </cell>
          <cell r="B9419" t="str">
            <v>ProCare 24x7 3年 2540-24G Switch用</v>
          </cell>
          <cell r="C9419" t="str">
            <v>【HPEプロアクティブケア】メーカー推奨／低価格で国内専用窓口の高品質な保守により、システム運用における安心を提供します。</v>
          </cell>
        </row>
        <row r="9420">
          <cell r="A9420" t="str">
            <v>H5WV4E</v>
          </cell>
          <cell r="B9420" t="str">
            <v>ProCare 24x7 3年 2540-48G Switch用</v>
          </cell>
          <cell r="C9420" t="str">
            <v>【HPEプロアクティブケア】メーカー推奨／低価格で国内専用窓口の高品質な保守により、システム運用における安心を提供します。</v>
          </cell>
        </row>
        <row r="9421">
          <cell r="A9421" t="str">
            <v>H5WV5E</v>
          </cell>
          <cell r="B9421" t="str">
            <v>ProCare 24x7 4年 2540-24G-PoE Switch用</v>
          </cell>
          <cell r="C9421" t="str">
            <v>【HPEプロアクティブケア】メーカー推奨／低価格で国内専用窓口の高品質な保守により、システム運用における安心を提供します。</v>
          </cell>
        </row>
        <row r="9422">
          <cell r="A9422" t="str">
            <v>H5WV6E</v>
          </cell>
          <cell r="B9422" t="str">
            <v>ProCare 24x7 4年 2540-48G-PoE Switch用</v>
          </cell>
          <cell r="C9422" t="str">
            <v>【HPEプロアクティブケア】メーカー推奨／低価格で国内専用窓口の高品質な保守により、システム運用における安心を提供します。</v>
          </cell>
        </row>
        <row r="9423">
          <cell r="A9423" t="str">
            <v>H5WV7E</v>
          </cell>
          <cell r="B9423" t="str">
            <v>ProCare 24x7 4年 2540-24G Switch用</v>
          </cell>
          <cell r="C9423" t="str">
            <v>【HPEプロアクティブケア】メーカー推奨／低価格で国内専用窓口の高品質な保守により、システム運用における安心を提供します。</v>
          </cell>
        </row>
        <row r="9424">
          <cell r="A9424" t="str">
            <v>H5WV8E</v>
          </cell>
          <cell r="B9424" t="str">
            <v>ProCare 24x7 4年 2540-48G Switch用</v>
          </cell>
          <cell r="C9424" t="str">
            <v>【HPEプロアクティブケア】メーカー推奨／低価格で国内専用窓口の高品質な保守により、システム運用における安心を提供します。</v>
          </cell>
        </row>
        <row r="9425">
          <cell r="A9425" t="str">
            <v>H5WV9E</v>
          </cell>
          <cell r="B9425" t="str">
            <v>ProCare 24x7 5年 2540-24G-PoE Switch用</v>
          </cell>
          <cell r="C9425" t="str">
            <v>【HPEプロアクティブケア】メーカー推奨／低価格で国内専用窓口の高品質な保守により、システム運用における安心を提供します。</v>
          </cell>
        </row>
        <row r="9426">
          <cell r="A9426" t="str">
            <v>H5WW0E</v>
          </cell>
          <cell r="B9426" t="str">
            <v>ProCare 24x7 5年 2540-48G-PoE Switch用</v>
          </cell>
          <cell r="C9426" t="str">
            <v>【HPEプロアクティブケア】メーカー推奨／低価格で国内専用窓口の高品質な保守により、システム運用における安心を提供します。</v>
          </cell>
        </row>
        <row r="9427">
          <cell r="A9427" t="str">
            <v>H5WW1E</v>
          </cell>
          <cell r="B9427" t="str">
            <v>ProCare 24x7 5年 2540-24G Switch用</v>
          </cell>
          <cell r="C9427" t="str">
            <v>【HPEプロアクティブケア】メーカー推奨／低価格で国内専用窓口の高品質な保守により、システム運用における安心を提供します。</v>
          </cell>
        </row>
        <row r="9428">
          <cell r="A9428" t="str">
            <v>H5WW2E</v>
          </cell>
          <cell r="B9428" t="str">
            <v>ProCare 24x7 5年 2540-48G Switch用</v>
          </cell>
          <cell r="C9428" t="str">
            <v>【HPEプロアクティブケア】メーカー推奨／低価格で国内専用窓口の高品質な保守により、システム運用における安心を提供します。</v>
          </cell>
        </row>
        <row r="9429">
          <cell r="A9429" t="str">
            <v>H5XB5PE</v>
          </cell>
          <cell r="B9429" t="str">
            <v>更新用 PC 24x7 1年 2540-24G-PoE Switch用</v>
          </cell>
          <cell r="C9429" t="str">
            <v>【HPEプロアクティブケア】メーカー推奨／低価格で国内専用窓口の高品質な保守により、システム運用における安心を提供します。</v>
          </cell>
        </row>
        <row r="9430">
          <cell r="A9430" t="str">
            <v>H5XB6PE</v>
          </cell>
          <cell r="B9430" t="str">
            <v>更新用 PC 24x7 1年 2540-48G-PoE Switch用</v>
          </cell>
          <cell r="C9430" t="str">
            <v>【HPEプロアクティブケア】メーカー推奨／低価格で国内専用窓口の高品質な保守により、システム運用における安心を提供します。</v>
          </cell>
        </row>
        <row r="9431">
          <cell r="A9431" t="str">
            <v>H5XB7PE</v>
          </cell>
          <cell r="B9431" t="str">
            <v>更新用 PC 24x7 1年 2540-24G Switch用</v>
          </cell>
          <cell r="C9431" t="str">
            <v>【HPEプロアクティブケア】メーカー推奨／低価格で国内専用窓口の高品質な保守により、システム運用における安心を提供します。</v>
          </cell>
        </row>
        <row r="9432">
          <cell r="A9432" t="str">
            <v>H5XB8PE</v>
          </cell>
          <cell r="B9432" t="str">
            <v>更新用 PC 24x7 1年 2540-48G Switch用</v>
          </cell>
          <cell r="C9432" t="str">
            <v>【HPEプロアクティブケア】メーカー推奨／低価格で国内専用窓口の高品質な保守により、システム運用における安心を提供します。</v>
          </cell>
        </row>
        <row r="9433">
          <cell r="A9433" t="str">
            <v>H5YP2E</v>
          </cell>
          <cell r="B9433" t="str">
            <v>FC 24x7 1年 5950 48SFP28 8QSFP28 Switch</v>
          </cell>
          <cell r="C9433" t="str">
            <v>【ファウンデーションケア】</v>
          </cell>
        </row>
        <row r="9434">
          <cell r="A9434" t="str">
            <v>H5YQ2E</v>
          </cell>
          <cell r="B9434" t="str">
            <v>FC 9x5 3年 5950 48SFP28 8QSFP28 Switch用</v>
          </cell>
          <cell r="C9434" t="str">
            <v>【ファウンデーションケア】</v>
          </cell>
        </row>
        <row r="9435">
          <cell r="A9435" t="str">
            <v>H5YQ7E</v>
          </cell>
          <cell r="B9435" t="str">
            <v>FC 24x7 3年 5950 48SFP28 8QSFP28 Switch</v>
          </cell>
          <cell r="C9435" t="str">
            <v>【ファウンデーションケア】</v>
          </cell>
        </row>
        <row r="9436">
          <cell r="A9436" t="str">
            <v>H5YQ9E</v>
          </cell>
          <cell r="B9436" t="str">
            <v>PC 24x7 3年 5950 48SFP28 8QSFP28 Switch</v>
          </cell>
          <cell r="C9436" t="str">
            <v>【HPEプロアクティブケア】メーカー推奨／低価格で国内専用窓口の高品質な保守により、システム運用における安心を提供します。</v>
          </cell>
        </row>
        <row r="9437">
          <cell r="A9437" t="str">
            <v>H5YS5E</v>
          </cell>
          <cell r="B9437" t="str">
            <v>FC 9x5 4年 5950 48SFP28 8QSFP28 Switch用</v>
          </cell>
          <cell r="C9437" t="str">
            <v>【ファウンデーションケア】</v>
          </cell>
        </row>
        <row r="9438">
          <cell r="A9438" t="str">
            <v>H5YT0E</v>
          </cell>
          <cell r="B9438" t="str">
            <v>FC 24x7 4年 5950 48SFP28 8QSFP28 Switch</v>
          </cell>
          <cell r="C9438" t="str">
            <v>【ファウンデーションケア】</v>
          </cell>
        </row>
        <row r="9439">
          <cell r="A9439" t="str">
            <v>H5YT3E</v>
          </cell>
          <cell r="B9439" t="str">
            <v>PC 24x7 4年 5950 48SFP28 8QSFP28 Switch</v>
          </cell>
          <cell r="C9439" t="str">
            <v>【HPEプロアクティブケア】メーカー推奨／低価格で国内専用窓口の高品質な保守により、システム運用における安心を提供します。</v>
          </cell>
        </row>
        <row r="9440">
          <cell r="A9440" t="str">
            <v>H5YU9E</v>
          </cell>
          <cell r="B9440" t="str">
            <v>FC 9x5 5年 5950 48SFP28 8QSFP28 Switch用</v>
          </cell>
          <cell r="C9440" t="str">
            <v>【ファウンデーションケア】</v>
          </cell>
        </row>
        <row r="9441">
          <cell r="A9441" t="str">
            <v>H5YV4E</v>
          </cell>
          <cell r="B9441" t="str">
            <v>FC 24x7 5年 5950 48SFP28 8QSFP28 Switch</v>
          </cell>
          <cell r="C9441" t="str">
            <v>【ファウンデーションケア】</v>
          </cell>
        </row>
        <row r="9442">
          <cell r="A9442" t="str">
            <v>H5YV6E</v>
          </cell>
          <cell r="B9442" t="str">
            <v>PC 24x7 5年 5950 48SFP28 8QSFP28 Switch</v>
          </cell>
          <cell r="C9442" t="str">
            <v>【HPEプロアクティブケア】メーカー推奨／低価格で国内専用窓口の高品質な保守により、システム運用における安心を提供します。</v>
          </cell>
        </row>
        <row r="9443">
          <cell r="A9443" t="str">
            <v>H5YY8E</v>
          </cell>
          <cell r="B9443" t="str">
            <v>FC 24x7 1年 5950 4-slot Switch用</v>
          </cell>
          <cell r="C9443" t="str">
            <v>【ファウンデーションケア】</v>
          </cell>
        </row>
        <row r="9444">
          <cell r="A9444" t="str">
            <v>H5YZ8E</v>
          </cell>
          <cell r="B9444" t="str">
            <v>FC 9x5 3年 5950 4-slot Switch用</v>
          </cell>
          <cell r="C9444" t="str">
            <v>【ファウンデーションケア】</v>
          </cell>
        </row>
        <row r="9445">
          <cell r="A9445" t="str">
            <v>H5ZA3E</v>
          </cell>
          <cell r="B9445" t="str">
            <v>FC 24x7 3年 5950 4-slot Switch用</v>
          </cell>
          <cell r="C9445" t="str">
            <v>【ファウンデーションケア】</v>
          </cell>
        </row>
        <row r="9446">
          <cell r="A9446" t="str">
            <v>H5ZA5E</v>
          </cell>
          <cell r="B9446" t="str">
            <v>PC 24x7 3年 5950 4-slot Switch用</v>
          </cell>
          <cell r="C9446" t="str">
            <v>【HPEプロアクティブケア】メーカー推奨／低価格で国内専用窓口の高品質な保守により、システム運用における安心を提供します。</v>
          </cell>
        </row>
        <row r="9447">
          <cell r="A9447" t="str">
            <v>H5ZC1E</v>
          </cell>
          <cell r="B9447" t="str">
            <v>FC 9x5 4年 5950 4-slot Switch用</v>
          </cell>
          <cell r="C9447" t="str">
            <v>【ファウンデーションケア】</v>
          </cell>
        </row>
        <row r="9448">
          <cell r="A9448" t="str">
            <v>H5ZC6E</v>
          </cell>
          <cell r="B9448" t="str">
            <v>FC 24x7 4年 5950 4-slot Switch用</v>
          </cell>
          <cell r="C9448" t="str">
            <v>【ファウンデーションケア】</v>
          </cell>
        </row>
        <row r="9449">
          <cell r="A9449" t="str">
            <v>H5ZC9E</v>
          </cell>
          <cell r="B9449" t="str">
            <v>PC 24x7 4年 5950 4-slot Switch用</v>
          </cell>
          <cell r="C9449" t="str">
            <v>【HPEプロアクティブケア】メーカー推奨／低価格で国内専用窓口の高品質な保守により、システム運用における安心を提供します。</v>
          </cell>
        </row>
        <row r="9450">
          <cell r="A9450" t="str">
            <v>H5ZE5E</v>
          </cell>
          <cell r="B9450" t="str">
            <v>FC 9x5 5年 5950 4-slot Switch用</v>
          </cell>
          <cell r="C9450" t="str">
            <v>【ファウンデーションケア】</v>
          </cell>
        </row>
        <row r="9451">
          <cell r="A9451" t="str">
            <v>H5ZF0E</v>
          </cell>
          <cell r="B9451" t="str">
            <v>FC 24x7 5年 5950 4-slot Switch用</v>
          </cell>
          <cell r="C9451" t="str">
            <v>【ファウンデーションケア】</v>
          </cell>
        </row>
        <row r="9452">
          <cell r="A9452" t="str">
            <v>H5ZF2E</v>
          </cell>
          <cell r="B9452" t="str">
            <v>PC 24x7 5年 5950 4-slot Switch用</v>
          </cell>
          <cell r="C9452" t="str">
            <v>【HPEプロアクティブケア】メーカー推奨／低価格で国内専用窓口の高品質な保守により、システム運用における安心を提供します。</v>
          </cell>
        </row>
        <row r="9453">
          <cell r="A9453" t="str">
            <v>H6AW5E</v>
          </cell>
          <cell r="B9453" t="str">
            <v>PC 24x7 3年 5940 Switch バンドル製品用</v>
          </cell>
          <cell r="C9453" t="str">
            <v>【HPEプロアクティブケア】メーカー推奨／低価格で国内専用窓口の高品質な保守により、システム運用における安心を提供します。</v>
          </cell>
        </row>
        <row r="9454">
          <cell r="A9454" t="str">
            <v>H6AY8E</v>
          </cell>
          <cell r="B9454" t="str">
            <v>PC 24x7 4年 5940 Switch バンドル製品用</v>
          </cell>
          <cell r="C9454" t="str">
            <v>【HPEプロアクティブケア】メーカー推奨／低価格で国内専用窓口の高品質な保守により、システム運用における安心を提供します。</v>
          </cell>
        </row>
        <row r="9455">
          <cell r="A9455" t="str">
            <v>H6BB1E</v>
          </cell>
          <cell r="B9455" t="str">
            <v>PC 24x7 5年 5940 Switch バンドル製品用</v>
          </cell>
          <cell r="C9455" t="str">
            <v>【HPEプロアクティブケア】メーカー推奨／低価格で国内専用窓口の高品質な保守により、システム運用における安心を提供します。</v>
          </cell>
        </row>
        <row r="9456">
          <cell r="A9456" t="str">
            <v>H6BD2PE</v>
          </cell>
          <cell r="B9456" t="str">
            <v>PW PC 24x7 1年 5940 Switch バンドル製品</v>
          </cell>
          <cell r="C9456" t="str">
            <v>【HPEプロアクティブケア】メーカー推奨／低価格で国内専用窓口の高品質な保守により、システム運用における安心を提供します。</v>
          </cell>
        </row>
        <row r="9457">
          <cell r="A9457" t="str">
            <v>H6BG0E</v>
          </cell>
          <cell r="B9457" t="str">
            <v>PC 24x7 3年 3810-24SFP Switch用</v>
          </cell>
          <cell r="C9457" t="str">
            <v>【HPEプロアクティブケア】メーカー推奨／低価格で国内専用窓口の高品質な保守により、システム運用における安心を提供します。</v>
          </cell>
        </row>
        <row r="9458">
          <cell r="A9458" t="str">
            <v>H6BJ3E</v>
          </cell>
          <cell r="B9458" t="str">
            <v>PC 24x7 4年 3810-24SFP Switch用</v>
          </cell>
          <cell r="C9458" t="str">
            <v>【HPEプロアクティブケア】メーカー推奨／低価格で国内専用窓口の高品質な保守により、システム運用における安心を提供します。</v>
          </cell>
        </row>
        <row r="9459">
          <cell r="A9459" t="str">
            <v>H6BL6E</v>
          </cell>
          <cell r="B9459" t="str">
            <v>PC 24x7 5年 3810-24SFP Switch用</v>
          </cell>
          <cell r="C9459" t="str">
            <v>【HPEプロアクティブケア】メーカー推奨／低価格で国内専用窓口の高品質な保守により、システム運用における安心を提供します。</v>
          </cell>
        </row>
        <row r="9460">
          <cell r="A9460" t="str">
            <v>H6BN6PE</v>
          </cell>
          <cell r="B9460" t="str">
            <v>更新用 PC 24x7 1年 3810-24SFP Switch用</v>
          </cell>
          <cell r="C9460" t="str">
            <v>【HPEプロアクティブケア】メーカー推奨／低価格で国内専用窓口の高品質な保守により、システム運用における安心を提供します。</v>
          </cell>
        </row>
        <row r="9461">
          <cell r="A9461" t="str">
            <v>H7PU7E</v>
          </cell>
          <cell r="B9461" t="str">
            <v>FC 24x7 1年 12902E Switch用</v>
          </cell>
          <cell r="C9461" t="str">
            <v>【ファウンデーションケア】</v>
          </cell>
        </row>
        <row r="9462">
          <cell r="A9462" t="str">
            <v>H7PV7E</v>
          </cell>
          <cell r="B9462" t="str">
            <v>FC 9x5 3年 12902E Switch用</v>
          </cell>
          <cell r="C9462" t="str">
            <v>【ファウンデーションケア】</v>
          </cell>
        </row>
        <row r="9463">
          <cell r="A9463" t="str">
            <v>H7PW2E</v>
          </cell>
          <cell r="B9463" t="str">
            <v>FC 24x7 3年 12902E Switch用</v>
          </cell>
          <cell r="C9463" t="str">
            <v>【ファウンデーションケア】</v>
          </cell>
        </row>
        <row r="9464">
          <cell r="A9464" t="str">
            <v>H7PW4E</v>
          </cell>
          <cell r="B9464" t="str">
            <v>PC 24x7 3年 12902E Switch用</v>
          </cell>
          <cell r="C9464" t="str">
            <v>【HPEプロアクティブケア】メーカー推奨／低価格で国内専用窓口の高品質な保守により、システム運用における安心を提供します。</v>
          </cell>
        </row>
        <row r="9465">
          <cell r="A9465" t="str">
            <v>H7PY0E</v>
          </cell>
          <cell r="B9465" t="str">
            <v>FC 9x5 4年 12902E Switch用</v>
          </cell>
          <cell r="C9465" t="str">
            <v>【ファウンデーションケア】</v>
          </cell>
        </row>
        <row r="9466">
          <cell r="A9466" t="str">
            <v>H7PY5E</v>
          </cell>
          <cell r="B9466" t="str">
            <v>FC 24x7 4年 12902E Switch用</v>
          </cell>
          <cell r="C9466" t="str">
            <v>【ファウンデーションケア】</v>
          </cell>
        </row>
        <row r="9467">
          <cell r="A9467" t="str">
            <v>H7PY7E</v>
          </cell>
          <cell r="B9467" t="str">
            <v>PC 24x7 4年 12902E Switch用</v>
          </cell>
          <cell r="C9467" t="str">
            <v>【HPEプロアクティブケア】メーカー推奨／低価格で国内専用窓口の高品質な保守により、システム運用における安心を提供します。</v>
          </cell>
        </row>
        <row r="9468">
          <cell r="A9468" t="str">
            <v>H7QA3E</v>
          </cell>
          <cell r="B9468" t="str">
            <v>FC 9x5 5年 12902E Switch用</v>
          </cell>
          <cell r="C9468" t="str">
            <v>【ファウンデーションケア】</v>
          </cell>
        </row>
        <row r="9469">
          <cell r="A9469" t="str">
            <v>H7QA8E</v>
          </cell>
          <cell r="B9469" t="str">
            <v>FC 24x7 5年 12902E Switch用</v>
          </cell>
          <cell r="C9469" t="str">
            <v>【ファウンデーションケア】</v>
          </cell>
        </row>
        <row r="9470">
          <cell r="A9470" t="str">
            <v>H7QB0E</v>
          </cell>
          <cell r="B9470" t="str">
            <v>PC 24x7 5年 12902E Switch用</v>
          </cell>
          <cell r="C9470" t="str">
            <v>【HPEプロアクティブケア】メーカー推奨／低価格で国内専用窓口の高品質な保守により、システム運用における安心を提供します。</v>
          </cell>
        </row>
        <row r="9471">
          <cell r="A9471" t="str">
            <v>H8XE6E</v>
          </cell>
          <cell r="B9471" t="str">
            <v>インストレーション Aruba 8400 Switch用</v>
          </cell>
          <cell r="C9471" t="str">
            <v>Aruba 8400 Switch用 設置サービス
※内蔵用オプション機器類の組込み（Networking Switch ProCurveSwitch用 冗長/外部パワーサプライも対象）、設置
※Networking SwitchProCurve Switchへのネットワークケーブル接続
※ネットワークケーブル敷設配線作業は、サービス対象外</v>
          </cell>
        </row>
        <row r="9472">
          <cell r="A9472" t="str">
            <v>H9XR0E</v>
          </cell>
          <cell r="B9472" t="str">
            <v>FC 9x5 3年 5980 48SFP Switch用</v>
          </cell>
          <cell r="C9472" t="str">
            <v>【ファウンデーションケア】</v>
          </cell>
        </row>
        <row r="9473">
          <cell r="A9473" t="str">
            <v>H9XR5E</v>
          </cell>
          <cell r="B9473" t="str">
            <v>FC 24x7 3年 5980 48SFP Switch用</v>
          </cell>
          <cell r="C9473" t="str">
            <v>【ファウンデーションケア】</v>
          </cell>
        </row>
        <row r="9474">
          <cell r="A9474" t="str">
            <v>H9XR7E</v>
          </cell>
          <cell r="B9474" t="str">
            <v>PC 24x7 3年 5980 48SFP Switch用</v>
          </cell>
          <cell r="C9474" t="str">
            <v>【HPEプロアクティブケア】メーカー推奨／低価格で国内専用窓口の高品質な保守により、システム運用における安心を提供します。</v>
          </cell>
        </row>
        <row r="9475">
          <cell r="A9475" t="str">
            <v>H9XT3E</v>
          </cell>
          <cell r="B9475" t="str">
            <v>FC 9x5 4年 5980 48SFP Switch用</v>
          </cell>
          <cell r="C9475" t="str">
            <v>【HPEプロアクティブケア】メーカー推奨／低価格で国内専用窓口の高品質な保守により、システム運用における安心を提供します。</v>
          </cell>
        </row>
        <row r="9476">
          <cell r="A9476" t="str">
            <v>H9XT8E</v>
          </cell>
          <cell r="B9476" t="str">
            <v>FC 24x7 4年 5980 48SFP Switch用</v>
          </cell>
          <cell r="C9476" t="str">
            <v>【HPEプロアクティブケア】メーカー推奨／低価格で国内専用窓口の高品質な保守により、システム運用における安心を提供します。</v>
          </cell>
        </row>
        <row r="9477">
          <cell r="A9477" t="str">
            <v>H9XU1E</v>
          </cell>
          <cell r="B9477" t="str">
            <v>PC 24x7 4年 5980 48SFP Switch用</v>
          </cell>
          <cell r="C9477" t="str">
            <v>【HPEプロアクティブケア】メーカー推奨／低価格で国内専用窓口の高品質な保守により、システム運用における安心を提供します。</v>
          </cell>
        </row>
        <row r="9478">
          <cell r="A9478" t="str">
            <v>HA0J3E</v>
          </cell>
          <cell r="B9478" t="str">
            <v>FC 24x7 1年 5980 48SFP Switch用</v>
          </cell>
          <cell r="C9478" t="str">
            <v>【HPEプロアクティブケア】メーカー推奨／低価格で国内専用窓口の高品質な保守により、システム運用における安心を提供します。</v>
          </cell>
        </row>
        <row r="9479">
          <cell r="A9479" t="str">
            <v>HA0K4E</v>
          </cell>
          <cell r="B9479" t="str">
            <v>FC 9x5 5年 5980 48SFP Switch用</v>
          </cell>
          <cell r="C9479" t="str">
            <v>【HPEプロアクティブケア】メーカー推奨／低価格で国内専用窓口の高品質な保守により、システム運用における安心を提供します。</v>
          </cell>
        </row>
        <row r="9480">
          <cell r="A9480" t="str">
            <v>HA0K9E</v>
          </cell>
          <cell r="B9480" t="str">
            <v>FC 24x7 5年 5980 48SFP Switch用</v>
          </cell>
          <cell r="C9480" t="str">
            <v>【HPEプロアクティブケア】メーカー推奨／低価格で国内専用窓口の高品質な保守により、システム運用における安心を提供します。</v>
          </cell>
        </row>
        <row r="9481">
          <cell r="A9481" t="str">
            <v>HA0L1E</v>
          </cell>
          <cell r="B9481" t="str">
            <v>PC 24x7 5年 5980 48SFP Switch用</v>
          </cell>
          <cell r="C9481" t="str">
            <v>【HPEプロアクティブケア】メーカー推奨／低価格で国内専用窓口の高品質な保守により、システム運用における安心を提供します。</v>
          </cell>
        </row>
        <row r="9482">
          <cell r="A9482" t="str">
            <v>HT6K0E</v>
          </cell>
          <cell r="B9482" t="str">
            <v>PC 24x7 3年 Aruba 8400 Switch用</v>
          </cell>
          <cell r="C9482" t="str">
            <v>【HPEプロアクティブケア】メーカー推奨／低価格で国内専用窓口の高品質な保守により、システム運用における安心を提供します。</v>
          </cell>
        </row>
        <row r="9483">
          <cell r="A9483" t="str">
            <v>HT6M3E</v>
          </cell>
          <cell r="B9483" t="str">
            <v>PC 24x7 4年 Aruba 8400 Switch用</v>
          </cell>
          <cell r="C9483" t="str">
            <v>【HPEプロアクティブケア】メーカー推奨／低価格で国内専用窓口の高品質な保守により、システム運用における安心を提供します。</v>
          </cell>
        </row>
        <row r="9484">
          <cell r="A9484" t="str">
            <v>HT6P6E</v>
          </cell>
          <cell r="B9484" t="str">
            <v>PC 24x7 5年 Aruba 8400 Switch用</v>
          </cell>
          <cell r="C9484" t="str">
            <v>【HPEプロアクティブケア】メーカー推奨／低価格で国内専用窓口の高品質な保守により、システム運用における安心を提供します。</v>
          </cell>
        </row>
        <row r="9485">
          <cell r="A9485" t="str">
            <v>HT6S4PE</v>
          </cell>
          <cell r="B9485" t="str">
            <v>更新用 PC 24x7 1年 2930F-8G PoE+ 2SFP+用</v>
          </cell>
          <cell r="C9485" t="str">
            <v>【HPEプロアクティブケア】メーカー推奨／低価格で国内専用窓口の高品質な保守により、システム運用における安心を提供します。</v>
          </cell>
        </row>
        <row r="9486">
          <cell r="A9486" t="str">
            <v>HT8M5E</v>
          </cell>
          <cell r="B9486" t="str">
            <v>FC 24x7 1年 12901E Switch用</v>
          </cell>
          <cell r="C9486" t="str">
            <v>【HPEプロアクティブケア】メーカー推奨／低価格で国内専用窓口の高品質な保守により、システム運用における安心を提供します。</v>
          </cell>
        </row>
        <row r="9487">
          <cell r="A9487" t="str">
            <v>HT8N5E</v>
          </cell>
          <cell r="B9487" t="str">
            <v>FC 9x5 3年 12901E Switch用</v>
          </cell>
          <cell r="C9487" t="str">
            <v>【HPEプロアクティブケア】メーカー推奨／低価格で国内専用窓口の高品質な保守により、システム運用における安心を提供します。</v>
          </cell>
        </row>
        <row r="9488">
          <cell r="A9488" t="str">
            <v>HT8P0E</v>
          </cell>
          <cell r="B9488" t="str">
            <v>FC 24x7 3年 12901E Switch用</v>
          </cell>
          <cell r="C9488" t="str">
            <v>【HPEプロアクティブケア】メーカー推奨／低価格で国内専用窓口の高品質な保守により、システム運用における安心を提供します。</v>
          </cell>
        </row>
        <row r="9489">
          <cell r="A9489" t="str">
            <v>HT8P2E</v>
          </cell>
          <cell r="B9489" t="str">
            <v>PC 24x7 3年 12901E Switch用</v>
          </cell>
          <cell r="C9489" t="str">
            <v>【HPEプロアクティブケア】メーカー推奨／低価格で国内専用窓口の高品質な保守により、システム運用における安心を提供します。</v>
          </cell>
        </row>
        <row r="9490">
          <cell r="A9490" t="str">
            <v>HT8Q9E</v>
          </cell>
          <cell r="B9490" t="str">
            <v>FC 9x5 4年 12901E Switch用</v>
          </cell>
          <cell r="C9490" t="str">
            <v>【HPEプロアクティブケア】メーカー推奨／低価格で国内専用窓口の高品質な保守により、システム運用における安心を提供します。</v>
          </cell>
        </row>
        <row r="9491">
          <cell r="A9491" t="str">
            <v>HT8R4E</v>
          </cell>
          <cell r="B9491" t="str">
            <v>FC 24x7 4年 12901E Switch用</v>
          </cell>
          <cell r="C9491" t="str">
            <v>【HPEプロアクティブケア】メーカー推奨／低価格で国内専用窓口の高品質な保守により、システム運用における安心を提供します。</v>
          </cell>
        </row>
        <row r="9492">
          <cell r="A9492" t="str">
            <v>HT8R6E</v>
          </cell>
          <cell r="B9492" t="str">
            <v>PC 24x7 4年 12901E Switch用</v>
          </cell>
          <cell r="C9492" t="str">
            <v>【HPEプロアクティブケア】メーカー推奨／低価格で国内専用窓口の高品質な保守により、システム運用における安心を提供します。</v>
          </cell>
        </row>
        <row r="9493">
          <cell r="A9493" t="str">
            <v>HT8T2E</v>
          </cell>
          <cell r="B9493" t="str">
            <v>FC 9x5 5年 12901E Switch用</v>
          </cell>
          <cell r="C9493" t="str">
            <v>【HPEプロアクティブケア】メーカー推奨／低価格で国内専用窓口の高品質な保守により、システム運用における安心を提供します。</v>
          </cell>
        </row>
        <row r="9494">
          <cell r="A9494" t="str">
            <v>HT8T7E</v>
          </cell>
          <cell r="B9494" t="str">
            <v>FC 24x7 5年 12901E Switch用</v>
          </cell>
          <cell r="C9494" t="str">
            <v>【HPEプロアクティブケア】メーカー推奨／低価格で国内専用窓口の高品質な保守により、システム運用における安心を提供します。</v>
          </cell>
        </row>
        <row r="9495">
          <cell r="A9495" t="str">
            <v>HT8T9E</v>
          </cell>
          <cell r="B9495" t="str">
            <v>PC 24x7 5年 12901E Switch用</v>
          </cell>
          <cell r="C9495" t="str">
            <v>【HPEプロアクティブケア】メーカー推奨／低価格で国内専用窓口の高品質な保守により、システム運用における安心を提供します。</v>
          </cell>
        </row>
        <row r="9496">
          <cell r="A9496" t="str">
            <v>U0ES9E</v>
          </cell>
          <cell r="B9496" t="str">
            <v>ProCare 24x7 3年 MSM775 Contr Module用</v>
          </cell>
          <cell r="C9496" t="str">
            <v>【HPEプロアクティブケア】メーカー推奨／低価格で国内専用窓口の高品質な保守により、システム運用における安心を提供します。</v>
          </cell>
        </row>
        <row r="9497">
          <cell r="A9497" t="str">
            <v>U0ET4E</v>
          </cell>
          <cell r="B9497" t="str">
            <v>ProCare 24x7 4年 MSM775 Contr Module用</v>
          </cell>
          <cell r="C9497" t="str">
            <v>【HPEプロアクティブケア】メーカー推奨／低価格で国内専用窓口の高品質な保守により、システム運用における安心を提供します。</v>
          </cell>
        </row>
        <row r="9498">
          <cell r="A9498" t="str">
            <v>U0ET7E</v>
          </cell>
          <cell r="B9498" t="str">
            <v>ProCare 24x7 5年 MSM775 Contr Module用</v>
          </cell>
          <cell r="C9498" t="str">
            <v>【HPEプロアクティブケア】メーカー推奨／低価格で国内専用窓口の高品質な保守により、システム運用における安心を提供します。</v>
          </cell>
        </row>
        <row r="9499">
          <cell r="A9499" t="str">
            <v>U0FX3E</v>
          </cell>
          <cell r="B9499" t="str">
            <v>ProCare 24x7 3年 5900CP-48XG Switch用</v>
          </cell>
          <cell r="C9499" t="str">
            <v>【HPEプロアクティブケア】メーカー推奨／低価格で国内専用窓口の高品質な保守により、システム運用における安心を提供します。</v>
          </cell>
        </row>
        <row r="9500">
          <cell r="A9500" t="str">
            <v>U0FX6E</v>
          </cell>
          <cell r="B9500" t="str">
            <v>ProCare 24x7 4年 5900CP-48XG Switch用</v>
          </cell>
          <cell r="C9500" t="str">
            <v>【HPEプロアクティブケア】メーカー推奨／低価格で国内専用窓口の高品質な保守により、システム運用における安心を提供します。</v>
          </cell>
        </row>
        <row r="9501">
          <cell r="A9501" t="str">
            <v>U0FX9E</v>
          </cell>
          <cell r="B9501" t="str">
            <v>ProCare 24x7 5年 5900CP-48XG Switch用</v>
          </cell>
          <cell r="C9501" t="str">
            <v>【HPEプロアクティブケア】メーカー推奨／低価格で国内専用窓口の高品質な保守により、システム運用における安心を提供します。</v>
          </cell>
        </row>
        <row r="9502">
          <cell r="A9502" t="str">
            <v>U0GP4E</v>
          </cell>
          <cell r="B9502" t="str">
            <v>FC 9x5 3年 5900CP-48XG Switch用</v>
          </cell>
          <cell r="C9502" t="str">
            <v>【ファウンデーションケア】</v>
          </cell>
        </row>
        <row r="9503">
          <cell r="A9503" t="str">
            <v>U0GP5E</v>
          </cell>
          <cell r="B9503" t="str">
            <v>FC 9x5 4年 5900CP-48XG Switch用</v>
          </cell>
          <cell r="C9503" t="str">
            <v>【ファウンデーションケア】</v>
          </cell>
        </row>
        <row r="9504">
          <cell r="A9504" t="str">
            <v>U0GP6E</v>
          </cell>
          <cell r="B9504" t="str">
            <v>FC 9x5 5年 5900CP-48XG Switch用</v>
          </cell>
          <cell r="C9504" t="str">
            <v>【ファウンデーションケア】</v>
          </cell>
        </row>
        <row r="9505">
          <cell r="A9505" t="str">
            <v>U0GP7E</v>
          </cell>
          <cell r="B9505" t="str">
            <v>FC 24x7 3年 5900CP-48XG Switch用</v>
          </cell>
          <cell r="C9505" t="str">
            <v>【ファウンデーションケア】</v>
          </cell>
        </row>
        <row r="9506">
          <cell r="A9506" t="str">
            <v>U0GP8E</v>
          </cell>
          <cell r="B9506" t="str">
            <v>FC 24x7 4年 5900CP-48XG Switch用</v>
          </cell>
          <cell r="C9506" t="str">
            <v>【ファウンデーションケア】</v>
          </cell>
        </row>
        <row r="9507">
          <cell r="A9507" t="str">
            <v>U0GP9E</v>
          </cell>
          <cell r="B9507" t="str">
            <v>FC 24x7 5年 5900CP-48XG Switch用</v>
          </cell>
          <cell r="C9507" t="str">
            <v>【ファウンデーションケア】</v>
          </cell>
        </row>
        <row r="9508">
          <cell r="A9508" t="str">
            <v>U0GQ0E</v>
          </cell>
          <cell r="B9508" t="str">
            <v>FC 24x7 1年 5900CP-48XG Switch用</v>
          </cell>
          <cell r="C9508" t="str">
            <v>【ファウンデーションケア】</v>
          </cell>
        </row>
        <row r="9509">
          <cell r="A9509" t="str">
            <v>U0GQ4PE</v>
          </cell>
          <cell r="B9509" t="str">
            <v>PW FC 9x5 1年 5900CP-48XG Switch用</v>
          </cell>
          <cell r="C9509" t="str">
            <v>【ファウンデーションケア】</v>
          </cell>
        </row>
        <row r="9510">
          <cell r="A9510" t="str">
            <v>U0GQ5PE</v>
          </cell>
          <cell r="B9510" t="str">
            <v>PW FC 24x7 1年 5900CP-48XG Switch用</v>
          </cell>
          <cell r="C9510" t="str">
            <v>【ファウンデーションケア】</v>
          </cell>
        </row>
        <row r="9511">
          <cell r="A9511" t="str">
            <v>U0NF5E</v>
          </cell>
          <cell r="B9511" t="str">
            <v>ProCare 24x7 3年 11908 Switch用</v>
          </cell>
          <cell r="C9511" t="str">
            <v>【HPEプロアクティブケア】メーカー推奨／低価格で国内専用窓口の高品質な保守により、システム運用における安心を提供します。</v>
          </cell>
        </row>
        <row r="9512">
          <cell r="A9512" t="str">
            <v>U0NG5E</v>
          </cell>
          <cell r="B9512" t="str">
            <v>ProCare 24x7 4年 11908 Switch用</v>
          </cell>
          <cell r="C9512" t="str">
            <v>【HPEプロアクティブケア】メーカー推奨／低価格で国内専用窓口の高品質な保守により、システム運用における安心を提供します。</v>
          </cell>
        </row>
        <row r="9513">
          <cell r="A9513" t="str">
            <v>U0NH5E</v>
          </cell>
          <cell r="B9513" t="str">
            <v>ProCare 24x7 5年 11908 Switch用</v>
          </cell>
          <cell r="C9513" t="str">
            <v>【HPEプロアクティブケア】メーカー推奨／低価格で国内専用窓口の高品質な保守により、システム運用における安心を提供します。</v>
          </cell>
        </row>
        <row r="9514">
          <cell r="A9514" t="str">
            <v>U0TL6E</v>
          </cell>
          <cell r="B9514" t="str">
            <v>ProCare 24x7 3年 5510-24G HI Switch用</v>
          </cell>
          <cell r="C9514" t="str">
            <v>【HPEプロアクティブケア】メーカー推奨／低価格で国内専用窓口の高品質な保守により、システム運用における安心を提供します。</v>
          </cell>
        </row>
        <row r="9515">
          <cell r="A9515" t="str">
            <v>U0TN9E</v>
          </cell>
          <cell r="B9515" t="str">
            <v>ProCare 24x7 4年 5510-24G HI Switch用</v>
          </cell>
          <cell r="C9515" t="str">
            <v>【HPEプロアクティブケア】メーカー推奨／低価格で国内専用窓口の高品質な保守により、システム運用における安心を提供します。</v>
          </cell>
        </row>
        <row r="9516">
          <cell r="A9516" t="str">
            <v>U0TR2E</v>
          </cell>
          <cell r="B9516" t="str">
            <v>ProCare 24x7 5年 5510-24G HI Switch用</v>
          </cell>
          <cell r="C9516" t="str">
            <v>【HPEプロアクティブケア】メーカー推奨／低価格で国内専用窓口の高品質な保守により、システム運用における安心を提供します。</v>
          </cell>
        </row>
        <row r="9517">
          <cell r="A9517" t="str">
            <v>U0TT2PE</v>
          </cell>
          <cell r="B9517" t="str">
            <v>更新用 PC 24x7 1年 5510-24G HI Switch用</v>
          </cell>
          <cell r="C9517" t="str">
            <v>【HPEプロアクティブケア】メーカー推奨／低価格で国内専用窓口の高品質な保守により、システム運用における安心を提供します。</v>
          </cell>
        </row>
        <row r="9518">
          <cell r="A9518" t="str">
            <v>U0TV7E</v>
          </cell>
          <cell r="B9518" t="str">
            <v>ProCare 24x7 3年 5510-48G HI Switch用</v>
          </cell>
          <cell r="C9518" t="str">
            <v>【HPEプロアクティブケア】メーカー推奨／低価格で国内専用窓口の高品質な保守により、システム運用における安心を提供します。</v>
          </cell>
        </row>
        <row r="9519">
          <cell r="A9519" t="str">
            <v>U0TY0E</v>
          </cell>
          <cell r="B9519" t="str">
            <v>ProCare 24x7 4年 5510-48G HI Switch用</v>
          </cell>
          <cell r="C9519" t="str">
            <v>【HPEプロアクティブケア】メーカー推奨／低価格で国内専用窓口の高品質な保守により、システム運用における安心を提供します。</v>
          </cell>
        </row>
        <row r="9520">
          <cell r="A9520" t="str">
            <v>U0UA3E</v>
          </cell>
          <cell r="B9520" t="str">
            <v>ProCare 24x7 5年 5510-48G HI Switch用</v>
          </cell>
          <cell r="C9520" t="str">
            <v>【HPEプロアクティブケア】メーカー推奨／低価格で国内専用窓口の高品質な保守により、システム運用における安心を提供します。</v>
          </cell>
        </row>
        <row r="9521">
          <cell r="A9521" t="str">
            <v>U0UC3PE</v>
          </cell>
          <cell r="B9521" t="str">
            <v>更新用 PC 24x7 1年 5510-48G HI Switch用</v>
          </cell>
          <cell r="C9521" t="str">
            <v>【HPEプロアクティブケア】メーカー推奨／低価格で国内専用窓口の高品質な保守により、システム運用における安心を提供します。</v>
          </cell>
        </row>
        <row r="9522">
          <cell r="A9522" t="str">
            <v>U0UE8E</v>
          </cell>
          <cell r="B9522" t="str">
            <v>ProCare 24x7 3年 5510-24G-PoE HI Switch</v>
          </cell>
          <cell r="C9522" t="str">
            <v>【HPEプロアクティブケア】メーカー推奨／低価格で国内専用窓口の高品質な保守により、システム運用における安心を提供します。</v>
          </cell>
        </row>
        <row r="9523">
          <cell r="A9523" t="str">
            <v>U0UH1E</v>
          </cell>
          <cell r="B9523" t="str">
            <v>ProCare 24x7 4年 5510-24G-PoE HI Switch</v>
          </cell>
          <cell r="C9523" t="str">
            <v>【HPEプロアクティブケア】メーカー推奨／低価格で国内専用窓口の高品質な保守により、システム運用における安心を提供します。</v>
          </cell>
        </row>
        <row r="9524">
          <cell r="A9524" t="str">
            <v>U0UK4E</v>
          </cell>
          <cell r="B9524" t="str">
            <v>ProCare 24x7 5年 5510-24G-PoE HI Switch</v>
          </cell>
          <cell r="C9524" t="str">
            <v>【HPEプロアクティブケア】メーカー推奨／低価格で国内専用窓口の高品質な保守により、システム運用における安心を提供します。</v>
          </cell>
        </row>
        <row r="9525">
          <cell r="A9525" t="str">
            <v>U0UM4PE</v>
          </cell>
          <cell r="B9525" t="str">
            <v>更新用PC 24x7 1年 5510-24G-PoE HI Switch</v>
          </cell>
          <cell r="C9525" t="str">
            <v>【HPEプロアクティブケア】メーカー推奨／低価格で国内専用窓口の高品質な保守により、システム運用における安心を提供します。</v>
          </cell>
        </row>
        <row r="9526">
          <cell r="A9526" t="str">
            <v>U0UP9E</v>
          </cell>
          <cell r="B9526" t="str">
            <v>ProCare 24x7 3年 5510-48G-PoE HI Switch</v>
          </cell>
          <cell r="C9526" t="str">
            <v>【HPEプロアクティブケア】メーカー推奨／低価格で国内専用窓口の高品質な保守により、システム運用における安心を提供します。</v>
          </cell>
        </row>
        <row r="9527">
          <cell r="A9527" t="str">
            <v>U0US2E</v>
          </cell>
          <cell r="B9527" t="str">
            <v>ProCare 24x7 4年 5510-48G-PoE HI Switch</v>
          </cell>
          <cell r="C9527" t="str">
            <v>【HPEプロアクティブケア】メーカー推奨／低価格で国内専用窓口の高品質な保守により、システム運用における安心を提供します。</v>
          </cell>
        </row>
        <row r="9528">
          <cell r="A9528" t="str">
            <v>U0UU5E</v>
          </cell>
          <cell r="B9528" t="str">
            <v>ProCare 24x7 5年 5510-48G-PoE HI Switch</v>
          </cell>
          <cell r="C9528" t="str">
            <v>【HPEプロアクティブケア】メーカー推奨／低価格で国内専用窓口の高品質な保守により、システム運用における安心を提供します。</v>
          </cell>
        </row>
        <row r="9529">
          <cell r="A9529" t="str">
            <v>U0UW5PE</v>
          </cell>
          <cell r="B9529" t="str">
            <v>更新用PC 24x7 1年 5510-48G-PoE HI Switch</v>
          </cell>
          <cell r="C9529" t="str">
            <v>【HPEプロアクティブケア】メーカー推奨／低価格で国内専用窓口の高品質な保守により、システム運用における安心を提供します。</v>
          </cell>
        </row>
        <row r="9530">
          <cell r="A9530" t="str">
            <v>U0UZ0E</v>
          </cell>
          <cell r="B9530" t="str">
            <v>ProCare 24x7 3年 5510-24G-SFP HI Switch</v>
          </cell>
          <cell r="C9530" t="str">
            <v>【HPEプロアクティブケア】メーカー推奨／低価格で国内専用窓口の高品質な保守により、システム運用における安心を提供します。</v>
          </cell>
        </row>
        <row r="9531">
          <cell r="A9531" t="str">
            <v>U0VB3E</v>
          </cell>
          <cell r="B9531" t="str">
            <v>ProCare 24x7 4年 5510-24G-SFP HI Switch</v>
          </cell>
          <cell r="C9531" t="str">
            <v>【HPEプロアクティブケア】メーカー推奨／低価格で国内専用窓口の高品質な保守により、システム運用における安心を提供します。</v>
          </cell>
        </row>
        <row r="9532">
          <cell r="A9532" t="str">
            <v>U1BY2PE</v>
          </cell>
          <cell r="B9532" t="str">
            <v>更新用ProCare 24x7 1年 3500-48 Switch用</v>
          </cell>
          <cell r="C9532" t="str">
            <v>【HPEプロアクティブケア】メーカー推奨／低価格で国内専用窓口の高品質な保守により、システム運用における安心を提供します。</v>
          </cell>
        </row>
        <row r="9533">
          <cell r="A9533" t="str">
            <v>U1BZ4PE</v>
          </cell>
          <cell r="B9533" t="str">
            <v>更新用ProCare 24x7 1年 5406 Switch用</v>
          </cell>
          <cell r="C9533" t="str">
            <v>【HPEプロアクティブケア】メーカー推奨／低価格で国内専用窓口の高品質な保守により、システム運用における安心を提供します。</v>
          </cell>
        </row>
        <row r="9534">
          <cell r="A9534" t="str">
            <v>U1BZ7PE</v>
          </cell>
          <cell r="B9534" t="str">
            <v>更新用ProCare 24x7 1年 5412 Switch用</v>
          </cell>
          <cell r="C9534" t="str">
            <v>【HPEプロアクティブケア】メーカー推奨／低価格で国内専用窓口の高品質な保守により、システム運用における安心を提供します。</v>
          </cell>
        </row>
        <row r="9535">
          <cell r="A9535" t="str">
            <v>U1CA9PE</v>
          </cell>
          <cell r="B9535" t="str">
            <v>更新用ProCare 24x7 1年 8212 Switch用</v>
          </cell>
          <cell r="C9535" t="str">
            <v>【HPEプロアクティブケア】メーカー推奨／低価格で国内専用窓口の高品質な保守により、システム運用における安心を提供します。</v>
          </cell>
        </row>
        <row r="9536">
          <cell r="A9536" t="str">
            <v>U1CB5PE</v>
          </cell>
          <cell r="B9536" t="str">
            <v>PW ProCare 24x7 1年10500 20G U Wire-WLAN</v>
          </cell>
          <cell r="C9536" t="str">
            <v>【HPEプロアクティブケア】メーカー推奨／低価格で国内専用窓口の高品質な保守により、システム運用における安心を提供します。</v>
          </cell>
        </row>
        <row r="9537">
          <cell r="A9537" t="str">
            <v>U1CC1PE</v>
          </cell>
          <cell r="B9537" t="str">
            <v>PW ProCare 24x7 1年 10504 Switch用</v>
          </cell>
          <cell r="C9537" t="str">
            <v>【HPEプロアクティブケア】メーカー推奨／低価格で国内専用窓口の高品質な保守により、システム運用における安心を提供します。</v>
          </cell>
        </row>
        <row r="9538">
          <cell r="A9538" t="str">
            <v>U1CC7PE</v>
          </cell>
          <cell r="B9538" t="str">
            <v>PW ProCare 24x7 1年 10508 Switch用</v>
          </cell>
          <cell r="C9538" t="str">
            <v>【HPEプロアクティブケア】メーカー推奨／低価格で国内専用窓口の高品質な保守により、システム運用における安心を提供します。</v>
          </cell>
        </row>
        <row r="9539">
          <cell r="A9539" t="str">
            <v>U1CD3PE</v>
          </cell>
          <cell r="B9539" t="str">
            <v>PW ProCare 24x7 1年 10512 Switch用</v>
          </cell>
          <cell r="C9539" t="str">
            <v>【HPEプロアクティブケア】メーカー推奨／低価格で国内専用窓口の高品質な保守により、システム運用における安心を提供します。</v>
          </cell>
        </row>
        <row r="9540">
          <cell r="A9540" t="str">
            <v>U1CD9PE</v>
          </cell>
          <cell r="B9540" t="str">
            <v>PW ProCare 24x7 1年 11908 Switch用</v>
          </cell>
          <cell r="C9540" t="str">
            <v>【HPEプロアクティブケア】メーカー推奨／低価格で国内専用窓口の高品質な保守により、システム運用における安心を提供します。</v>
          </cell>
        </row>
        <row r="9541">
          <cell r="A9541" t="str">
            <v>U1CF1PE</v>
          </cell>
          <cell r="B9541" t="str">
            <v>PW ProCare 24x7 1年 12508 Switch用</v>
          </cell>
          <cell r="C9541" t="str">
            <v>【HPEプロアクティブケア】メーカー推奨／低価格で国内専用窓口の高品質な保守により、システム運用における安心を提供します。</v>
          </cell>
        </row>
        <row r="9542">
          <cell r="A9542" t="str">
            <v>U1CF7PE</v>
          </cell>
          <cell r="B9542" t="str">
            <v>PW ProCare 24x7 1年 12518 Switch用</v>
          </cell>
          <cell r="C9542" t="str">
            <v>【HPEプロアクティブケア】メーカー推奨／低価格で国内専用窓口の高品質な保守により、システム運用における安心を提供します。</v>
          </cell>
        </row>
        <row r="9543">
          <cell r="A9543" t="str">
            <v>U1CJ4PE</v>
          </cell>
          <cell r="B9543" t="str">
            <v>更新用ProCare 24x7 1年 2620 Switch用</v>
          </cell>
          <cell r="C9543" t="str">
            <v>【HPEプロアクティブケア】メーカー推奨／低価格で国内専用窓口の高品質な保守により、システム運用における安心を提供します。</v>
          </cell>
        </row>
        <row r="9544">
          <cell r="A9544" t="str">
            <v>U1CK3PE</v>
          </cell>
          <cell r="B9544" t="str">
            <v>更新用ProCare 24x7 1年 3100 Switch用</v>
          </cell>
          <cell r="C9544" t="str">
            <v>【HPEプロアクティブケア】メーカー推奨／低価格で国内専用窓口の高品質な保守により、システム運用における安心を提供します。</v>
          </cell>
        </row>
        <row r="9545">
          <cell r="A9545" t="str">
            <v>U1CK6PE</v>
          </cell>
          <cell r="B9545" t="str">
            <v>更新用ProCare 24x7 1年 3600 Switch用</v>
          </cell>
          <cell r="C9545" t="str">
            <v>【HPEプロアクティブケア】メーカー推奨／低価格で国内専用窓口の高品質な保守により、システム運用における安心を提供します。</v>
          </cell>
        </row>
        <row r="9546">
          <cell r="A9546" t="str">
            <v>U1CK9PE</v>
          </cell>
          <cell r="B9546" t="str">
            <v>更新用ProCare 24x7 1年 3800 Switch用</v>
          </cell>
          <cell r="C9546" t="str">
            <v>【HPEプロアクティブケア】メーカー推奨／低価格で国内専用窓口の高品質な保守により、システム運用における安心を提供します。</v>
          </cell>
        </row>
        <row r="9547">
          <cell r="A9547" t="str">
            <v>U1CM1PE</v>
          </cell>
          <cell r="B9547" t="str">
            <v>更新用PC 24x7 1年5120-16/24/48 Switch A</v>
          </cell>
          <cell r="C9547" t="str">
            <v>【HPEプロアクティブケア】メーカー推奨／低価格で国内専用窓口の高品質な保守により、システム運用における安心を提供します。</v>
          </cell>
        </row>
        <row r="9548">
          <cell r="A9548" t="str">
            <v>U1CM4PE</v>
          </cell>
          <cell r="B9548" t="str">
            <v>更新用ProCare 24x7 1年 5406(Prem Lic付)</v>
          </cell>
          <cell r="C9548" t="str">
            <v>【HPEプロアクティブケア】メーカー推奨／低価格で国内専用窓口の高品質な保守により、システム運用における安心を提供します。</v>
          </cell>
        </row>
        <row r="9549">
          <cell r="A9549" t="str">
            <v>U1CM7PE</v>
          </cell>
          <cell r="B9549" t="str">
            <v>更新用ProCare 24x7 1年 5412(Prem Lic付)</v>
          </cell>
          <cell r="C9549" t="str">
            <v>【HPEプロアクティブケア】メーカー推奨／低価格で国内専用窓口の高品質な保守により、システム運用における安心を提供します。</v>
          </cell>
        </row>
        <row r="9550">
          <cell r="A9550" t="str">
            <v>U1CN0PE</v>
          </cell>
          <cell r="B9550" t="str">
            <v>更新用ProCare 24x7 1年 5500-24 EI Switch</v>
          </cell>
          <cell r="C9550" t="str">
            <v>【HPEプロアクティブケア】メーカー推奨／低価格で国内専用窓口の高品質な保守により、システム運用における安心を提供します。</v>
          </cell>
        </row>
        <row r="9551">
          <cell r="A9551" t="str">
            <v>U1CN3PE</v>
          </cell>
          <cell r="B9551" t="str">
            <v>更新用ProCare 24x7 1年 5500-24 HI Switch</v>
          </cell>
          <cell r="C9551" t="str">
            <v>【HPEプロアクティブケア】メーカー推奨／低価格で国内専用窓口の高品質な保守により、システム運用における安心を提供します。</v>
          </cell>
        </row>
        <row r="9552">
          <cell r="A9552" t="str">
            <v>U1CN9PE</v>
          </cell>
          <cell r="B9552" t="str">
            <v>更新用ProCare 24x7 1年 5500-24 SI Switch</v>
          </cell>
          <cell r="C9552" t="str">
            <v>【HPEプロアクティブケア】メーカー推奨／低価格で国内専用窓口の高品質な保守により、システム運用における安心を提供します。</v>
          </cell>
        </row>
        <row r="9553">
          <cell r="A9553" t="str">
            <v>U1CP2PE</v>
          </cell>
          <cell r="B9553" t="str">
            <v>更新用ProCare 24x7 1年 5500-48 EI Switch</v>
          </cell>
          <cell r="C9553" t="str">
            <v>【HPEプロアクティブケア】メーカー推奨／低価格で国内専用窓口の高品質な保守により、システム運用における安心を提供します。</v>
          </cell>
        </row>
        <row r="9554">
          <cell r="A9554" t="str">
            <v>U1CP5PE</v>
          </cell>
          <cell r="B9554" t="str">
            <v>更新用ProCare 24x7 1年 5500-48 HI Switch</v>
          </cell>
          <cell r="C9554" t="str">
            <v>【HPEプロアクティブケア】メーカー推奨／低価格で国内専用窓口の高品質な保守により、システム運用における安心を提供します。</v>
          </cell>
        </row>
        <row r="9555">
          <cell r="A9555" t="str">
            <v>U1CQ1PE</v>
          </cell>
          <cell r="B9555" t="str">
            <v>更新用ProCare 24x7 1年 5500-48 SI Switch</v>
          </cell>
          <cell r="C9555" t="str">
            <v>【HPEプロアクティブケア】メーカー推奨／低価格で国内専用窓口の高品質な保守により、システム運用における安心を提供します。</v>
          </cell>
        </row>
        <row r="9556">
          <cell r="A9556" t="str">
            <v>U1CQ4PE</v>
          </cell>
          <cell r="B9556" t="str">
            <v>更新用ProCare 24x7 1年 5800-24 Switch</v>
          </cell>
          <cell r="C9556" t="str">
            <v>【HPEプロアクティブケア】メーカー推奨／低価格で国内専用窓口の高品質な保守により、システム運用における安心を提供します。</v>
          </cell>
        </row>
        <row r="9557">
          <cell r="A9557" t="str">
            <v>U1CQ7PE</v>
          </cell>
          <cell r="B9557" t="str">
            <v>更新用ProCare 24x7 1年 5800-48 Switch</v>
          </cell>
          <cell r="C9557" t="str">
            <v>【HPEプロアクティブケア】メーカー推奨／低価格で国内専用窓口の高品質な保守により、システム運用における安心を提供します。</v>
          </cell>
        </row>
        <row r="9558">
          <cell r="A9558" t="str">
            <v>U1CR6PE</v>
          </cell>
          <cell r="B9558" t="str">
            <v>PW ProCare 24x7 1年 5820 VPN FW Mod用</v>
          </cell>
          <cell r="C9558" t="str">
            <v>【HPEプロアクティブケア】メーカー推奨／低価格で国内専用窓口の高品質な保守により、システム運用における安心を提供します。</v>
          </cell>
        </row>
        <row r="9559">
          <cell r="A9559" t="str">
            <v>U1CS2PE</v>
          </cell>
          <cell r="B9559" t="str">
            <v>PW ProCare 24x7 1年 5820 Switch用</v>
          </cell>
          <cell r="C9559" t="str">
            <v>【HPEプロアクティブケア】メーカー推奨／低価格で国内専用窓口の高品質な保守により、システム運用における安心を提供します。</v>
          </cell>
        </row>
        <row r="9560">
          <cell r="A9560" t="str">
            <v>U1CS8PE</v>
          </cell>
          <cell r="B9560" t="str">
            <v>PW ProCare 24x7 1年 5830AF-48G Switch用</v>
          </cell>
          <cell r="C9560" t="str">
            <v>【HPEプロアクティブケア】メーカー推奨／低価格で国内専用窓口の高品質な保守により、システム運用における安心を提供します。</v>
          </cell>
        </row>
        <row r="9561">
          <cell r="A9561" t="str">
            <v>U1CT4PE</v>
          </cell>
          <cell r="B9561" t="str">
            <v>PW ProCare 24x7 1年 5830AF-96G Switch用</v>
          </cell>
          <cell r="C9561" t="str">
            <v>【HPEプロアクティブケア】メーカー推奨／低価格で国内専用窓口の高品質な保守により、システム運用における安心を提供します。</v>
          </cell>
        </row>
        <row r="9562">
          <cell r="A9562" t="str">
            <v>U1CU0PE</v>
          </cell>
          <cell r="B9562" t="str">
            <v>PW ProCare 24x7 1年 5900AF-48XG Switch用</v>
          </cell>
          <cell r="C9562" t="str">
            <v>【HPEプロアクティブケア】メーカー推奨／低価格で国内専用窓口の高品質な保守により、システム運用における安心を提供します。</v>
          </cell>
        </row>
        <row r="9563">
          <cell r="A9563" t="str">
            <v>U1CU6PE</v>
          </cell>
          <cell r="B9563" t="str">
            <v>PW ProCare 24x7 1年 5900AF-48G Switch用</v>
          </cell>
          <cell r="C9563" t="str">
            <v>【HPEプロアクティブケア】メーカー推奨／低価格で国内専用窓口の高品質な保守により、システム運用における安心を提供します。</v>
          </cell>
        </row>
        <row r="9564">
          <cell r="A9564" t="str">
            <v>U1CV2PE</v>
          </cell>
          <cell r="B9564" t="str">
            <v>PW ProCare 24x7 1年 5920AF-24XG Switch用</v>
          </cell>
          <cell r="C9564" t="str">
            <v>【HPEプロアクティブケア】メーカー推奨／低価格で国内専用窓口の高品質な保守により、システム運用における安心を提供します。</v>
          </cell>
        </row>
        <row r="9565">
          <cell r="A9565" t="str">
            <v>U1CW4PE</v>
          </cell>
          <cell r="B9565" t="str">
            <v>PW ProCare 24x7 1年 7502/7503 Switch用</v>
          </cell>
          <cell r="C9565" t="str">
            <v>【HPEプロアクティブケア】メーカー推奨／低価格で国内専用窓口の高品質な保守により、システム運用における安心を提供します。</v>
          </cell>
        </row>
        <row r="9566">
          <cell r="A9566" t="str">
            <v>U1CX0PE</v>
          </cell>
          <cell r="B9566" t="str">
            <v>PW ProCare 24x7 1年 7506 Switch用</v>
          </cell>
          <cell r="C9566" t="str">
            <v>【HPEプロアクティブケア】メーカー推奨／低価格で国内専用窓口の高品質な保守により、システム運用における安心を提供します。</v>
          </cell>
        </row>
        <row r="9567">
          <cell r="A9567" t="str">
            <v>U1CX6PE</v>
          </cell>
          <cell r="B9567" t="str">
            <v>PW ProCare 24x7 1年 7510 Switch用</v>
          </cell>
          <cell r="C9567" t="str">
            <v>【HPEプロアクティブケア】メーカー推奨／低価格で国内専用窓口の高品質な保守により、システム運用における安心を提供します。</v>
          </cell>
        </row>
        <row r="9568">
          <cell r="A9568" t="str">
            <v>U1CZ4PE</v>
          </cell>
          <cell r="B9568" t="str">
            <v>更新用ProCare 24x7 1年 8206(Prem Lic付)</v>
          </cell>
          <cell r="C9568" t="str">
            <v>【HPEプロアクティブケア】メーカー推奨／低価格で国内専用窓口の高品質な保守により、システム運用における安心を提供します。</v>
          </cell>
        </row>
        <row r="9569">
          <cell r="A9569" t="str">
            <v>U1CZ7PE</v>
          </cell>
          <cell r="B9569" t="str">
            <v>更新用ProCare 24x7 1年 8212(Prem Lic付)</v>
          </cell>
          <cell r="C9569" t="str">
            <v>【HPEプロアクティブケア】メーカー推奨／低価格で国内専用窓口の高品質な保守により、システム運用における安心を提供します。</v>
          </cell>
        </row>
        <row r="9570">
          <cell r="A9570" t="str">
            <v>U1DC4PE</v>
          </cell>
          <cell r="B9570" t="str">
            <v>PW ProCare 24x7 1年 9508 Switch用</v>
          </cell>
          <cell r="C9570" t="str">
            <v>【HPEプロアクティブケア】メーカー推奨／低価格で国内専用窓口の高品質な保守により、システム運用における安心を提供します。</v>
          </cell>
        </row>
        <row r="9571">
          <cell r="A9571" t="str">
            <v>U1DD0PE</v>
          </cell>
          <cell r="B9571" t="str">
            <v>PW ProCare 24x7 1年 9512 Switch用</v>
          </cell>
          <cell r="C9571" t="str">
            <v>【HPEプロアクティブケア】メーカー推奨／低価格で国内専用窓口の高品質な保守により、システム運用における安心を提供します。</v>
          </cell>
        </row>
        <row r="9572">
          <cell r="A9572" t="str">
            <v>U1DG6PE</v>
          </cell>
          <cell r="B9572" t="str">
            <v>更新用ProCare 24x7 1年 MSM430 AP用</v>
          </cell>
          <cell r="C9572" t="str">
            <v>【HPEプロアクティブケア】メーカー推奨／低価格で国内専用窓口の高品質な保守により、システム運用における安心を提供します。</v>
          </cell>
        </row>
        <row r="9573">
          <cell r="A9573" t="str">
            <v>U1DH2PE</v>
          </cell>
          <cell r="B9573" t="str">
            <v>更新用ProCare 24x7 1年 MSM46x AP用</v>
          </cell>
          <cell r="C9573" t="str">
            <v>【HPEプロアクティブケア】メーカー推奨／低価格で国内専用窓口の高品質な保守により、システム運用における安心を提供します。</v>
          </cell>
        </row>
        <row r="9574">
          <cell r="A9574" t="str">
            <v>U1DH5PE</v>
          </cell>
          <cell r="B9574" t="str">
            <v>更新用ProCare 24x7 1年MSM720 AccessContr</v>
          </cell>
          <cell r="C9574" t="str">
            <v>【HPEプロアクティブケア】メーカー推奨／低価格で国内専用窓口の高品質な保守により、システム運用における安心を提供します。</v>
          </cell>
        </row>
        <row r="9575">
          <cell r="A9575" t="str">
            <v>U1DH8PE</v>
          </cell>
          <cell r="B9575" t="str">
            <v>更新用ProCare 24x7 1年MSM720 MbltyCtlr</v>
          </cell>
          <cell r="C9575" t="str">
            <v>【HPEプロアクティブケア】メーカー推奨／低価格で国内専用窓口の高品質な保守により、システム運用における安心を提供します。</v>
          </cell>
        </row>
        <row r="9576">
          <cell r="A9576" t="str">
            <v>U1DN3PE</v>
          </cell>
          <cell r="B9576" t="str">
            <v>更新用ProCare 24x7 1年 MSM310 AP用</v>
          </cell>
          <cell r="C9576" t="str">
            <v>【HPEプロアクティブケア】メーカー推奨／低価格で国内専用窓口の高品質な保守により、システム運用における安心を提供します。</v>
          </cell>
        </row>
        <row r="9577">
          <cell r="A9577" t="str">
            <v>U1DS5PE</v>
          </cell>
          <cell r="B9577" t="str">
            <v>PW ProCare 24x7 1年 MSM760 Access Contr</v>
          </cell>
          <cell r="C9577" t="str">
            <v>【HPEプロアクティブケア】メーカー推奨／低価格で国内専用窓口の高品質な保守により、システム運用における安心を提供します。</v>
          </cell>
        </row>
        <row r="9578">
          <cell r="A9578" t="str">
            <v>U1DT1PE</v>
          </cell>
          <cell r="B9578" t="str">
            <v>PW ProCare 24x7 1年 MSM760 MbltyCtlr</v>
          </cell>
          <cell r="C9578" t="str">
            <v>【HPEプロアクティブケア】メーカー推奨／低価格で国内専用窓口の高品質な保守により、システム運用における安心を提供します。</v>
          </cell>
        </row>
        <row r="9579">
          <cell r="A9579" t="str">
            <v>U1DT7PE</v>
          </cell>
          <cell r="B9579" t="str">
            <v>更新用ProCare 24x7 1年 MSM765 MbltyCtlr</v>
          </cell>
          <cell r="C9579" t="str">
            <v>【HPEプロアクティブケア】メーカー推奨／低価格で国内専用窓口の高品質な保守により、システム運用における安心を提供します。</v>
          </cell>
        </row>
        <row r="9580">
          <cell r="A9580" t="str">
            <v>U1DU0PE</v>
          </cell>
          <cell r="B9580" t="str">
            <v>PW ProCare 24x7 1年Redundant PowerSupply</v>
          </cell>
          <cell r="C9580" t="str">
            <v>【HPEプロアクティブケア】メーカー推奨／低価格で国内専用窓口の高品質な保守により、システム運用における安心を提供します。</v>
          </cell>
        </row>
        <row r="9581">
          <cell r="A9581" t="str">
            <v>U1KM9PE</v>
          </cell>
          <cell r="B9581" t="str">
            <v>PW ProCare 24x7 1年 MSR20 Router用</v>
          </cell>
          <cell r="C9581" t="str">
            <v>【HPEプロアクティブケア】メーカー推奨／低価格で国内専用窓口の高品質な保守により、システム運用における安心を提供します。</v>
          </cell>
        </row>
        <row r="9582">
          <cell r="A9582" t="str">
            <v>U1LD4PE</v>
          </cell>
          <cell r="B9582" t="str">
            <v>PW ProCare 24x7 1年 12504 Switch用</v>
          </cell>
          <cell r="C9582" t="str">
            <v>【HPEプロアクティブケア】メーカー推奨／低価格で国内専用窓口の高品質な保守により、システム運用における安心を提供します。</v>
          </cell>
        </row>
        <row r="9583">
          <cell r="A9583" t="str">
            <v>U1LK1PE</v>
          </cell>
          <cell r="B9583" t="str">
            <v>更新用ProCare 24x7 1年 25xx/2610 Switch</v>
          </cell>
          <cell r="C9583" t="str">
            <v>【HPEプロアクティブケア】メーカー推奨／低価格で国内専用窓口の高品質な保守により、システム運用における安心を提供します。</v>
          </cell>
        </row>
        <row r="9584">
          <cell r="A9584" t="str">
            <v>U1LK4PE</v>
          </cell>
          <cell r="B9584" t="str">
            <v>更新用ProCare 24x7 1年 2915/2615 Switch</v>
          </cell>
          <cell r="C9584" t="str">
            <v>【HPEプロアクティブケア】メーカー推奨／低価格で国内専用窓口の高品質な保守により、システム運用における安心を提供します。</v>
          </cell>
        </row>
        <row r="9585">
          <cell r="A9585" t="str">
            <v>U1LK7PE</v>
          </cell>
          <cell r="B9585" t="str">
            <v>更新用ProCare 24x7 1年 2810-24 Switch用</v>
          </cell>
          <cell r="C9585" t="str">
            <v>【HPEプロアクティブケア】メーカー推奨／低価格で国内専用窓口の高品質な保守により、システム運用における安心を提供します。</v>
          </cell>
        </row>
        <row r="9586">
          <cell r="A9586" t="str">
            <v>U1LL0PE</v>
          </cell>
          <cell r="B9586" t="str">
            <v>更新用ProCare 24x7 1年 2810-48 Switch用</v>
          </cell>
          <cell r="C9586" t="str">
            <v>【HPEプロアクティブケア】メーカー推奨／低価格で国内専用窓口の高品質な保守により、システム運用における安心を提供します。</v>
          </cell>
        </row>
        <row r="9587">
          <cell r="A9587" t="str">
            <v>U1LL3PE</v>
          </cell>
          <cell r="B9587" t="str">
            <v>更新用ProCare 24x7 1年 2910-24/2920-24</v>
          </cell>
          <cell r="C9587" t="str">
            <v>【HPEプロアクティブケア】メーカー推奨／低価格で国内専用窓口の高品質な保守により、システム運用における安心を提供します。</v>
          </cell>
        </row>
        <row r="9588">
          <cell r="A9588" t="str">
            <v>U1LL6PE</v>
          </cell>
          <cell r="B9588" t="str">
            <v>更新用ProCare 24x7 1年 2910-48/2920-48</v>
          </cell>
          <cell r="C9588" t="str">
            <v>【HPEプロアクティブケア】メーカー推奨／低価格で国内専用窓口の高品質な保守により、システム運用における安心を提供します。</v>
          </cell>
        </row>
        <row r="9589">
          <cell r="A9589" t="str">
            <v>U1LL9PE</v>
          </cell>
          <cell r="B9589" t="str">
            <v>更新用ProCare 24x7 1年 3500-24 Switch用</v>
          </cell>
          <cell r="C9589" t="str">
            <v>【HPEプロアクティブケア】メーカー推奨／低価格で国内専用窓口の高品質な保守により、システム運用における安心を提供します。</v>
          </cell>
        </row>
        <row r="9590">
          <cell r="A9590" t="str">
            <v>U1QD8E</v>
          </cell>
          <cell r="B9590" t="str">
            <v>ProCare 24x7 3年 5930 Switch用</v>
          </cell>
          <cell r="C9590" t="str">
            <v>【HPEプロアクティブケア】メーカー推奨／低価格で国内専用窓口の高品質な保守により、システム運用における安心を提供します。</v>
          </cell>
        </row>
        <row r="9591">
          <cell r="A9591" t="str">
            <v>U1QF5E</v>
          </cell>
          <cell r="B9591" t="str">
            <v>ProCare 24x7 4年 5930 Switch用</v>
          </cell>
          <cell r="C9591" t="str">
            <v>【HPEプロアクティブケア】メーカー推奨／低価格で国内専用窓口の高品質な保守により、システム運用における安心を提供します。</v>
          </cell>
        </row>
        <row r="9592">
          <cell r="A9592" t="str">
            <v>U1QH2E</v>
          </cell>
          <cell r="B9592" t="str">
            <v>ProCare 24x7 5年 5930 Switch用</v>
          </cell>
          <cell r="C9592" t="str">
            <v>【HPEプロアクティブケア】メーカー推奨／低価格で国内専用窓口の高品質な保守により、システム運用における安心を提供します。</v>
          </cell>
        </row>
        <row r="9593">
          <cell r="A9593" t="str">
            <v>U1QP1E</v>
          </cell>
          <cell r="B9593" t="str">
            <v>ProCare 24x7 3年 12916 Switch用</v>
          </cell>
          <cell r="C9593" t="str">
            <v>【HPEプロアクティブケア】メーカー推奨／低価格で国内専用窓口の高品質な保守により、システム運用における安心を提供します。</v>
          </cell>
        </row>
        <row r="9594">
          <cell r="A9594" t="str">
            <v>U1QQ7E</v>
          </cell>
          <cell r="B9594" t="str">
            <v>ProCare 24x7 4年 12916 Switch用</v>
          </cell>
          <cell r="C9594" t="str">
            <v>【HPEプロアクティブケア】メーカー推奨／低価格で国内専用窓口の高品質な保守により、システム運用における安心を提供します。</v>
          </cell>
        </row>
        <row r="9595">
          <cell r="A9595" t="str">
            <v>U1QS3E</v>
          </cell>
          <cell r="B9595" t="str">
            <v>ProCare 24x7 5年 12916 Switch用</v>
          </cell>
          <cell r="C9595" t="str">
            <v>【HPEプロアクティブケア】メーカー推奨／低価格で国内専用窓口の高品質な保守により、システム運用における安心を提供します。</v>
          </cell>
        </row>
        <row r="9596">
          <cell r="A9596" t="str">
            <v>U1QT2PE</v>
          </cell>
          <cell r="B9596" t="str">
            <v>PW FC 24x7 1年 12508E Switch用</v>
          </cell>
          <cell r="C9596" t="str">
            <v>【ファウンデーションケア】</v>
          </cell>
        </row>
        <row r="9597">
          <cell r="A9597" t="str">
            <v>U1QT3E</v>
          </cell>
          <cell r="B9597" t="str">
            <v>FC 24x7 3年 12508E Switch用</v>
          </cell>
          <cell r="C9597" t="str">
            <v>【ファウンデーションケア】</v>
          </cell>
        </row>
        <row r="9598">
          <cell r="A9598" t="str">
            <v>U1QT4E</v>
          </cell>
          <cell r="B9598" t="str">
            <v>FC 24x7 4年 12508E Switch用</v>
          </cell>
          <cell r="C9598" t="str">
            <v>【ファウンデーションケア】</v>
          </cell>
        </row>
        <row r="9599">
          <cell r="A9599" t="str">
            <v>U1QT5E</v>
          </cell>
          <cell r="B9599" t="str">
            <v>FC 24x7 5年 12508E Switch用</v>
          </cell>
          <cell r="C9599" t="str">
            <v>【ファウンデーションケア】</v>
          </cell>
        </row>
        <row r="9600">
          <cell r="A9600" t="str">
            <v>U1QT6E</v>
          </cell>
          <cell r="B9600" t="str">
            <v>FC 24x7 1年 12508E Switch用</v>
          </cell>
          <cell r="C9600" t="str">
            <v>【ファウンデーションケア】</v>
          </cell>
        </row>
        <row r="9601">
          <cell r="A9601" t="str">
            <v>U1QV2PE</v>
          </cell>
          <cell r="B9601" t="str">
            <v>PW FC 9x5 1年 12508E Switch用</v>
          </cell>
          <cell r="C9601" t="str">
            <v>【ファウンデーションケア】</v>
          </cell>
        </row>
        <row r="9602">
          <cell r="A9602" t="str">
            <v>U1QV3E</v>
          </cell>
          <cell r="B9602" t="str">
            <v>FC 9x5 3年 12508E Switch用</v>
          </cell>
          <cell r="C9602" t="str">
            <v>【ファウンデーションケア】</v>
          </cell>
        </row>
        <row r="9603">
          <cell r="A9603" t="str">
            <v>U1QW4E</v>
          </cell>
          <cell r="B9603" t="str">
            <v>FC 9x5 4年 12508E Switch用</v>
          </cell>
          <cell r="C9603" t="str">
            <v>【ファウンデーションケア】</v>
          </cell>
        </row>
        <row r="9604">
          <cell r="A9604" t="str">
            <v>U1QW5E</v>
          </cell>
          <cell r="B9604" t="str">
            <v>FC 9x5 5年 12508E Switch用</v>
          </cell>
          <cell r="C9604" t="str">
            <v>【ファウンデーションケア】</v>
          </cell>
        </row>
        <row r="9605">
          <cell r="A9605" t="str">
            <v>U1QX9E</v>
          </cell>
          <cell r="B9605" t="str">
            <v>ProCare 24x7 3年 12508E Switch用</v>
          </cell>
          <cell r="C9605" t="str">
            <v>【HPEプロアクティブケア】メーカー推奨／低価格で国内専用窓口の高品質な保守により、システム運用における安心を提供します。</v>
          </cell>
        </row>
        <row r="9606">
          <cell r="A9606" t="str">
            <v>U1QY0E</v>
          </cell>
          <cell r="B9606" t="str">
            <v>ProCare 24x7 4年 12508E Switch用</v>
          </cell>
          <cell r="C9606" t="str">
            <v>【HPEプロアクティブケア】メーカー推奨／低価格で国内専用窓口の高品質な保守により、システム運用における安心を提供します。</v>
          </cell>
        </row>
        <row r="9607">
          <cell r="A9607" t="str">
            <v>U1QY1E</v>
          </cell>
          <cell r="B9607" t="str">
            <v>ProCare 24x7 5年 12508E Switch用</v>
          </cell>
          <cell r="C9607" t="str">
            <v>【HPEプロアクティブケア】メーカー推奨／低価格で国内専用窓口の高品質な保守により、システム運用における安心を提供します。</v>
          </cell>
        </row>
        <row r="9608">
          <cell r="A9608" t="str">
            <v>U1QY2PE</v>
          </cell>
          <cell r="B9608" t="str">
            <v>PW ProCare 24x7 1年 12508E Switch用</v>
          </cell>
          <cell r="C9608" t="str">
            <v>【HPEプロアクティブケア】メーカー推奨／低価格で国内専用窓口の高品質な保守により、システム運用における安心を提供します。</v>
          </cell>
        </row>
        <row r="9609">
          <cell r="A9609" t="str">
            <v>U1RB0PE</v>
          </cell>
          <cell r="B9609" t="str">
            <v>PW FC 24x7 1年 12518E Switch用</v>
          </cell>
          <cell r="C9609" t="str">
            <v>【ファウンデーションケア】</v>
          </cell>
        </row>
        <row r="9610">
          <cell r="A9610" t="str">
            <v>U1RB1E</v>
          </cell>
          <cell r="B9610" t="str">
            <v>FC 24x7 3年 12518E Switch用</v>
          </cell>
          <cell r="C9610" t="str">
            <v>【ファウンデーションケア】</v>
          </cell>
        </row>
        <row r="9611">
          <cell r="A9611" t="str">
            <v>U1RB2E</v>
          </cell>
          <cell r="B9611" t="str">
            <v>FC 24x7 4年 12518E Switch用</v>
          </cell>
          <cell r="C9611" t="str">
            <v>【ファウンデーションケア】</v>
          </cell>
        </row>
        <row r="9612">
          <cell r="A9612" t="str">
            <v>U1RB3E</v>
          </cell>
          <cell r="B9612" t="str">
            <v>FC 24x7 5年 12518E Switch用</v>
          </cell>
          <cell r="C9612" t="str">
            <v>【ファウンデーションケア】</v>
          </cell>
        </row>
        <row r="9613">
          <cell r="A9613" t="str">
            <v>U1RB4E</v>
          </cell>
          <cell r="B9613" t="str">
            <v>FC 24x7 1年 12518E Switch用</v>
          </cell>
          <cell r="C9613" t="str">
            <v>【ファウンデーションケア】</v>
          </cell>
        </row>
        <row r="9614">
          <cell r="A9614" t="str">
            <v>U1RE5PE</v>
          </cell>
          <cell r="B9614" t="str">
            <v>PW FC 9x5 1年 12518E Switch用</v>
          </cell>
          <cell r="C9614" t="str">
            <v>【ファウンデーションケア】</v>
          </cell>
        </row>
        <row r="9615">
          <cell r="A9615" t="str">
            <v>U1RE6E</v>
          </cell>
          <cell r="B9615" t="str">
            <v>FC 9x5 3年 12518E Switch用</v>
          </cell>
          <cell r="C9615" t="str">
            <v>【ファウンデーションケア】</v>
          </cell>
        </row>
        <row r="9616">
          <cell r="A9616" t="str">
            <v>U1RE7E</v>
          </cell>
          <cell r="B9616" t="str">
            <v>FC 9x5 4年 12518E Switch用</v>
          </cell>
          <cell r="C9616" t="str">
            <v>【ファウンデーションケア】</v>
          </cell>
        </row>
        <row r="9617">
          <cell r="A9617" t="str">
            <v>U1RE8E</v>
          </cell>
          <cell r="B9617" t="str">
            <v>FC 9x5 5年 12518E Switch用</v>
          </cell>
          <cell r="C9617" t="str">
            <v>【ファウンデーションケア】</v>
          </cell>
        </row>
        <row r="9618">
          <cell r="A9618" t="str">
            <v>U1RG2E</v>
          </cell>
          <cell r="B9618" t="str">
            <v>ProCare 24x7 3年 12518E Switch用</v>
          </cell>
          <cell r="C9618" t="str">
            <v>【HPEプロアクティブケア】メーカー推奨／低価格で国内専用窓口の高品質な保守により、システム運用における安心を提供します。</v>
          </cell>
        </row>
        <row r="9619">
          <cell r="A9619" t="str">
            <v>U1RG3E</v>
          </cell>
          <cell r="B9619" t="str">
            <v>ProCare 24x7 4年 12518E Switch用</v>
          </cell>
          <cell r="C9619" t="str">
            <v>【HPEプロアクティブケア】メーカー推奨／低価格で国内専用窓口の高品質な保守により、システム運用における安心を提供します。</v>
          </cell>
        </row>
        <row r="9620">
          <cell r="A9620" t="str">
            <v>U1RG4E</v>
          </cell>
          <cell r="B9620" t="str">
            <v>ProCare 24x7 5年 12518E Switch用</v>
          </cell>
          <cell r="C9620" t="str">
            <v>【HPEプロアクティブケア】メーカー推奨／低価格で国内専用窓口の高品質な保守により、システム運用における安心を提供します。</v>
          </cell>
        </row>
        <row r="9621">
          <cell r="A9621" t="str">
            <v>U1RG5PE</v>
          </cell>
          <cell r="B9621" t="str">
            <v>PW ProCare 24x7 1年 12518E Switch用</v>
          </cell>
          <cell r="C9621" t="str">
            <v>【HPEプロアクティブケア】メーカー推奨／低価格で国内専用窓口の高品質な保守により、システム運用における安心を提供します。</v>
          </cell>
        </row>
        <row r="9622">
          <cell r="A9622" t="str">
            <v>U1RJ6E</v>
          </cell>
          <cell r="B9622" t="str">
            <v>FC 24x7 3年 12916 Switch用</v>
          </cell>
          <cell r="C9622" t="str">
            <v>【ファウンデーションケア】</v>
          </cell>
        </row>
        <row r="9623">
          <cell r="A9623" t="str">
            <v>U1RJ7E</v>
          </cell>
          <cell r="B9623" t="str">
            <v>FC 24x7 4年 12916 Switch用</v>
          </cell>
          <cell r="C9623" t="str">
            <v>【ファウンデーションケア】</v>
          </cell>
        </row>
        <row r="9624">
          <cell r="A9624" t="str">
            <v>U1RJ8E</v>
          </cell>
          <cell r="B9624" t="str">
            <v>FC 24x7 5年 12916 Switch用</v>
          </cell>
          <cell r="C9624" t="str">
            <v>【ファウンデーションケア】</v>
          </cell>
        </row>
        <row r="9625">
          <cell r="A9625" t="str">
            <v>U1RJ9PE</v>
          </cell>
          <cell r="B9625" t="str">
            <v>PW FC 24x7 1年 12916 Switch用</v>
          </cell>
          <cell r="C9625" t="str">
            <v>【ファウンデーションケア】</v>
          </cell>
        </row>
        <row r="9626">
          <cell r="A9626" t="str">
            <v>U1RK0E</v>
          </cell>
          <cell r="B9626" t="str">
            <v>FC 24x7 1年 12916 Switch用</v>
          </cell>
          <cell r="C9626" t="str">
            <v>【ファウンデーションケア】</v>
          </cell>
        </row>
        <row r="9627">
          <cell r="A9627" t="str">
            <v>U1RM1E</v>
          </cell>
          <cell r="B9627" t="str">
            <v>FC 9x5 3年 12916 Switch用</v>
          </cell>
          <cell r="C9627" t="str">
            <v>【ファウンデーションケア】</v>
          </cell>
        </row>
        <row r="9628">
          <cell r="A9628" t="str">
            <v>U1RM2E</v>
          </cell>
          <cell r="B9628" t="str">
            <v>FC 9x5 4年 12916 Switch用</v>
          </cell>
          <cell r="C9628" t="str">
            <v>【ファウンデーションケア】</v>
          </cell>
        </row>
        <row r="9629">
          <cell r="A9629" t="str">
            <v>U1RM3E</v>
          </cell>
          <cell r="B9629" t="str">
            <v>FC 9x5 5年 12916 Switch用</v>
          </cell>
          <cell r="C9629" t="str">
            <v>【ファウンデーションケア】</v>
          </cell>
        </row>
        <row r="9630">
          <cell r="A9630" t="str">
            <v>U1RT9E</v>
          </cell>
          <cell r="B9630" t="str">
            <v>FC 24x7 1年 7904 Switch用</v>
          </cell>
          <cell r="C9630" t="str">
            <v>【ファウンデーションケア】</v>
          </cell>
        </row>
        <row r="9631">
          <cell r="A9631" t="str">
            <v>U1RU8E</v>
          </cell>
          <cell r="B9631" t="str">
            <v>FC 9x5 3年 7904 Switch用</v>
          </cell>
          <cell r="C9631" t="str">
            <v>【ファウンデーションケア】</v>
          </cell>
        </row>
        <row r="9632">
          <cell r="A9632" t="str">
            <v>U1RV1E</v>
          </cell>
          <cell r="B9632" t="str">
            <v>FC 24x7 3年 7904 Switch用</v>
          </cell>
          <cell r="C9632" t="str">
            <v>【ファウンデーションケア】</v>
          </cell>
        </row>
        <row r="9633">
          <cell r="A9633" t="str">
            <v>U1RV3E</v>
          </cell>
          <cell r="B9633" t="str">
            <v>ProCare 24x7 3年 7904 Switch用</v>
          </cell>
          <cell r="C9633" t="str">
            <v>【HPEプロアクティブケア】メーカー推奨／低価格で国内専用窓口の高品質な保守により、システム運用における安心を提供します。</v>
          </cell>
        </row>
        <row r="9634">
          <cell r="A9634" t="str">
            <v>U1RW3E</v>
          </cell>
          <cell r="B9634" t="str">
            <v>FC 9x5 4年 7904 Switch用</v>
          </cell>
          <cell r="C9634" t="str">
            <v>【ファウンデーションケア】</v>
          </cell>
        </row>
        <row r="9635">
          <cell r="A9635" t="str">
            <v>U1RW6E</v>
          </cell>
          <cell r="B9635" t="str">
            <v>FC 24x7 4年 7904 Switch用</v>
          </cell>
          <cell r="C9635" t="str">
            <v>【ファウンデーションケア】</v>
          </cell>
        </row>
        <row r="9636">
          <cell r="A9636" t="str">
            <v>U1RW8E</v>
          </cell>
          <cell r="B9636" t="str">
            <v>ProCare 24x7 4年 7904 Switch用</v>
          </cell>
          <cell r="C9636" t="str">
            <v>【HPEプロアクティブケア】メーカー推奨／低価格で国内専用窓口の高品質な保守により、システム運用における安心を提供します。</v>
          </cell>
        </row>
        <row r="9637">
          <cell r="A9637" t="str">
            <v>U1RX8E</v>
          </cell>
          <cell r="B9637" t="str">
            <v>FC 9x5 5年 7904 Switch用</v>
          </cell>
          <cell r="C9637" t="str">
            <v>【ファウンデーションケア】</v>
          </cell>
        </row>
        <row r="9638">
          <cell r="A9638" t="str">
            <v>U1RY1E</v>
          </cell>
          <cell r="B9638" t="str">
            <v>FC 24x7 5年 7904 Switch用</v>
          </cell>
          <cell r="C9638" t="str">
            <v>【ファウンデーションケア】</v>
          </cell>
        </row>
        <row r="9639">
          <cell r="A9639" t="str">
            <v>U1RY3E</v>
          </cell>
          <cell r="B9639" t="str">
            <v>ProCare 24x7 5年 7904 Switch用</v>
          </cell>
          <cell r="C9639" t="str">
            <v>【HPEプロアクティブケア】メーカー推奨／低価格で国内専用窓口の高品質な保守により、システム運用における安心を提供します。</v>
          </cell>
        </row>
        <row r="9640">
          <cell r="A9640" t="str">
            <v>U1RZ6PE</v>
          </cell>
          <cell r="B9640" t="str">
            <v>PW FC 24x7 1年 7904 Switch用</v>
          </cell>
          <cell r="C9640" t="str">
            <v>【ファウンデーションケア】</v>
          </cell>
        </row>
        <row r="9641">
          <cell r="A9641" t="str">
            <v>U1RZ8PE</v>
          </cell>
          <cell r="B9641" t="str">
            <v>PW ProCare 24x7 1年 7904 Switch用</v>
          </cell>
          <cell r="C9641" t="str">
            <v>【HPEプロアクティブケア】メーカー推奨／低価格で国内専用窓口の高品質な保守により、システム運用における安心を提供します。</v>
          </cell>
        </row>
        <row r="9642">
          <cell r="A9642" t="str">
            <v>U1V65E</v>
          </cell>
          <cell r="B9642" t="str">
            <v>ProCare 24x7 3年 5920AF-24XG Switch用</v>
          </cell>
          <cell r="C9642" t="str">
            <v>【HPEプロアクティブケア】メーカー推奨／低価格で国内専用窓口の高品質な保守により、システム運用における安心を提供します。</v>
          </cell>
        </row>
        <row r="9643">
          <cell r="A9643" t="str">
            <v>U2J56E</v>
          </cell>
          <cell r="B9643" t="str">
            <v>ProCare 24x7 3年Redundant Power Supply用</v>
          </cell>
          <cell r="C9643" t="str">
            <v>【HPEプロアクティブケア】メーカー推奨／低価格で国内専用窓口の高品質な保守により、システム運用における安心を提供します。</v>
          </cell>
        </row>
        <row r="9644">
          <cell r="A9644" t="str">
            <v>U2J57E</v>
          </cell>
          <cell r="B9644" t="str">
            <v>ProCare 24x7 4年Redundant Power Supply用</v>
          </cell>
          <cell r="C9644" t="str">
            <v>【HPEプロアクティブケア】メーカー推奨／低価格で国内専用窓口の高品質な保守により、システム運用における安心を提供します。</v>
          </cell>
        </row>
        <row r="9645">
          <cell r="A9645" t="str">
            <v>U2J58E</v>
          </cell>
          <cell r="B9645" t="str">
            <v>ProCare 24x7 5年Redundant Power Supply用</v>
          </cell>
          <cell r="C9645" t="str">
            <v>【HPEプロアクティブケア】メーカー推奨／低価格で国内専用窓口の高品質な保守により、システム運用における安心を提供します。</v>
          </cell>
        </row>
        <row r="9646">
          <cell r="A9646" t="str">
            <v>U2K10E</v>
          </cell>
          <cell r="B9646" t="str">
            <v>ProCare 24x7 3年 25xx/2610/2915/2615用</v>
          </cell>
          <cell r="C9646" t="str">
            <v>【HPEプロアクティブケア】メーカー推奨／低価格で国内専用窓口の高品質な保守により、システム運用における安心を提供します。</v>
          </cell>
        </row>
        <row r="9647">
          <cell r="A9647" t="str">
            <v>U2K11E</v>
          </cell>
          <cell r="B9647" t="str">
            <v>ProCare 24x7 4年 25xx/2610/2915/2615用</v>
          </cell>
          <cell r="C9647" t="str">
            <v>【HPEプロアクティブケア】メーカー推奨／低価格で国内専用窓口の高品質な保守により、システム運用における安心を提供します。</v>
          </cell>
        </row>
        <row r="9648">
          <cell r="A9648" t="str">
            <v>U2K12E</v>
          </cell>
          <cell r="B9648" t="str">
            <v>ProCare 24x7 5年 25xx/2610/2915/2615用</v>
          </cell>
          <cell r="C9648" t="str">
            <v>【HPEプロアクティブケア】メーカー推奨／低価格で国内専用窓口の高品質な保守により、システム運用における安心を提供します。</v>
          </cell>
        </row>
        <row r="9649">
          <cell r="A9649" t="str">
            <v>U2M62E</v>
          </cell>
          <cell r="B9649" t="str">
            <v>ProCare 24x7 3年 MSM410/415用</v>
          </cell>
          <cell r="C9649" t="str">
            <v>【HPEプロアクティブケア】メーカー推奨／低価格で国内専用窓口の高品質な保守により、システム運用における安心を提供します。</v>
          </cell>
        </row>
        <row r="9650">
          <cell r="A9650" t="str">
            <v>U2M63E</v>
          </cell>
          <cell r="B9650" t="str">
            <v>ProCare 24x7 4年 MSM410/415用</v>
          </cell>
          <cell r="C9650" t="str">
            <v>【HPEプロアクティブケア】メーカー推奨／低価格で国内専用窓口の高品質な保守により、システム運用における安心を提供します。</v>
          </cell>
        </row>
        <row r="9651">
          <cell r="A9651" t="str">
            <v>U2M64E</v>
          </cell>
          <cell r="B9651" t="str">
            <v>ProCare 24x7 5年 MSM410/415用</v>
          </cell>
          <cell r="C9651" t="str">
            <v>【HPEプロアクティブケア】メーカー推奨／低価格で国内専用窓口の高品質な保守により、システム運用における安心を提供します。</v>
          </cell>
        </row>
        <row r="9652">
          <cell r="A9652" t="str">
            <v>U2N07E</v>
          </cell>
          <cell r="B9652" t="str">
            <v>ProCare 24x7 3年 MSM760 Access Contr用</v>
          </cell>
          <cell r="C9652" t="str">
            <v>【HPEプロアクティブケア】メーカー推奨／低価格で国内専用窓口の高品質な保守により、システム運用における安心を提供します。</v>
          </cell>
        </row>
        <row r="9653">
          <cell r="A9653" t="str">
            <v>U2N08E</v>
          </cell>
          <cell r="B9653" t="str">
            <v>ProCare 24x7 4年 MSM760 Access Contr用</v>
          </cell>
          <cell r="C9653" t="str">
            <v>【HPEプロアクティブケア】メーカー推奨／低価格で国内専用窓口の高品質な保守により、システム運用における安心を提供します。</v>
          </cell>
        </row>
        <row r="9654">
          <cell r="A9654" t="str">
            <v>U2N09E</v>
          </cell>
          <cell r="B9654" t="str">
            <v>ProCare 24x7 5年 MSM760 Access Contr用</v>
          </cell>
          <cell r="C9654" t="str">
            <v>【HPEプロアクティブケア】メーカー推奨／低価格で国内専用窓口の高品質な保守により、システム運用における安心を提供します。</v>
          </cell>
        </row>
        <row r="9655">
          <cell r="A9655" t="str">
            <v>U2N34E</v>
          </cell>
          <cell r="B9655" t="str">
            <v>ProCare 24x7 3年 MSM760 Mobility Contr用</v>
          </cell>
          <cell r="C9655" t="str">
            <v>【HPEプロアクティブケア】メーカー推奨／低価格で国内専用窓口の高品質な保守により、システム運用における安心を提供します。</v>
          </cell>
        </row>
        <row r="9656">
          <cell r="A9656" t="str">
            <v>U2N35E</v>
          </cell>
          <cell r="B9656" t="str">
            <v>ProCare 24x7 4年 MSM760 Mobility Contr用</v>
          </cell>
          <cell r="C9656" t="str">
            <v>【HPEプロアクティブケア】メーカー推奨／低価格で国内専用窓口の高品質な保守により、システム運用における安心を提供します。</v>
          </cell>
        </row>
        <row r="9657">
          <cell r="A9657" t="str">
            <v>U2N36E</v>
          </cell>
          <cell r="B9657" t="str">
            <v>ProCare 24x7 5年 MSM760 Mobility Contr用</v>
          </cell>
          <cell r="C9657" t="str">
            <v>【HPEプロアクティブケア】メーカー推奨／低価格で国内専用窓口の高品質な保守により、システム運用における安心を提供します。</v>
          </cell>
        </row>
        <row r="9658">
          <cell r="A9658" t="str">
            <v>U2N61E</v>
          </cell>
          <cell r="B9658" t="str">
            <v>ProCare 24x7 3年 3100 Switch用</v>
          </cell>
          <cell r="C9658" t="str">
            <v>【HPEプロアクティブケア】メーカー推奨／低価格で国内専用窓口の高品質な保守により、システム運用における安心を提供します。</v>
          </cell>
        </row>
        <row r="9659">
          <cell r="A9659" t="str">
            <v>U2N62E</v>
          </cell>
          <cell r="B9659" t="str">
            <v>ProCare 24x7 4年 3100 Switch用</v>
          </cell>
          <cell r="C9659" t="str">
            <v>【HPEプロアクティブケア】メーカー推奨／低価格で国内専用窓口の高品質な保守により、システム運用における安心を提供します。</v>
          </cell>
        </row>
        <row r="9660">
          <cell r="A9660" t="str">
            <v>U2N63E</v>
          </cell>
          <cell r="B9660" t="str">
            <v>ProCare 24x7 5年 3100 Switch用</v>
          </cell>
          <cell r="C9660" t="str">
            <v>【HPEプロアクティブケア】メーカー推奨／低価格で国内専用窓口の高品質な保守により、システム運用における安心を提供します。</v>
          </cell>
        </row>
        <row r="9661">
          <cell r="A9661" t="str">
            <v>U2N70E</v>
          </cell>
          <cell r="B9661" t="str">
            <v>ProCare 24x7 3年 3600 Switch用</v>
          </cell>
          <cell r="C9661" t="str">
            <v>【HPEプロアクティブケア】メーカー推奨／低価格で国内専用窓口の高品質な保守により、システム運用における安心を提供します。</v>
          </cell>
        </row>
        <row r="9662">
          <cell r="A9662" t="str">
            <v>U2N71E</v>
          </cell>
          <cell r="B9662" t="str">
            <v>ProCare 24x7 4年 3600 Switch用</v>
          </cell>
          <cell r="C9662" t="str">
            <v>【HPEプロアクティブケア】メーカー推奨／低価格で国内専用窓口の高品質な保守により、システム運用における安心を提供します。</v>
          </cell>
        </row>
        <row r="9663">
          <cell r="A9663" t="str">
            <v>U2N72E</v>
          </cell>
          <cell r="B9663" t="str">
            <v>ProCare 24x7 5年 3600 Switch用</v>
          </cell>
          <cell r="C9663" t="str">
            <v>【HPEプロアクティブケア】メーカー推奨／低価格で国内専用窓口の高品質な保守により、システム運用における安心を提供します。</v>
          </cell>
        </row>
        <row r="9664">
          <cell r="A9664" t="str">
            <v>U2N88E</v>
          </cell>
          <cell r="B9664" t="str">
            <v>PC 24x7 3年 5120-16/24/48 Switch A用</v>
          </cell>
          <cell r="C9664" t="str">
            <v>【HPEプロアクティブケア】メーカー推奨／低価格で国内専用窓口の高品質な保守により、システム運用における安心を提供します。</v>
          </cell>
        </row>
        <row r="9665">
          <cell r="A9665" t="str">
            <v>U2N89E</v>
          </cell>
          <cell r="B9665" t="str">
            <v>PC 24x7 4年 5120-16/24/48 Switch A用</v>
          </cell>
          <cell r="C9665" t="str">
            <v>【HPEプロアクティブケア】メーカー推奨／低価格で国内専用窓口の高品質な保守により、システム運用における安心を提供します。</v>
          </cell>
        </row>
        <row r="9666">
          <cell r="A9666" t="str">
            <v>U2N90E</v>
          </cell>
          <cell r="B9666" t="str">
            <v>PC 24x7 5年 5120-16/24/48 Switch A用</v>
          </cell>
          <cell r="C9666" t="str">
            <v>【HPEプロアクティブケア】メーカー推奨／低価格で国内専用窓口の高品質な保守により、システム運用における安心を提供します。</v>
          </cell>
        </row>
        <row r="9667">
          <cell r="A9667" t="str">
            <v>U2P06E</v>
          </cell>
          <cell r="B9667" t="str">
            <v>ProCare 24x7 3年 5800-24 Switch用</v>
          </cell>
          <cell r="C9667" t="str">
            <v>【HPEプロアクティブケア】メーカー推奨／低価格で国内専用窓口の高品質な保守により、システム運用における安心を提供します。</v>
          </cell>
        </row>
        <row r="9668">
          <cell r="A9668" t="str">
            <v>U2P07E</v>
          </cell>
          <cell r="B9668" t="str">
            <v>ProCare 24x7 4年 5800-24 Switch用</v>
          </cell>
          <cell r="C9668" t="str">
            <v>【HPEプロアクティブケア】メーカー推奨／低価格で国内専用窓口の高品質な保守により、システム運用における安心を提供します。</v>
          </cell>
        </row>
        <row r="9669">
          <cell r="A9669" t="str">
            <v>U2P08E</v>
          </cell>
          <cell r="B9669" t="str">
            <v>ProCare 24x7 5年 5800-24 Switch用</v>
          </cell>
          <cell r="C9669" t="str">
            <v>【HPEプロアクティブケア】メーカー推奨／低価格で国内専用窓口の高品質な保守により、システム運用における安心を提供します。</v>
          </cell>
        </row>
        <row r="9670">
          <cell r="A9670" t="str">
            <v>U2P15E</v>
          </cell>
          <cell r="B9670" t="str">
            <v>ProCare 24x7 3年 5820 Switch用</v>
          </cell>
          <cell r="C9670" t="str">
            <v>【HPEプロアクティブケア】メーカー推奨／低価格で国内専用窓口の高品質な保守により、システム運用における安心を提供します。</v>
          </cell>
        </row>
        <row r="9671">
          <cell r="A9671" t="str">
            <v>U2P16E</v>
          </cell>
          <cell r="B9671" t="str">
            <v>ProCare 24x7 4年 5820 Switch用</v>
          </cell>
          <cell r="C9671" t="str">
            <v>【HPEプロアクティブケア】メーカー推奨／低価格で国内専用窓口の高品質な保守により、システム運用における安心を提供します。</v>
          </cell>
        </row>
        <row r="9672">
          <cell r="A9672" t="str">
            <v>U2P17E</v>
          </cell>
          <cell r="B9672" t="str">
            <v>ProCare 24x7 5年 5820 Switch用</v>
          </cell>
          <cell r="C9672" t="str">
            <v>【HPEプロアクティブケア】メーカー推奨／低価格で国内専用窓口の高品質な保守により、システム運用における安心を提供します。</v>
          </cell>
        </row>
        <row r="9673">
          <cell r="A9673" t="str">
            <v>U2P96E</v>
          </cell>
          <cell r="B9673" t="str">
            <v>ProCare 24x7 3年 MSR20 Router用</v>
          </cell>
          <cell r="C9673" t="str">
            <v>【HPEプロアクティブケア】メーカー推奨／低価格で国内専用窓口の高品質な保守により、システム運用における安心を提供します。</v>
          </cell>
        </row>
        <row r="9674">
          <cell r="A9674" t="str">
            <v>U2P97E</v>
          </cell>
          <cell r="B9674" t="str">
            <v>ProCare 24x7 4年 MSR20 Router用</v>
          </cell>
          <cell r="C9674" t="str">
            <v>【HPEプロアクティブケア】メーカー推奨／低価格で国内専用窓口の高品質な保守により、システム運用における安心を提供します。</v>
          </cell>
        </row>
        <row r="9675">
          <cell r="A9675" t="str">
            <v>U2P98E</v>
          </cell>
          <cell r="B9675" t="str">
            <v>ProCare 24x7 5年 MSR20 Router用</v>
          </cell>
          <cell r="C9675" t="str">
            <v>【HPEプロアクティブケア】メーカー推奨／低価格で国内専用窓口の高品質な保守により、システム運用における安心を提供します。</v>
          </cell>
        </row>
        <row r="9676">
          <cell r="A9676" t="str">
            <v>U2R49E</v>
          </cell>
          <cell r="B9676" t="str">
            <v>ProCare24x7 3年5406 Switch(Prem Lic付)用</v>
          </cell>
          <cell r="C9676" t="str">
            <v>【HPEプロアクティブケア】メーカー推奨／低価格で国内専用窓口の高品質な保守により、システム運用における安心を提供します。</v>
          </cell>
        </row>
        <row r="9677">
          <cell r="A9677" t="str">
            <v>U2R50E</v>
          </cell>
          <cell r="B9677" t="str">
            <v>ProCare24x7 4年5406 Switch(Prem Lic付)用</v>
          </cell>
          <cell r="C9677" t="str">
            <v>【HPEプロアクティブケア】メーカー推奨／低価格で国内専用窓口の高品質な保守により、システム運用における安心を提供します。</v>
          </cell>
        </row>
        <row r="9678">
          <cell r="A9678" t="str">
            <v>U2R51E</v>
          </cell>
          <cell r="B9678" t="str">
            <v>ProCare24x7 5年5406 Switch(Prem Lic付)用</v>
          </cell>
          <cell r="C9678" t="str">
            <v>【HPEプロアクティブケア】メーカー推奨／低価格で国内専用窓口の高品質な保守により、システム運用における安心を提供します。</v>
          </cell>
        </row>
        <row r="9679">
          <cell r="A9679" t="str">
            <v>U2R58E</v>
          </cell>
          <cell r="B9679" t="str">
            <v>ProCare24x7 3年5412 Switch(Prem Lic付)用</v>
          </cell>
          <cell r="C9679" t="str">
            <v>【HPEプロアクティブケア】メーカー推奨／低価格で国内専用窓口の高品質な保守により、システム運用における安心を提供します。</v>
          </cell>
        </row>
        <row r="9680">
          <cell r="A9680" t="str">
            <v>U2R59E</v>
          </cell>
          <cell r="B9680" t="str">
            <v>ProCare24x7 4年5412 Switch(Prem Lic付)用</v>
          </cell>
          <cell r="C9680" t="str">
            <v>【HPEプロアクティブケア】メーカー推奨／低価格で国内専用窓口の高品質な保守により、システム運用における安心を提供します。</v>
          </cell>
        </row>
        <row r="9681">
          <cell r="A9681" t="str">
            <v>U2R60E</v>
          </cell>
          <cell r="B9681" t="str">
            <v>ProCare24x7 5年5412 Switch(Prem Lic付)用</v>
          </cell>
          <cell r="C9681" t="str">
            <v>【HPEプロアクティブケア】メーカー推奨／低価格で国内専用窓口の高品質な保守により、システム運用における安心を提供します。</v>
          </cell>
        </row>
        <row r="9682">
          <cell r="A9682" t="str">
            <v>U2R67E</v>
          </cell>
          <cell r="B9682" t="str">
            <v>ProCare24x7 3年8206 Switch(Prem Lic付)用</v>
          </cell>
          <cell r="C9682" t="str">
            <v>【HPEプロアクティブケア】メーカー推奨／低価格で国内専用窓口の高品質な保守により、システム運用における安心を提供します。</v>
          </cell>
        </row>
        <row r="9683">
          <cell r="A9683" t="str">
            <v>U2R68E</v>
          </cell>
          <cell r="B9683" t="str">
            <v>ProCare24x7 4年8206 Switch(Prem Lic付)用</v>
          </cell>
          <cell r="C9683" t="str">
            <v>【HPEプロアクティブケア】メーカー推奨／低価格で国内専用窓口の高品質な保守により、システム運用における安心を提供します。</v>
          </cell>
        </row>
        <row r="9684">
          <cell r="A9684" t="str">
            <v>U2R69E</v>
          </cell>
          <cell r="B9684" t="str">
            <v>ProCare24x7 5年8206 Switch(Prem Lic付)用</v>
          </cell>
          <cell r="C9684" t="str">
            <v>【HPEプロアクティブケア】メーカー推奨／低価格で国内専用窓口の高品質な保守により、システム運用における安心を提供します。</v>
          </cell>
        </row>
        <row r="9685">
          <cell r="A9685" t="str">
            <v>U2R76E</v>
          </cell>
          <cell r="B9685" t="str">
            <v>ProCare24x7 3年8212 Switch(Prem Lic付)用</v>
          </cell>
          <cell r="C9685" t="str">
            <v>【HPEプロアクティブケア】メーカー推奨／低価格で国内専用窓口の高品質な保守により、システム運用における安心を提供します。</v>
          </cell>
        </row>
        <row r="9686">
          <cell r="A9686" t="str">
            <v>U2R77E</v>
          </cell>
          <cell r="B9686" t="str">
            <v>ProCare24x7 4年8212 Switch(Prem Lic付)用</v>
          </cell>
          <cell r="C9686" t="str">
            <v>【HPEプロアクティブケア】メーカー推奨／低価格で国内専用窓口の高品質な保守により、システム運用における安心を提供します。</v>
          </cell>
        </row>
        <row r="9687">
          <cell r="A9687" t="str">
            <v>U2R78E</v>
          </cell>
          <cell r="B9687" t="str">
            <v>ProCare24x7 5年8212 Switch(Prem Lic付)用</v>
          </cell>
          <cell r="C9687" t="str">
            <v>【HPEプロアクティブケア】メーカー推奨／低価格で国内専用窓口の高品質な保守により、システム運用における安心を提供します。</v>
          </cell>
        </row>
        <row r="9688">
          <cell r="A9688" t="str">
            <v>U2S48E</v>
          </cell>
          <cell r="B9688" t="str">
            <v>ProCare 24x7 3年5820 VPN Firewall Module</v>
          </cell>
          <cell r="C9688" t="str">
            <v>【HPEプロアクティブケア】メーカー推奨／低価格で国内専用窓口の高品質な保守により、システム運用における安心を提供します。</v>
          </cell>
        </row>
        <row r="9689">
          <cell r="A9689" t="str">
            <v>U2S49E</v>
          </cell>
          <cell r="B9689" t="str">
            <v>ProCare 24x7 4年5820 VPN Firewall Module</v>
          </cell>
          <cell r="C9689" t="str">
            <v>【HPEプロアクティブケア】メーカー推奨／低価格で国内専用窓口の高品質な保守により、システム運用における安心を提供します。</v>
          </cell>
        </row>
        <row r="9690">
          <cell r="A9690" t="str">
            <v>U2S50E</v>
          </cell>
          <cell r="B9690" t="str">
            <v>ProCare 24x7 5年5820 VPN Firewall Module</v>
          </cell>
          <cell r="C9690" t="str">
            <v>【HPEプロアクティブケア】メーカー推奨／低価格で国内専用窓口の高品質な保守により、システム運用における安心を提供します。</v>
          </cell>
        </row>
        <row r="9691">
          <cell r="A9691" t="str">
            <v>U2S66E</v>
          </cell>
          <cell r="B9691" t="str">
            <v>ProCare 24x7 3年 MSM46x Access Point用</v>
          </cell>
          <cell r="C9691" t="str">
            <v>【HPEプロアクティブケア】メーカー推奨／低価格で国内専用窓口の高品質な保守により、システム運用における安心を提供します。</v>
          </cell>
        </row>
        <row r="9692">
          <cell r="A9692" t="str">
            <v>U2S67E</v>
          </cell>
          <cell r="B9692" t="str">
            <v>ProCare 24x7 4年 MSM46x Access Point用</v>
          </cell>
          <cell r="C9692" t="str">
            <v>【HPEプロアクティブケア】メーカー推奨／低価格で国内専用窓口の高品質な保守により、システム運用における安心を提供します。</v>
          </cell>
        </row>
        <row r="9693">
          <cell r="A9693" t="str">
            <v>U2S68E</v>
          </cell>
          <cell r="B9693" t="str">
            <v>ProCare 24x7 5年 MSM46x Access Point用</v>
          </cell>
          <cell r="C9693" t="str">
            <v>【HPEプロアクティブケア】メーカー推奨／低価格で国内専用窓口の高品質な保守により、システム運用における安心を提供します。</v>
          </cell>
        </row>
        <row r="9694">
          <cell r="A9694" t="str">
            <v>U2S75E</v>
          </cell>
          <cell r="B9694" t="str">
            <v>ProCare 24x7 3年 MSM430 Access Point用</v>
          </cell>
          <cell r="C9694" t="str">
            <v>【HPEプロアクティブケア】メーカー推奨／低価格で国内専用窓口の高品質な保守により、システム運用における安心を提供します。</v>
          </cell>
        </row>
        <row r="9695">
          <cell r="A9695" t="str">
            <v>U2S76E</v>
          </cell>
          <cell r="B9695" t="str">
            <v>ProCare 24x7 4年 MSM430 Access Point用</v>
          </cell>
          <cell r="C9695" t="str">
            <v>【HPEプロアクティブケア】メーカー推奨／低価格で国内専用窓口の高品質な保守により、システム運用における安心を提供します。</v>
          </cell>
        </row>
        <row r="9696">
          <cell r="A9696" t="str">
            <v>U2S77E</v>
          </cell>
          <cell r="B9696" t="str">
            <v>ProCare 24x7 5年 MSM430 Access Point用</v>
          </cell>
          <cell r="C9696" t="str">
            <v>【HPEプロアクティブケア】メーカー推奨／低価格で国内専用窓口の高品質な保守により、システム運用における安心を提供します。</v>
          </cell>
        </row>
        <row r="9697">
          <cell r="A9697" t="str">
            <v>U2T11E</v>
          </cell>
          <cell r="B9697" t="str">
            <v>ProCare 24x7 3年 5800-48 Switch用</v>
          </cell>
          <cell r="C9697" t="str">
            <v>【HPEプロアクティブケア】メーカー推奨／低価格で国内専用窓口の高品質な保守により、システム運用における安心を提供します。</v>
          </cell>
        </row>
        <row r="9698">
          <cell r="A9698" t="str">
            <v>U2T12E</v>
          </cell>
          <cell r="B9698" t="str">
            <v>ProCare 24x7 4年 5800-48 Switch用</v>
          </cell>
          <cell r="C9698" t="str">
            <v>【HPEプロアクティブケア】メーカー推奨／低価格で国内専用窓口の高品質な保守により、システム運用における安心を提供します。</v>
          </cell>
        </row>
        <row r="9699">
          <cell r="A9699" t="str">
            <v>U2T13E</v>
          </cell>
          <cell r="B9699" t="str">
            <v>ProCare 24x7 5年 5800-48 Switch用</v>
          </cell>
          <cell r="C9699" t="str">
            <v>【HPEプロアクティブケア】メーカー推奨／低価格で国内専用窓口の高品質な保守により、システム運用における安心を提供します。</v>
          </cell>
        </row>
        <row r="9700">
          <cell r="A9700" t="str">
            <v>U2T65E</v>
          </cell>
          <cell r="B9700" t="str">
            <v>ProCare 24x7 3年 5830AF-48 Switch用</v>
          </cell>
          <cell r="C9700" t="str">
            <v>【HPEプロアクティブケア】メーカー推奨／低価格で国内専用窓口の高品質な保守により、システム運用における安心を提供します。</v>
          </cell>
        </row>
        <row r="9701">
          <cell r="A9701" t="str">
            <v>U2T66E</v>
          </cell>
          <cell r="B9701" t="str">
            <v>ProCare 24x7 4年 5830AF-48 Switch用</v>
          </cell>
          <cell r="C9701" t="str">
            <v>【HPEプロアクティブケア】メーカー推奨／低価格で国内専用窓口の高品質な保守により、システム運用における安心を提供します。</v>
          </cell>
        </row>
        <row r="9702">
          <cell r="A9702" t="str">
            <v>U2T67E</v>
          </cell>
          <cell r="B9702" t="str">
            <v>ProCare 24x7 5年 5830AF-48 Switch用</v>
          </cell>
          <cell r="C9702" t="str">
            <v>【HPEプロアクティブケア】メーカー推奨／低価格で国内専用窓口の高品質な保守により、システム運用における安心を提供します。</v>
          </cell>
        </row>
        <row r="9703">
          <cell r="A9703" t="str">
            <v>U2T74E</v>
          </cell>
          <cell r="B9703" t="str">
            <v>ProCare 24x7 3年 5830AF-96 Switch用</v>
          </cell>
          <cell r="C9703" t="str">
            <v>【HPEプロアクティブケア】メーカー推奨／低価格で国内専用窓口の高品質な保守により、システム運用における安心を提供します。</v>
          </cell>
        </row>
        <row r="9704">
          <cell r="A9704" t="str">
            <v>U2T75E</v>
          </cell>
          <cell r="B9704" t="str">
            <v>ProCare 24x7 4年 5830AF-96 Switch用</v>
          </cell>
          <cell r="C9704" t="str">
            <v>【HPEプロアクティブケア】メーカー推奨／低価格で国内専用窓口の高品質な保守により、システム運用における安心を提供します。</v>
          </cell>
        </row>
        <row r="9705">
          <cell r="A9705" t="str">
            <v>U2T76E</v>
          </cell>
          <cell r="B9705" t="str">
            <v>ProCare 24x7 5年 5830AF-96 Switch用</v>
          </cell>
          <cell r="C9705" t="str">
            <v>【HPEプロアクティブケア】メーカー推奨／低価格で国内専用窓口の高品質な保守により、システム運用における安心を提供します。</v>
          </cell>
        </row>
        <row r="9706">
          <cell r="A9706" t="str">
            <v>U2U01E</v>
          </cell>
          <cell r="B9706" t="str">
            <v>ProCare 24x7 3年 10508 Switch用</v>
          </cell>
          <cell r="C9706" t="str">
            <v>【HPEプロアクティブケア】メーカー推奨／低価格で国内専用窓口の高品質な保守により、システム運用における安心を提供します。</v>
          </cell>
        </row>
        <row r="9707">
          <cell r="A9707" t="str">
            <v>U2U02E</v>
          </cell>
          <cell r="B9707" t="str">
            <v>ProCare 24x7 4年 10508 Switch用</v>
          </cell>
          <cell r="C9707" t="str">
            <v>【HPEプロアクティブケア】メーカー推奨／低価格で国内専用窓口の高品質な保守により、システム運用における安心を提供します。</v>
          </cell>
        </row>
        <row r="9708">
          <cell r="A9708" t="str">
            <v>U2U03E</v>
          </cell>
          <cell r="B9708" t="str">
            <v>ProCare 24x7 5年 10508 Switch用</v>
          </cell>
          <cell r="C9708" t="str">
            <v>【HPEプロアクティブケア】メーカー推奨／低価格で国内専用窓口の高品質な保守により、システム運用における安心を提供します。</v>
          </cell>
        </row>
        <row r="9709">
          <cell r="A9709" t="str">
            <v>U2U10E</v>
          </cell>
          <cell r="B9709" t="str">
            <v>ProCare 24x7 3年 10504 Switch用</v>
          </cell>
          <cell r="C9709" t="str">
            <v>【HPEプロアクティブケア】メーカー推奨／低価格で国内専用窓口の高品質な保守により、システム運用における安心を提供します。</v>
          </cell>
        </row>
        <row r="9710">
          <cell r="A9710" t="str">
            <v>U2U11E</v>
          </cell>
          <cell r="B9710" t="str">
            <v>ProCare 24x7 4年 10504 Switch用</v>
          </cell>
          <cell r="C9710" t="str">
            <v>【HPEプロアクティブケア】メーカー推奨／低価格で国内専用窓口の高品質な保守により、システム運用における安心を提供します。</v>
          </cell>
        </row>
        <row r="9711">
          <cell r="A9711" t="str">
            <v>U2U12E</v>
          </cell>
          <cell r="B9711" t="str">
            <v>ProCare 24x7 5年 10504 Switch用</v>
          </cell>
          <cell r="C9711" t="str">
            <v>【HPEプロアクティブケア】メーカー推奨／低価格で国内専用窓口の高品質な保守により、システム運用における安心を提供します。</v>
          </cell>
        </row>
        <row r="9712">
          <cell r="A9712" t="str">
            <v>U2U28E</v>
          </cell>
          <cell r="B9712" t="str">
            <v>ProCare 24x7 3年 3800 Switch用</v>
          </cell>
          <cell r="C9712" t="str">
            <v>【HPEプロアクティブケア】メーカー推奨／低価格で国内専用窓口の高品質な保守により、システム運用における安心を提供します。</v>
          </cell>
        </row>
        <row r="9713">
          <cell r="A9713" t="str">
            <v>U2U29E</v>
          </cell>
          <cell r="B9713" t="str">
            <v>ProCare 24x7 4年 3800 Switch用</v>
          </cell>
          <cell r="C9713" t="str">
            <v>【HPEプロアクティブケア】メーカー推奨／低価格で国内専用窓口の高品質な保守により、システム運用における安心を提供します。</v>
          </cell>
        </row>
        <row r="9714">
          <cell r="A9714" t="str">
            <v>U2U30E</v>
          </cell>
          <cell r="B9714" t="str">
            <v>ProCare 24x7 5年 3800 Switch用</v>
          </cell>
          <cell r="C9714" t="str">
            <v>【HPEプロアクティブケア】メーカー推奨／低価格で国内専用窓口の高品質な保守により、システム運用における安心を提供します。</v>
          </cell>
        </row>
        <row r="9715">
          <cell r="A9715" t="str">
            <v>U2U37E</v>
          </cell>
          <cell r="B9715" t="str">
            <v>ProCare 24x7 3年 2620 Switch用</v>
          </cell>
          <cell r="C9715" t="str">
            <v>【HPEプロアクティブケア】メーカー推奨／低価格で国内専用窓口の高品質な保守により、システム運用における安心を提供します。</v>
          </cell>
        </row>
        <row r="9716">
          <cell r="A9716" t="str">
            <v>U2U38E</v>
          </cell>
          <cell r="B9716" t="str">
            <v>ProCare 24x7 4年 2620 Switch用</v>
          </cell>
          <cell r="C9716" t="str">
            <v>【HPEプロアクティブケア】メーカー推奨／低価格で国内専用窓口の高品質な保守により、システム運用における安心を提供します。</v>
          </cell>
        </row>
        <row r="9717">
          <cell r="A9717" t="str">
            <v>U2U39E</v>
          </cell>
          <cell r="B9717" t="str">
            <v>ProCare 24x7 5年 2620 Switch用</v>
          </cell>
          <cell r="C9717" t="str">
            <v>【HPEプロアクティブケア】メーカー推奨／低価格で国内専用窓口の高品質な保守により、システム運用における安心を提供します。</v>
          </cell>
        </row>
        <row r="9718">
          <cell r="A9718" t="str">
            <v>U2U46E</v>
          </cell>
          <cell r="B9718" t="str">
            <v>ProCare 24x7 3年 MSM720 Mobility Contr用</v>
          </cell>
          <cell r="C9718" t="str">
            <v>【HPEプロアクティブケア】メーカー推奨／低価格で国内専用窓口の高品質な保守により、システム運用における安心を提供します。</v>
          </cell>
        </row>
        <row r="9719">
          <cell r="A9719" t="str">
            <v>U2U47E</v>
          </cell>
          <cell r="B9719" t="str">
            <v>ProCare 24x7 4年 MSM720 Mobility Contr用</v>
          </cell>
          <cell r="C9719" t="str">
            <v>【HPEプロアクティブケア】メーカー推奨／低価格で国内専用窓口の高品質な保守により、システム運用における安心を提供します。</v>
          </cell>
        </row>
        <row r="9720">
          <cell r="A9720" t="str">
            <v>U2U48E</v>
          </cell>
          <cell r="B9720" t="str">
            <v>ProCare 24x7 5年 MSM720 Mobility Contr用</v>
          </cell>
          <cell r="C9720" t="str">
            <v>【HPEプロアクティブケア】メーカー推奨／低価格で国内専用窓口の高品質な保守により、システム運用における安心を提供します。</v>
          </cell>
        </row>
        <row r="9721">
          <cell r="A9721" t="str">
            <v>U2U55E</v>
          </cell>
          <cell r="B9721" t="str">
            <v>ProCare 24x7 3年 MSM720 Access Contr用</v>
          </cell>
          <cell r="C9721" t="str">
            <v>【HPEプロアクティブケア】メーカー推奨／低価格で国内専用窓口の高品質な保守により、システム運用における安心を提供します。</v>
          </cell>
        </row>
        <row r="9722">
          <cell r="A9722" t="str">
            <v>U2U56E</v>
          </cell>
          <cell r="B9722" t="str">
            <v>ProCare 24x7 4年 MSM720 Access Contr用</v>
          </cell>
          <cell r="C9722" t="str">
            <v>【HPEプロアクティブケア】メーカー推奨／低価格で国内専用窓口の高品質な保守により、システム運用における安心を提供します。</v>
          </cell>
        </row>
        <row r="9723">
          <cell r="A9723" t="str">
            <v>U2U57E</v>
          </cell>
          <cell r="B9723" t="str">
            <v>ProCare 24x7 5年 MSM720 Access Contr用</v>
          </cell>
          <cell r="C9723" t="str">
            <v>【HPEプロアクティブケア】メーカー推奨／低価格で国内専用窓口の高品質な保守により、システム運用における安心を提供します。</v>
          </cell>
        </row>
        <row r="9724">
          <cell r="A9724" t="str">
            <v>U2UG6PE</v>
          </cell>
          <cell r="B9724" t="str">
            <v>PW ProCare 24x7 1年 12916 Switch用</v>
          </cell>
          <cell r="C9724" t="str">
            <v>【HPEプロアクティブケア】メーカー推奨／低価格で国内専用窓口の高品質な保守により、システム運用における安心を提供します。</v>
          </cell>
        </row>
        <row r="9725">
          <cell r="A9725" t="str">
            <v>U2UG7PE</v>
          </cell>
          <cell r="B9725" t="str">
            <v>PW ProCare 24x7 1年 5900CP-48XG Switch用</v>
          </cell>
          <cell r="C9725" t="str">
            <v>【HPEプロアクティブケア】メーカー推奨／低価格で国内専用窓口の高品質な保守により、システム運用における安心を提供します。</v>
          </cell>
        </row>
        <row r="9726">
          <cell r="A9726" t="str">
            <v>U3GA3E</v>
          </cell>
          <cell r="B9726" t="str">
            <v>FC 24x7 3年 5900AF-48G Switch用</v>
          </cell>
          <cell r="C9726" t="str">
            <v>【ファウンデーションケア】</v>
          </cell>
        </row>
        <row r="9727">
          <cell r="A9727" t="str">
            <v>U3GB5E</v>
          </cell>
          <cell r="B9727" t="str">
            <v>FC 24x7 3年 5800-24 Switch用</v>
          </cell>
          <cell r="C9727" t="str">
            <v>【ファウンデーションケア】</v>
          </cell>
        </row>
        <row r="9728">
          <cell r="A9728" t="str">
            <v>U3GB8E</v>
          </cell>
          <cell r="B9728" t="str">
            <v>FC 24x7 3年 5820 VPN Firewall Module</v>
          </cell>
          <cell r="C9728" t="str">
            <v>【ファウンデーションケア】</v>
          </cell>
        </row>
        <row r="9729">
          <cell r="A9729" t="str">
            <v>U3GC0E</v>
          </cell>
          <cell r="B9729" t="str">
            <v>FC 24x7 3年 5820 Switch用</v>
          </cell>
          <cell r="C9729" t="str">
            <v>【ファウンデーションケア】</v>
          </cell>
        </row>
        <row r="9730">
          <cell r="A9730" t="str">
            <v>U3GC1E</v>
          </cell>
          <cell r="B9730" t="str">
            <v>FC 24x7 3年 5830AF-48G Switch用</v>
          </cell>
          <cell r="C9730" t="str">
            <v>【ファウンデーションケア】</v>
          </cell>
        </row>
        <row r="9731">
          <cell r="A9731" t="str">
            <v>U3GC2E</v>
          </cell>
          <cell r="B9731" t="str">
            <v>FC 24x7 3年 5900AF-48XG Switch用</v>
          </cell>
          <cell r="C9731" t="str">
            <v>【ファウンデーションケア】</v>
          </cell>
        </row>
        <row r="9732">
          <cell r="A9732" t="str">
            <v>U3GC5E</v>
          </cell>
          <cell r="B9732" t="str">
            <v>FC 24x7 3年 5920AF-24XG Switch用</v>
          </cell>
          <cell r="C9732" t="str">
            <v>【ファウンデーションケア】</v>
          </cell>
        </row>
        <row r="9733">
          <cell r="A9733" t="str">
            <v>U3GC7E</v>
          </cell>
          <cell r="B9733" t="str">
            <v>FC 24x7 3年 5800-48 Switch用</v>
          </cell>
          <cell r="C9733" t="str">
            <v>【ファウンデーションケア】</v>
          </cell>
        </row>
        <row r="9734">
          <cell r="A9734" t="str">
            <v>U3GD6E</v>
          </cell>
          <cell r="B9734" t="str">
            <v>FC 24x7 3年 5830AF-96G Switch用</v>
          </cell>
          <cell r="C9734" t="str">
            <v>【ファウンデーションケア】</v>
          </cell>
        </row>
        <row r="9735">
          <cell r="A9735" t="str">
            <v>U3GD7E</v>
          </cell>
          <cell r="B9735" t="str">
            <v>FC 24x7 3年 5930 Switch用</v>
          </cell>
          <cell r="C9735" t="str">
            <v>【ファウンデーションケア】</v>
          </cell>
        </row>
        <row r="9736">
          <cell r="A9736" t="str">
            <v>U3GD8E</v>
          </cell>
          <cell r="B9736" t="str">
            <v>FC 24x7 3年 12500 VPN FW Mod用</v>
          </cell>
          <cell r="C9736" t="str">
            <v>【ファウンデーションケア】</v>
          </cell>
        </row>
        <row r="9737">
          <cell r="A9737" t="str">
            <v>U3GD9E</v>
          </cell>
          <cell r="B9737" t="str">
            <v>FC 24x7 3年 12504 Switch用</v>
          </cell>
          <cell r="C9737" t="str">
            <v>【ファウンデーションケア】</v>
          </cell>
        </row>
        <row r="9738">
          <cell r="A9738" t="str">
            <v>U3GE6E</v>
          </cell>
          <cell r="B9738" t="str">
            <v>FC 24x7 3年 12508 Switch用</v>
          </cell>
          <cell r="C9738" t="str">
            <v>【ファウンデーションケア】</v>
          </cell>
        </row>
        <row r="9739">
          <cell r="A9739" t="str">
            <v>U3GE8E</v>
          </cell>
          <cell r="B9739" t="str">
            <v>FC 24x7 3年 11908 Switch用</v>
          </cell>
          <cell r="C9739" t="str">
            <v>【ファウンデーションケア】</v>
          </cell>
        </row>
        <row r="9740">
          <cell r="A9740" t="str">
            <v>U3GE9E</v>
          </cell>
          <cell r="B9740" t="str">
            <v>FC 24x7 3年 12910 Switch用</v>
          </cell>
          <cell r="C9740" t="str">
            <v>【ファウンデーションケア】</v>
          </cell>
        </row>
        <row r="9741">
          <cell r="A9741" t="str">
            <v>U3GF1E</v>
          </cell>
          <cell r="B9741" t="str">
            <v>FC 24x7 3年 12518 Switch用</v>
          </cell>
          <cell r="C9741" t="str">
            <v>【ファウンデーションケア】</v>
          </cell>
        </row>
        <row r="9742">
          <cell r="A9742" t="str">
            <v>U3GL9E</v>
          </cell>
          <cell r="B9742" t="str">
            <v>FC 24x7 4年 5900AF-48G Switch用</v>
          </cell>
          <cell r="C9742" t="str">
            <v>【ファウンデーションケア】</v>
          </cell>
        </row>
        <row r="9743">
          <cell r="A9743" t="str">
            <v>U3GN1E</v>
          </cell>
          <cell r="B9743" t="str">
            <v>FC 24x7 4年 5800-24 Switch用</v>
          </cell>
          <cell r="C9743" t="str">
            <v>【ファウンデーションケア】</v>
          </cell>
        </row>
        <row r="9744">
          <cell r="A9744" t="str">
            <v>U3GN4E</v>
          </cell>
          <cell r="B9744" t="str">
            <v>FC 24x7 4年 5820 VPN Firewall Module</v>
          </cell>
          <cell r="C9744" t="str">
            <v>【ファウンデーションケア】</v>
          </cell>
        </row>
        <row r="9745">
          <cell r="A9745" t="str">
            <v>U3GN6E</v>
          </cell>
          <cell r="B9745" t="str">
            <v>FC 24x7 4年 5820 Switch用</v>
          </cell>
          <cell r="C9745" t="str">
            <v>【ファウンデーションケア】</v>
          </cell>
        </row>
        <row r="9746">
          <cell r="A9746" t="str">
            <v>U3GN7E</v>
          </cell>
          <cell r="B9746" t="str">
            <v>FC 24x7 4年 5830AF-48G Switch用</v>
          </cell>
          <cell r="C9746" t="str">
            <v>【ファウンデーションケア】</v>
          </cell>
        </row>
        <row r="9747">
          <cell r="A9747" t="str">
            <v>U3GN8E</v>
          </cell>
          <cell r="B9747" t="str">
            <v>FC 24x7 4年 5900AF-48XG Switch用</v>
          </cell>
          <cell r="C9747" t="str">
            <v>【ファウンデーションケア】</v>
          </cell>
        </row>
        <row r="9748">
          <cell r="A9748" t="str">
            <v>U3GP1E</v>
          </cell>
          <cell r="B9748" t="str">
            <v>FC 24x7 4年 5920AF-24XG Switch用</v>
          </cell>
          <cell r="C9748" t="str">
            <v>【ファウンデーションケア】</v>
          </cell>
        </row>
        <row r="9749">
          <cell r="A9749" t="str">
            <v>U3GP2E</v>
          </cell>
          <cell r="B9749" t="str">
            <v>FC 24x7 4年 5800-48 Switch用</v>
          </cell>
          <cell r="C9749" t="str">
            <v>【ファウンデーションケア】</v>
          </cell>
        </row>
        <row r="9750">
          <cell r="A9750" t="str">
            <v>U3GQ0E</v>
          </cell>
          <cell r="B9750" t="str">
            <v>FC 24x7 4年 5830AF-96G Switch用</v>
          </cell>
          <cell r="C9750" t="str">
            <v>【ファウンデーションケア】</v>
          </cell>
        </row>
        <row r="9751">
          <cell r="A9751" t="str">
            <v>U3GQ2E</v>
          </cell>
          <cell r="B9751" t="str">
            <v>FC 24x7 4年 5930 Switch用</v>
          </cell>
          <cell r="C9751" t="str">
            <v>【ファウンデーションケア】</v>
          </cell>
        </row>
        <row r="9752">
          <cell r="A9752" t="str">
            <v>U3GQ3E</v>
          </cell>
          <cell r="B9752" t="str">
            <v>FC 24x7 4年 12500 VPN FW Mod用</v>
          </cell>
          <cell r="C9752" t="str">
            <v>【ファウンデーションケア】</v>
          </cell>
        </row>
        <row r="9753">
          <cell r="A9753" t="str">
            <v>U3GQ4E</v>
          </cell>
          <cell r="B9753" t="str">
            <v>FC 24x7 4年 12504 Switch用</v>
          </cell>
          <cell r="C9753" t="str">
            <v>【ファウンデーションケア】</v>
          </cell>
        </row>
        <row r="9754">
          <cell r="A9754" t="str">
            <v>U3GR1E</v>
          </cell>
          <cell r="B9754" t="str">
            <v>FC 24x7 4年 12508 Switch用</v>
          </cell>
          <cell r="C9754" t="str">
            <v>【ファウンデーションケア】</v>
          </cell>
        </row>
        <row r="9755">
          <cell r="A9755" t="str">
            <v>U3GR3E</v>
          </cell>
          <cell r="B9755" t="str">
            <v>FC 24x7 4年 11908 Switch用</v>
          </cell>
          <cell r="C9755" t="str">
            <v>【ファウンデーションケア】</v>
          </cell>
        </row>
        <row r="9756">
          <cell r="A9756" t="str">
            <v>U3GR4E</v>
          </cell>
          <cell r="B9756" t="str">
            <v>FC 24x7 4年 12910 Switch用</v>
          </cell>
          <cell r="C9756" t="str">
            <v>【ファウンデーションケア】</v>
          </cell>
        </row>
        <row r="9757">
          <cell r="A9757" t="str">
            <v>U3GR6E</v>
          </cell>
          <cell r="B9757" t="str">
            <v>FC 24x7 4年 12518 Switch用</v>
          </cell>
          <cell r="C9757" t="str">
            <v>【ファウンデーションケア】</v>
          </cell>
        </row>
        <row r="9758">
          <cell r="A9758" t="str">
            <v>U3GX4E</v>
          </cell>
          <cell r="B9758" t="str">
            <v>FC 24x7 5年 5900AF-48G Switch用</v>
          </cell>
          <cell r="C9758" t="str">
            <v>【ファウンデーションケア】</v>
          </cell>
        </row>
        <row r="9759">
          <cell r="A9759" t="str">
            <v>U3GY6E</v>
          </cell>
          <cell r="B9759" t="str">
            <v>FC 24x7 5年 5800-24 Switch用</v>
          </cell>
          <cell r="C9759" t="str">
            <v>【ファウンデーションケア】</v>
          </cell>
        </row>
        <row r="9760">
          <cell r="A9760" t="str">
            <v>U3GY9E</v>
          </cell>
          <cell r="B9760" t="str">
            <v>FC 24x7 5年 5820 VPN Firewall Module</v>
          </cell>
          <cell r="C9760" t="str">
            <v>【ファウンデーションケア】</v>
          </cell>
        </row>
        <row r="9761">
          <cell r="A9761" t="str">
            <v>U3GZ1E</v>
          </cell>
          <cell r="B9761" t="str">
            <v>FC 24x7 5年 5820 Switch用</v>
          </cell>
          <cell r="C9761" t="str">
            <v>【ファウンデーションケア】</v>
          </cell>
        </row>
        <row r="9762">
          <cell r="A9762" t="str">
            <v>U3GZ2E</v>
          </cell>
          <cell r="B9762" t="str">
            <v>FC 24x7 5年 5830AF-48G Switch用</v>
          </cell>
          <cell r="C9762" t="str">
            <v>【ファウンデーションケア】</v>
          </cell>
        </row>
        <row r="9763">
          <cell r="A9763" t="str">
            <v>U3GZ3E</v>
          </cell>
          <cell r="B9763" t="str">
            <v>FC 24x7 5年 5900AF-48XG Switch用</v>
          </cell>
          <cell r="C9763" t="str">
            <v>【ファウンデーションケア】</v>
          </cell>
        </row>
        <row r="9764">
          <cell r="A9764" t="str">
            <v>U3GZ6E</v>
          </cell>
          <cell r="B9764" t="str">
            <v>FC 24x7 5年 5920AF-24XG Switch用</v>
          </cell>
          <cell r="C9764" t="str">
            <v>【ファウンデーションケア】</v>
          </cell>
        </row>
        <row r="9765">
          <cell r="A9765" t="str">
            <v>U3GZ7E</v>
          </cell>
          <cell r="B9765" t="str">
            <v>FC 24x7 5年 5800-48 Switch用</v>
          </cell>
          <cell r="C9765" t="str">
            <v>【ファウンデーションケア】</v>
          </cell>
        </row>
        <row r="9766">
          <cell r="A9766" t="str">
            <v>U3HA5E</v>
          </cell>
          <cell r="B9766" t="str">
            <v>FC 24x7 5年 5830AF-96G Switch用</v>
          </cell>
          <cell r="C9766" t="str">
            <v>【ファウンデーションケア】</v>
          </cell>
        </row>
        <row r="9767">
          <cell r="A9767" t="str">
            <v>U3HA7E</v>
          </cell>
          <cell r="B9767" t="str">
            <v>FC 24x7 5年 5930 Switch用</v>
          </cell>
          <cell r="C9767" t="str">
            <v>【ファウンデーションケア】</v>
          </cell>
        </row>
        <row r="9768">
          <cell r="A9768" t="str">
            <v>U3HA8E</v>
          </cell>
          <cell r="B9768" t="str">
            <v>FC 24x7 5年 12500 VPN FW Mod用</v>
          </cell>
          <cell r="C9768" t="str">
            <v>【ファウンデーションケア】</v>
          </cell>
        </row>
        <row r="9769">
          <cell r="A9769" t="str">
            <v>U3HA9E</v>
          </cell>
          <cell r="B9769" t="str">
            <v>FC 24x7 5年 12504 Switch用</v>
          </cell>
          <cell r="C9769" t="str">
            <v>【ファウンデーションケア】</v>
          </cell>
        </row>
        <row r="9770">
          <cell r="A9770" t="str">
            <v>U3HB6E</v>
          </cell>
          <cell r="B9770" t="str">
            <v>FC 24x7 5年 12508 Switch用</v>
          </cell>
          <cell r="C9770" t="str">
            <v>【ファウンデーションケア】</v>
          </cell>
        </row>
        <row r="9771">
          <cell r="A9771" t="str">
            <v>U3HB8E</v>
          </cell>
          <cell r="B9771" t="str">
            <v>FC 24x7 5年 11908 Switch用</v>
          </cell>
          <cell r="C9771" t="str">
            <v>【ファウンデーションケア】</v>
          </cell>
        </row>
        <row r="9772">
          <cell r="A9772" t="str">
            <v>U3HB9E</v>
          </cell>
          <cell r="B9772" t="str">
            <v>FC 24x7 5年 12910 Switch用</v>
          </cell>
          <cell r="C9772" t="str">
            <v>【ファウンデーションケア】</v>
          </cell>
        </row>
        <row r="9773">
          <cell r="A9773" t="str">
            <v>U3HC1E</v>
          </cell>
          <cell r="B9773" t="str">
            <v>FC 24x7 5年 12518 Switch用</v>
          </cell>
          <cell r="C9773" t="str">
            <v>【ファウンデーションケア】</v>
          </cell>
        </row>
        <row r="9774">
          <cell r="A9774" t="str">
            <v>U3LT9E</v>
          </cell>
          <cell r="B9774" t="str">
            <v>FC Exchange 3年 5900AF-48G Switch用</v>
          </cell>
          <cell r="C9774" t="str">
            <v>【ファウンデーションケア】</v>
          </cell>
        </row>
        <row r="9775">
          <cell r="A9775" t="str">
            <v>U3LV6E</v>
          </cell>
          <cell r="B9775" t="str">
            <v>FC Exchange 3年 5820 VPN Firewall Module</v>
          </cell>
          <cell r="C9775" t="str">
            <v>【ファウンデーションケア】</v>
          </cell>
        </row>
        <row r="9776">
          <cell r="A9776" t="str">
            <v>U3LV7E</v>
          </cell>
          <cell r="B9776" t="str">
            <v>FC Exchange 3年 5820 Switch用</v>
          </cell>
          <cell r="C9776" t="str">
            <v>【ファウンデーションケア】</v>
          </cell>
        </row>
        <row r="9777">
          <cell r="A9777" t="str">
            <v>U3LV8E</v>
          </cell>
          <cell r="B9777" t="str">
            <v>FC Exchange 3年 5830AF-48G Switch用</v>
          </cell>
          <cell r="C9777" t="str">
            <v>【ファウンデーションケア】</v>
          </cell>
        </row>
        <row r="9778">
          <cell r="A9778" t="str">
            <v>U3LV9E</v>
          </cell>
          <cell r="B9778" t="str">
            <v>FC Exchange 3年 5900AF-48XG Switch用</v>
          </cell>
          <cell r="C9778" t="str">
            <v>【ファウンデーションケア】</v>
          </cell>
        </row>
        <row r="9779">
          <cell r="A9779" t="str">
            <v>U3LW3E</v>
          </cell>
          <cell r="B9779" t="str">
            <v>FC Exchange 3年 5920AF-24XG Switch用</v>
          </cell>
          <cell r="C9779" t="str">
            <v>【ファウンデーションケア】</v>
          </cell>
        </row>
        <row r="9780">
          <cell r="A9780" t="str">
            <v>U3LX2E</v>
          </cell>
          <cell r="B9780" t="str">
            <v>FC Exchange 3年 5830AF-96G Switch用</v>
          </cell>
          <cell r="C9780" t="str">
            <v>【ファウンデーションケア】</v>
          </cell>
        </row>
        <row r="9781">
          <cell r="A9781" t="str">
            <v>U3LY7E</v>
          </cell>
          <cell r="B9781" t="str">
            <v>FC Exchange 3年 11908 Switch用</v>
          </cell>
          <cell r="C9781" t="str">
            <v>【ファウンデーションケア】</v>
          </cell>
        </row>
        <row r="9782">
          <cell r="A9782" t="str">
            <v>U3PQ7E</v>
          </cell>
          <cell r="B9782" t="str">
            <v>FC 24x7 1年 5900AF-48G Switch用</v>
          </cell>
          <cell r="C9782" t="str">
            <v>【ファウンデーションケア】</v>
          </cell>
        </row>
        <row r="9783">
          <cell r="A9783" t="str">
            <v>U3PS2E</v>
          </cell>
          <cell r="B9783" t="str">
            <v>FC 24x7 1年 5800-24 Switch用</v>
          </cell>
          <cell r="C9783" t="str">
            <v>【ファウンデーションケア】</v>
          </cell>
        </row>
        <row r="9784">
          <cell r="A9784" t="str">
            <v>U3PS4E</v>
          </cell>
          <cell r="B9784" t="str">
            <v>FC 24x7 1年 5820 VPN Firewall Module</v>
          </cell>
          <cell r="C9784" t="str">
            <v>【ファウンデーションケア】</v>
          </cell>
        </row>
        <row r="9785">
          <cell r="A9785" t="str">
            <v>U3PS8E</v>
          </cell>
          <cell r="B9785" t="str">
            <v>FC 24x7 1年 5820 Switch用</v>
          </cell>
          <cell r="C9785" t="str">
            <v>【ファウンデーションケア】</v>
          </cell>
        </row>
        <row r="9786">
          <cell r="A9786" t="str">
            <v>U3PS9E</v>
          </cell>
          <cell r="B9786" t="str">
            <v>FC 24x7 1年 5830AF-48G Switch用</v>
          </cell>
          <cell r="C9786" t="str">
            <v>【ファウンデーションケア】</v>
          </cell>
        </row>
        <row r="9787">
          <cell r="A9787" t="str">
            <v>U3PT0E</v>
          </cell>
          <cell r="B9787" t="str">
            <v>FC 24x7 1年 5900AF-48XG Switch用</v>
          </cell>
          <cell r="C9787" t="str">
            <v>【ファウンデーションケア】</v>
          </cell>
        </row>
        <row r="9788">
          <cell r="A9788" t="str">
            <v>U3PT2E</v>
          </cell>
          <cell r="B9788" t="str">
            <v>FC 24x7 1年 5920AF-24XG Switch用</v>
          </cell>
          <cell r="C9788" t="str">
            <v>【ファウンデーションケア】</v>
          </cell>
        </row>
        <row r="9789">
          <cell r="A9789" t="str">
            <v>U3PT3E</v>
          </cell>
          <cell r="B9789" t="str">
            <v>FC 24x7 1年 5800-48 Switch用</v>
          </cell>
          <cell r="C9789" t="str">
            <v>【ファウンデーションケア】</v>
          </cell>
        </row>
        <row r="9790">
          <cell r="A9790" t="str">
            <v>U3PU2E</v>
          </cell>
          <cell r="B9790" t="str">
            <v>FC 24x7 1年 5830AF-96G Switch用</v>
          </cell>
          <cell r="C9790" t="str">
            <v>【ファウンデーションケア】</v>
          </cell>
        </row>
        <row r="9791">
          <cell r="A9791" t="str">
            <v>U3PU3E</v>
          </cell>
          <cell r="B9791" t="str">
            <v>FC 24x7 1年 5930 Switch用</v>
          </cell>
          <cell r="C9791" t="str">
            <v>【ファウンデーションケア】</v>
          </cell>
        </row>
        <row r="9792">
          <cell r="A9792" t="str">
            <v>U3PU4E</v>
          </cell>
          <cell r="B9792" t="str">
            <v>FC 24x7 1年 12500 VPN FW Mod用</v>
          </cell>
          <cell r="C9792" t="str">
            <v>【ファウンデーションケア】</v>
          </cell>
        </row>
        <row r="9793">
          <cell r="A9793" t="str">
            <v>U3PU5E</v>
          </cell>
          <cell r="B9793" t="str">
            <v>FC 24x7 1年 12504 Switch用</v>
          </cell>
          <cell r="C9793" t="str">
            <v>【ファウンデーションケア】</v>
          </cell>
        </row>
        <row r="9794">
          <cell r="A9794" t="str">
            <v>U3PV3E</v>
          </cell>
          <cell r="B9794" t="str">
            <v>FC 24x7 1年 12508 Switch用</v>
          </cell>
          <cell r="C9794" t="str">
            <v>【ファウンデーションケア】</v>
          </cell>
        </row>
        <row r="9795">
          <cell r="A9795" t="str">
            <v>U3PV4E</v>
          </cell>
          <cell r="B9795" t="str">
            <v>FC 24x7 1年 11908 Switch用</v>
          </cell>
          <cell r="C9795" t="str">
            <v>【ファウンデーションケア】</v>
          </cell>
        </row>
        <row r="9796">
          <cell r="A9796" t="str">
            <v>U3PV5E</v>
          </cell>
          <cell r="B9796" t="str">
            <v>FC 24x7 1年 12910 Switch用</v>
          </cell>
          <cell r="C9796" t="str">
            <v>【ファウンデーションケア】</v>
          </cell>
        </row>
        <row r="9797">
          <cell r="A9797" t="str">
            <v>U3PV7E</v>
          </cell>
          <cell r="B9797" t="str">
            <v>FC 24x7 1年 12518 Switch用</v>
          </cell>
          <cell r="C9797" t="str">
            <v>【ファウンデーションケア】</v>
          </cell>
        </row>
        <row r="9798">
          <cell r="A9798" t="str">
            <v>U3YR5E</v>
          </cell>
          <cell r="B9798" t="str">
            <v>FC 9x5 3年 5800-24 Switch用</v>
          </cell>
          <cell r="C9798" t="str">
            <v>【ファウンデーションケア】</v>
          </cell>
        </row>
        <row r="9799">
          <cell r="A9799" t="str">
            <v>U3YR8E</v>
          </cell>
          <cell r="B9799" t="str">
            <v>FC 9x5 3年 5820 Switch用</v>
          </cell>
          <cell r="C9799" t="str">
            <v>【ファウンデーションケア】</v>
          </cell>
        </row>
        <row r="9800">
          <cell r="A9800" t="str">
            <v>U3YT4E</v>
          </cell>
          <cell r="B9800" t="str">
            <v>FC 9x5 3年 5900AF-48G Switch用</v>
          </cell>
          <cell r="C9800" t="str">
            <v>【ファウンデーションケア】</v>
          </cell>
        </row>
        <row r="9801">
          <cell r="A9801" t="str">
            <v>U3YU3E</v>
          </cell>
          <cell r="B9801" t="str">
            <v>FC 9x5 3年 5820 VPN Firewall Module</v>
          </cell>
          <cell r="C9801" t="str">
            <v>【ファウンデーションケア】</v>
          </cell>
        </row>
        <row r="9802">
          <cell r="A9802" t="str">
            <v>U3YU5E</v>
          </cell>
          <cell r="B9802" t="str">
            <v>FC 9x5 3年 5830AF-48G Switch用</v>
          </cell>
          <cell r="C9802" t="str">
            <v>【ファウンデーションケア】</v>
          </cell>
        </row>
        <row r="9803">
          <cell r="A9803" t="str">
            <v>U3YU7E</v>
          </cell>
          <cell r="B9803" t="str">
            <v>FC 9x5 3年 5920AF-24XG Switch用</v>
          </cell>
          <cell r="C9803" t="str">
            <v>【ファウンデーションケア】</v>
          </cell>
        </row>
        <row r="9804">
          <cell r="A9804" t="str">
            <v>U3YU9E</v>
          </cell>
          <cell r="B9804" t="str">
            <v>FC 9x5 3年 5900AF-48XG Switch用</v>
          </cell>
          <cell r="C9804" t="str">
            <v>【ファウンデーションケア】</v>
          </cell>
        </row>
        <row r="9805">
          <cell r="A9805" t="str">
            <v>U3YV3E</v>
          </cell>
          <cell r="B9805" t="str">
            <v>FC 9x5 3年 5830AF-96G Switch用</v>
          </cell>
          <cell r="C9805" t="str">
            <v>【ファウンデーションケア】</v>
          </cell>
        </row>
        <row r="9806">
          <cell r="A9806" t="str">
            <v>U3YV5E</v>
          </cell>
          <cell r="B9806" t="str">
            <v>FC 9x5 3年 5930 Switch用</v>
          </cell>
          <cell r="C9806" t="str">
            <v>【ファウンデーションケア】</v>
          </cell>
        </row>
        <row r="9807">
          <cell r="A9807" t="str">
            <v>U3YV6E</v>
          </cell>
          <cell r="B9807" t="str">
            <v>FC 9x5 3年 12500 VPN FW Mod用</v>
          </cell>
          <cell r="C9807" t="str">
            <v>【ファウンデーションケア】</v>
          </cell>
        </row>
        <row r="9808">
          <cell r="A9808" t="str">
            <v>U3YV7E</v>
          </cell>
          <cell r="B9808" t="str">
            <v>FC 9x5 3年 12504 Switch用</v>
          </cell>
          <cell r="C9808" t="str">
            <v>【ファウンデーションケア】</v>
          </cell>
        </row>
        <row r="9809">
          <cell r="A9809" t="str">
            <v>U3YW4E</v>
          </cell>
          <cell r="B9809" t="str">
            <v>FC 9x5 3年 12508 Switch用</v>
          </cell>
          <cell r="C9809" t="str">
            <v>【ファウンデーションケア】</v>
          </cell>
        </row>
        <row r="9810">
          <cell r="A9810" t="str">
            <v>U3YW6E</v>
          </cell>
          <cell r="B9810" t="str">
            <v>FC 9x5 3年 11908 Switch用</v>
          </cell>
          <cell r="C9810" t="str">
            <v>【ファウンデーションケア】</v>
          </cell>
        </row>
        <row r="9811">
          <cell r="A9811" t="str">
            <v>U3YW7E</v>
          </cell>
          <cell r="B9811" t="str">
            <v>FC 9x5 3年 12910 Switch用</v>
          </cell>
          <cell r="C9811" t="str">
            <v>【ファウンデーションケア】</v>
          </cell>
        </row>
        <row r="9812">
          <cell r="A9812" t="str">
            <v>U3YW8E</v>
          </cell>
          <cell r="B9812" t="str">
            <v>FC 9x5 3年 12518 Switch用</v>
          </cell>
          <cell r="C9812" t="str">
            <v>【ファウンデーションケア】</v>
          </cell>
        </row>
        <row r="9813">
          <cell r="A9813" t="str">
            <v>U3YX1E</v>
          </cell>
          <cell r="B9813" t="str">
            <v>FC 9x5 3年 5800-48 Switch用</v>
          </cell>
          <cell r="C9813" t="str">
            <v>【ファウンデーションケア】</v>
          </cell>
        </row>
        <row r="9814">
          <cell r="A9814" t="str">
            <v>U3ZA8E</v>
          </cell>
          <cell r="B9814" t="str">
            <v>FC 9x5 4年 5800-24 Switch用</v>
          </cell>
          <cell r="C9814" t="str">
            <v>【ファウンデーションケア】</v>
          </cell>
        </row>
        <row r="9815">
          <cell r="A9815" t="str">
            <v>U3ZB0E</v>
          </cell>
          <cell r="B9815" t="str">
            <v>FC 9x5 4年 5820 Switch用</v>
          </cell>
          <cell r="C9815" t="str">
            <v>【ファウンデーションケア】</v>
          </cell>
        </row>
        <row r="9816">
          <cell r="A9816" t="str">
            <v>U3ZC8E</v>
          </cell>
          <cell r="B9816" t="str">
            <v>FC 9x5 4年 5900AF-48G Switch用</v>
          </cell>
          <cell r="C9816" t="str">
            <v>【ファウンデーションケア】</v>
          </cell>
        </row>
        <row r="9817">
          <cell r="A9817" t="str">
            <v>U3ZD7E</v>
          </cell>
          <cell r="B9817" t="str">
            <v>FC 9x5 4年 5820 VPN Firewall Module</v>
          </cell>
          <cell r="C9817" t="str">
            <v>【ファウンデーションケア】</v>
          </cell>
        </row>
        <row r="9818">
          <cell r="A9818" t="str">
            <v>U3ZD9E</v>
          </cell>
          <cell r="B9818" t="str">
            <v>FC 9x5 4年 5830AF-48G Switch用</v>
          </cell>
          <cell r="C9818" t="str">
            <v>【ファウンデーションケア】</v>
          </cell>
        </row>
        <row r="9819">
          <cell r="A9819" t="str">
            <v>U3ZE1E</v>
          </cell>
          <cell r="B9819" t="str">
            <v>FC 9x5 4年 5800-48 Switch用</v>
          </cell>
          <cell r="C9819" t="str">
            <v>【ファウンデーションケア】</v>
          </cell>
        </row>
        <row r="9820">
          <cell r="A9820" t="str">
            <v>U3ZE2E</v>
          </cell>
          <cell r="B9820" t="str">
            <v>FC 9x5 4年 5920AF-24XG Switch用</v>
          </cell>
          <cell r="C9820" t="str">
            <v>【ファウンデーションケア】</v>
          </cell>
        </row>
        <row r="9821">
          <cell r="A9821" t="str">
            <v>U3ZE5E</v>
          </cell>
          <cell r="B9821" t="str">
            <v>FC 9x5 4年 5900AF-48XG Switch用</v>
          </cell>
          <cell r="C9821" t="str">
            <v>【ファウンデーションケア】</v>
          </cell>
        </row>
        <row r="9822">
          <cell r="A9822" t="str">
            <v>U3ZE8E</v>
          </cell>
          <cell r="B9822" t="str">
            <v>FC 9x5 4年 5830AF-96G Switch用</v>
          </cell>
          <cell r="C9822" t="str">
            <v>【ファウンデーションケア】</v>
          </cell>
        </row>
        <row r="9823">
          <cell r="A9823" t="str">
            <v>U3ZF0E</v>
          </cell>
          <cell r="B9823" t="str">
            <v>FC 9x5 4年 5930 Switch用</v>
          </cell>
          <cell r="C9823" t="str">
            <v>【ファウンデーションケア】</v>
          </cell>
        </row>
        <row r="9824">
          <cell r="A9824" t="str">
            <v>U3ZF1E</v>
          </cell>
          <cell r="B9824" t="str">
            <v>FC 9x5 4年 12500 VPN FW Mod用</v>
          </cell>
          <cell r="C9824" t="str">
            <v>【ファウンデーションケア】</v>
          </cell>
        </row>
        <row r="9825">
          <cell r="A9825" t="str">
            <v>U3ZF2E</v>
          </cell>
          <cell r="B9825" t="str">
            <v>FC 9x5 4年 12504 Switch用</v>
          </cell>
          <cell r="C9825" t="str">
            <v>【ファウンデーションケア】</v>
          </cell>
        </row>
        <row r="9826">
          <cell r="A9826" t="str">
            <v>U3ZF9E</v>
          </cell>
          <cell r="B9826" t="str">
            <v>FC 9x5 4年 12508 Switch用</v>
          </cell>
          <cell r="C9826" t="str">
            <v>【ファウンデーションケア】</v>
          </cell>
        </row>
        <row r="9827">
          <cell r="A9827" t="str">
            <v>U3ZG1E</v>
          </cell>
          <cell r="B9827" t="str">
            <v>FC 9x5 4年 11908 Switch用</v>
          </cell>
          <cell r="C9827" t="str">
            <v>【ファウンデーションケア】</v>
          </cell>
        </row>
        <row r="9828">
          <cell r="A9828" t="str">
            <v>U3ZG2E</v>
          </cell>
          <cell r="B9828" t="str">
            <v>FC 9x5 4年 12910 Switch用</v>
          </cell>
          <cell r="C9828" t="str">
            <v>【ファウンデーションケア】</v>
          </cell>
        </row>
        <row r="9829">
          <cell r="A9829" t="str">
            <v>U3ZG3E</v>
          </cell>
          <cell r="B9829" t="str">
            <v>FC 9x5 4年 12518 Switch用</v>
          </cell>
          <cell r="C9829" t="str">
            <v>【ファウンデーションケア】</v>
          </cell>
        </row>
        <row r="9830">
          <cell r="A9830" t="str">
            <v>U3ZL4E</v>
          </cell>
          <cell r="B9830" t="str">
            <v>FC 9x5 5年 5800-24 Switch用</v>
          </cell>
          <cell r="C9830" t="str">
            <v>【ファウンデーションケア】</v>
          </cell>
        </row>
        <row r="9831">
          <cell r="A9831" t="str">
            <v>U3ZL6E</v>
          </cell>
          <cell r="B9831" t="str">
            <v>FC 9x5 5年 5820 Switch用</v>
          </cell>
          <cell r="C9831" t="str">
            <v>【ファウンデーションケア】</v>
          </cell>
        </row>
        <row r="9832">
          <cell r="A9832" t="str">
            <v>U3ZN6E</v>
          </cell>
          <cell r="B9832" t="str">
            <v>FC 9x5 5年 5900AF-48G Switch用</v>
          </cell>
          <cell r="C9832" t="str">
            <v>【ファウンデーションケア】</v>
          </cell>
        </row>
        <row r="9833">
          <cell r="A9833" t="str">
            <v>U3ZP5E</v>
          </cell>
          <cell r="B9833" t="str">
            <v>FC 9x5 5年 5820 VPN Firewall Module</v>
          </cell>
          <cell r="C9833" t="str">
            <v>【ファウンデーションケア】</v>
          </cell>
        </row>
        <row r="9834">
          <cell r="A9834" t="str">
            <v>U3ZP7E</v>
          </cell>
          <cell r="B9834" t="str">
            <v>FC 9x5 5年 5830AF-48G Switch用</v>
          </cell>
          <cell r="C9834" t="str">
            <v>【ファウンデーションケア】</v>
          </cell>
        </row>
        <row r="9835">
          <cell r="A9835" t="str">
            <v>U3ZP9E</v>
          </cell>
          <cell r="B9835" t="str">
            <v>FC 9x5 5年 5920AF-24XG Switch用</v>
          </cell>
          <cell r="C9835" t="str">
            <v>【ファウンデーションケア】</v>
          </cell>
        </row>
        <row r="9836">
          <cell r="A9836" t="str">
            <v>U3ZQ2E</v>
          </cell>
          <cell r="B9836" t="str">
            <v>FC 9x5 5年 5900AF-48XG Switch用</v>
          </cell>
          <cell r="C9836" t="str">
            <v>【ファウンデーションケア】</v>
          </cell>
        </row>
        <row r="9837">
          <cell r="A9837" t="str">
            <v>U3ZQ5E</v>
          </cell>
          <cell r="B9837" t="str">
            <v>FC 9x5 5年 5830AF-96G Switch用</v>
          </cell>
          <cell r="C9837" t="str">
            <v>【ファウンデーションケア】</v>
          </cell>
        </row>
        <row r="9838">
          <cell r="A9838" t="str">
            <v>U3ZQ7E</v>
          </cell>
          <cell r="B9838" t="str">
            <v>FC 9x5 5年 5930 Switch用</v>
          </cell>
          <cell r="C9838" t="str">
            <v>【ファウンデーションケア】</v>
          </cell>
        </row>
        <row r="9839">
          <cell r="A9839" t="str">
            <v>U3ZQ8E</v>
          </cell>
          <cell r="B9839" t="str">
            <v>FC 9x5 5年 12500 VPN FW Mod用</v>
          </cell>
          <cell r="C9839" t="str">
            <v>【ファウンデーションケア】</v>
          </cell>
        </row>
        <row r="9840">
          <cell r="A9840" t="str">
            <v>U3ZQ9E</v>
          </cell>
          <cell r="B9840" t="str">
            <v>FC 9x5 5年 12504 Switch用</v>
          </cell>
          <cell r="C9840" t="str">
            <v>【ファウンデーションケア】</v>
          </cell>
        </row>
        <row r="9841">
          <cell r="A9841" t="str">
            <v>U3ZR6E</v>
          </cell>
          <cell r="B9841" t="str">
            <v>FC 9x5 5年 12508 Switch用</v>
          </cell>
          <cell r="C9841" t="str">
            <v>【ファウンデーションケア】</v>
          </cell>
        </row>
        <row r="9842">
          <cell r="A9842" t="str">
            <v>U3ZR8E</v>
          </cell>
          <cell r="B9842" t="str">
            <v>FC 9x5 5年 11908 Switch用</v>
          </cell>
          <cell r="C9842" t="str">
            <v>【ファウンデーションケア】</v>
          </cell>
        </row>
        <row r="9843">
          <cell r="A9843" t="str">
            <v>U3ZR9E</v>
          </cell>
          <cell r="B9843" t="str">
            <v>FC 9x5 5年 12910 Switch用</v>
          </cell>
          <cell r="C9843" t="str">
            <v>【ファウンデーションケア】</v>
          </cell>
        </row>
        <row r="9844">
          <cell r="A9844" t="str">
            <v>U3ZS0E</v>
          </cell>
          <cell r="B9844" t="str">
            <v>FC 9x5 5年 12518 Switch用</v>
          </cell>
          <cell r="C9844" t="str">
            <v>【ファウンデーションケア】</v>
          </cell>
        </row>
        <row r="9845">
          <cell r="A9845" t="str">
            <v>U3ZS2E</v>
          </cell>
          <cell r="B9845" t="str">
            <v>FC 9x5 5年 5800-48 Switch用</v>
          </cell>
          <cell r="C9845" t="str">
            <v>【ファウンデーションケア】</v>
          </cell>
        </row>
        <row r="9846">
          <cell r="A9846" t="str">
            <v>U4BT8PE</v>
          </cell>
          <cell r="B9846" t="str">
            <v>PW FC 24x7 1年 5900AF-48G Switch用</v>
          </cell>
          <cell r="C9846" t="str">
            <v>【ファウンデーションケア】</v>
          </cell>
        </row>
        <row r="9847">
          <cell r="A9847" t="str">
            <v>U4BU0PE</v>
          </cell>
          <cell r="B9847" t="str">
            <v>PW FC 24x7 1年 5820 Switch用</v>
          </cell>
          <cell r="C9847" t="str">
            <v>【ファウンデーションケア】</v>
          </cell>
        </row>
        <row r="9848">
          <cell r="A9848" t="str">
            <v>U4BU1PE</v>
          </cell>
          <cell r="B9848" t="str">
            <v>PW FC 24x7 1年 5900AF-48XG Switch用</v>
          </cell>
          <cell r="C9848" t="str">
            <v>【ファウンデーションケア】</v>
          </cell>
        </row>
        <row r="9849">
          <cell r="A9849" t="str">
            <v>U4BU6PE</v>
          </cell>
          <cell r="B9849" t="str">
            <v>PW FC 24x7 1年 9508 Switch用</v>
          </cell>
          <cell r="C9849" t="str">
            <v>【ファウンデーションケア】</v>
          </cell>
        </row>
        <row r="9850">
          <cell r="A9850" t="str">
            <v>U4BU9PE</v>
          </cell>
          <cell r="B9850" t="str">
            <v>PW FC 24x7 1年 12508 Switch用</v>
          </cell>
          <cell r="C9850" t="str">
            <v>【ファウンデーションケア】</v>
          </cell>
        </row>
        <row r="9851">
          <cell r="A9851" t="str">
            <v>U4BV2PE</v>
          </cell>
          <cell r="B9851" t="str">
            <v>PW FC 24x7 1年 12518 Switch用</v>
          </cell>
          <cell r="C9851" t="str">
            <v>【ファウンデーションケア】</v>
          </cell>
        </row>
        <row r="9852">
          <cell r="A9852" t="str">
            <v>U4BV5PE</v>
          </cell>
          <cell r="B9852" t="str">
            <v>PW FC 24x7 1年 5820 VPN FW Mod用</v>
          </cell>
          <cell r="C9852" t="str">
            <v>【ファウンデーションケア】</v>
          </cell>
        </row>
        <row r="9853">
          <cell r="A9853" t="str">
            <v>U4BV6PE</v>
          </cell>
          <cell r="B9853" t="str">
            <v>PW FC 24x7 1年 9512 Switch用</v>
          </cell>
          <cell r="C9853" t="str">
            <v>【ファウンデーションケア】</v>
          </cell>
        </row>
        <row r="9854">
          <cell r="A9854" t="str">
            <v>U4BV9PE</v>
          </cell>
          <cell r="B9854" t="str">
            <v>PW FC 24x7 1年 5830AF-48G Switch用</v>
          </cell>
          <cell r="C9854" t="str">
            <v>【ファウンデーションケア】</v>
          </cell>
        </row>
        <row r="9855">
          <cell r="A9855" t="str">
            <v>U4BW0PE</v>
          </cell>
          <cell r="B9855" t="str">
            <v>PW FC 24x7 1年 5830AF-96G Switch用</v>
          </cell>
          <cell r="C9855" t="str">
            <v>【ファウンデーションケア】</v>
          </cell>
        </row>
        <row r="9856">
          <cell r="A9856" t="str">
            <v>U4BW3PE</v>
          </cell>
          <cell r="B9856" t="str">
            <v>PW FC 24x7 1年 5920AF-24XG Switch用</v>
          </cell>
          <cell r="C9856" t="str">
            <v>【ファウンデーションケア】</v>
          </cell>
        </row>
        <row r="9857">
          <cell r="A9857" t="str">
            <v>U4BW4PE</v>
          </cell>
          <cell r="B9857" t="str">
            <v>PW FC 24x7 1年 12504 Switch用</v>
          </cell>
          <cell r="C9857" t="str">
            <v>【ファウンデーションケア】</v>
          </cell>
        </row>
        <row r="9858">
          <cell r="A9858" t="str">
            <v>U4BX0PE</v>
          </cell>
          <cell r="B9858" t="str">
            <v>PW FC 24x7 1年 11908 Switch用</v>
          </cell>
          <cell r="C9858" t="str">
            <v>【ファウンデーションケア】</v>
          </cell>
        </row>
        <row r="9859">
          <cell r="A9859" t="str">
            <v>U4BX1PE</v>
          </cell>
          <cell r="B9859" t="str">
            <v>PW FC 24x7 1年 12910 Switch用</v>
          </cell>
          <cell r="C9859" t="str">
            <v>【ファウンデーションケア】</v>
          </cell>
        </row>
        <row r="9860">
          <cell r="A9860" t="str">
            <v>U4BX5PE</v>
          </cell>
          <cell r="B9860" t="str">
            <v>PW FC 24x7 1年 12500 VPN FW Mod用</v>
          </cell>
          <cell r="C9860" t="str">
            <v>【ファウンデーションケア】</v>
          </cell>
        </row>
        <row r="9861">
          <cell r="A9861" t="str">
            <v>U4BX6PE</v>
          </cell>
          <cell r="B9861" t="str">
            <v>PW FC 24x7 1年 5930 Switch用</v>
          </cell>
          <cell r="C9861" t="str">
            <v>【ファウンデーションケア】</v>
          </cell>
        </row>
        <row r="9862">
          <cell r="A9862" t="str">
            <v>U4CS8PE</v>
          </cell>
          <cell r="B9862" t="str">
            <v>PW FC Exch 1年 5820 Switch用</v>
          </cell>
          <cell r="C9862" t="str">
            <v>【ファウンデーションケア】</v>
          </cell>
        </row>
        <row r="9863">
          <cell r="A9863" t="str">
            <v>U4CU6PE</v>
          </cell>
          <cell r="B9863" t="str">
            <v>PW FC Exch 1年 9508 Switch用</v>
          </cell>
          <cell r="C9863" t="str">
            <v>【ファウンデーションケア】</v>
          </cell>
        </row>
        <row r="9864">
          <cell r="A9864" t="str">
            <v>U4CV1PE</v>
          </cell>
          <cell r="B9864" t="str">
            <v>PW FC Exch 1年 9512 Switch用</v>
          </cell>
          <cell r="C9864" t="str">
            <v>【ファウンデーションケア】</v>
          </cell>
        </row>
        <row r="9865">
          <cell r="A9865" t="str">
            <v>U4DE2PE</v>
          </cell>
          <cell r="B9865" t="str">
            <v>更新用 FC 24x7 1年 6600-24 Switch用</v>
          </cell>
          <cell r="C9865" t="str">
            <v>【ファウンデーションケア】</v>
          </cell>
        </row>
        <row r="9866">
          <cell r="A9866" t="str">
            <v>U4DF0PE</v>
          </cell>
          <cell r="B9866" t="str">
            <v>更新用 FC 24x7 1年 5800-24 Switch</v>
          </cell>
          <cell r="C9866" t="str">
            <v>【ファウンデーションケア】</v>
          </cell>
        </row>
        <row r="9867">
          <cell r="A9867" t="str">
            <v>U4DF9PE</v>
          </cell>
          <cell r="B9867" t="str">
            <v>更新用 FC 24x7 1年 6600-48 Switch用</v>
          </cell>
          <cell r="C9867" t="str">
            <v>【ファウンデーションケア】</v>
          </cell>
        </row>
        <row r="9868">
          <cell r="A9868" t="str">
            <v>U4DG2PE</v>
          </cell>
          <cell r="B9868" t="str">
            <v>更新用 FC 24x7 1年 5800-48 Switch</v>
          </cell>
          <cell r="C9868" t="str">
            <v>【ファウンデーションケア】</v>
          </cell>
        </row>
        <row r="9869">
          <cell r="A9869" t="str">
            <v>U4EL6PE</v>
          </cell>
          <cell r="B9869" t="str">
            <v>PW FC 9x5 1年 5900AF-48G Switch用</v>
          </cell>
          <cell r="C9869" t="str">
            <v>【ファウンデーションケア】</v>
          </cell>
        </row>
        <row r="9870">
          <cell r="A9870" t="str">
            <v>U4EL9PE</v>
          </cell>
          <cell r="B9870" t="str">
            <v>PW FC 9x5 1年 5820 VPN FW Mod用</v>
          </cell>
          <cell r="C9870" t="str">
            <v>【ファウンデーションケア】</v>
          </cell>
        </row>
        <row r="9871">
          <cell r="A9871" t="str">
            <v>U4EM1PE</v>
          </cell>
          <cell r="B9871" t="str">
            <v>PW FC 9x5 1年 5820 Switch用</v>
          </cell>
          <cell r="C9871" t="str">
            <v>【ファウンデーションケア】</v>
          </cell>
        </row>
        <row r="9872">
          <cell r="A9872" t="str">
            <v>U4EM2PE</v>
          </cell>
          <cell r="B9872" t="str">
            <v>PW FC 9x5 1年 5830AF-48G Switch用</v>
          </cell>
          <cell r="C9872" t="str">
            <v>【ファウンデーションケア】</v>
          </cell>
        </row>
        <row r="9873">
          <cell r="A9873" t="str">
            <v>U4EM4PE</v>
          </cell>
          <cell r="B9873" t="str">
            <v>PW FC 9x5 1年 5920AF-24XG Switch用</v>
          </cell>
          <cell r="C9873" t="str">
            <v>【ファウンデーションケア】</v>
          </cell>
        </row>
        <row r="9874">
          <cell r="A9874" t="str">
            <v>U4EM8PE</v>
          </cell>
          <cell r="B9874" t="str">
            <v>PW FC 9x5 1年 12910 Switch用</v>
          </cell>
          <cell r="C9874" t="str">
            <v>【ファウンデーションケア】</v>
          </cell>
        </row>
        <row r="9875">
          <cell r="A9875" t="str">
            <v>U4EN3PE</v>
          </cell>
          <cell r="B9875" t="str">
            <v>PW FC 9x5 1年 9508 Switch用</v>
          </cell>
          <cell r="C9875" t="str">
            <v>【ファウンデーションケア】</v>
          </cell>
        </row>
        <row r="9876">
          <cell r="A9876" t="str">
            <v>U4EN6PE</v>
          </cell>
          <cell r="B9876" t="str">
            <v>PW FC 9x5 1年 12508 Switch用</v>
          </cell>
          <cell r="C9876" t="str">
            <v>【ファウンデーションケア】</v>
          </cell>
        </row>
        <row r="9877">
          <cell r="A9877" t="str">
            <v>U4EN8PE</v>
          </cell>
          <cell r="B9877" t="str">
            <v>PW FC 9x5 1年 12518 Switch用</v>
          </cell>
          <cell r="C9877" t="str">
            <v>【ファウンデーションケア】</v>
          </cell>
        </row>
        <row r="9878">
          <cell r="A9878" t="str">
            <v>U4EP0PE</v>
          </cell>
          <cell r="B9878" t="str">
            <v>PW FC 9x5 1年 9512 Switch用</v>
          </cell>
          <cell r="C9878" t="str">
            <v>【ファウンデーションケア】</v>
          </cell>
        </row>
        <row r="9879">
          <cell r="A9879" t="str">
            <v>U4EP3PE</v>
          </cell>
          <cell r="B9879" t="str">
            <v>PW FC 9x5 1年 5830AF-96G Switch用</v>
          </cell>
          <cell r="C9879" t="str">
            <v>【ファウンデーションケア】</v>
          </cell>
        </row>
        <row r="9880">
          <cell r="A9880" t="str">
            <v>U4EP7PE</v>
          </cell>
          <cell r="B9880" t="str">
            <v>PW FC 9x5 1年 5900AF-48XG Switch用</v>
          </cell>
          <cell r="C9880" t="str">
            <v>【ファウンデーションケア】</v>
          </cell>
        </row>
        <row r="9881">
          <cell r="A9881" t="str">
            <v>U4EP8PE</v>
          </cell>
          <cell r="B9881" t="str">
            <v>PW FC 9x5 1年 12504 Switch用</v>
          </cell>
          <cell r="C9881" t="str">
            <v>【ファウンデーションケア】</v>
          </cell>
        </row>
        <row r="9882">
          <cell r="A9882" t="str">
            <v>U4EQ2PE</v>
          </cell>
          <cell r="B9882" t="str">
            <v>PW FC 9x5 1年 11908 Switch用</v>
          </cell>
          <cell r="C9882" t="str">
            <v>【ファウンデーションケア】</v>
          </cell>
        </row>
        <row r="9883">
          <cell r="A9883" t="str">
            <v>U4EQ4PE</v>
          </cell>
          <cell r="B9883" t="str">
            <v>PW FC 9x5 1年 12500 VPN FW Mod用</v>
          </cell>
          <cell r="C9883" t="str">
            <v>【ファウンデーションケア】</v>
          </cell>
        </row>
        <row r="9884">
          <cell r="A9884" t="str">
            <v>U4EQ5PE</v>
          </cell>
          <cell r="B9884" t="str">
            <v>PW FC 9x5 1年 5930 Switch用</v>
          </cell>
          <cell r="C9884" t="str">
            <v>【ファウンデーションケア】</v>
          </cell>
        </row>
        <row r="9885">
          <cell r="A9885" t="str">
            <v>U4ET9PE</v>
          </cell>
          <cell r="B9885" t="str">
            <v>更新用 FC 9x5 1年 6600-24 Switch用</v>
          </cell>
          <cell r="C9885" t="str">
            <v>【ファウンデーションケア】</v>
          </cell>
        </row>
        <row r="9886">
          <cell r="A9886" t="str">
            <v>U4EU8PE</v>
          </cell>
          <cell r="B9886" t="str">
            <v>更新用 FC 9x5 1年 5800-48 Switch</v>
          </cell>
          <cell r="C9886" t="str">
            <v>【ファウンデーションケア】</v>
          </cell>
        </row>
        <row r="9887">
          <cell r="A9887" t="str">
            <v>U4EV3PE</v>
          </cell>
          <cell r="B9887" t="str">
            <v>更新用 FC 9x5 1年 6600-48 Switch用</v>
          </cell>
          <cell r="C9887" t="str">
            <v>【ファウンデーションケア】</v>
          </cell>
        </row>
        <row r="9888">
          <cell r="A9888" t="str">
            <v>U4EV9PE</v>
          </cell>
          <cell r="B9888" t="str">
            <v>更新用 FC 9x5 1年 5800-24 Switch</v>
          </cell>
          <cell r="C9888" t="str">
            <v>【ファウンデーションケア】</v>
          </cell>
        </row>
        <row r="9889">
          <cell r="A9889" t="str">
            <v>U4G37E</v>
          </cell>
          <cell r="B9889" t="str">
            <v>ProCare 24x7 3年 5500-24 EI Switch用</v>
          </cell>
          <cell r="C9889" t="str">
            <v>【HPEプロアクティブケア】メーカー推奨／低価格で国内専用窓口の高品質な保守により、システム運用における安心を提供します。</v>
          </cell>
        </row>
        <row r="9890">
          <cell r="A9890" t="str">
            <v>U4G38E</v>
          </cell>
          <cell r="B9890" t="str">
            <v>ProCare 24x7 4年 5500-24 EI Switch用</v>
          </cell>
          <cell r="C9890" t="str">
            <v>【HPEプロアクティブケア】メーカー推奨／低価格で国内専用窓口の高品質な保守により、システム運用における安心を提供します。</v>
          </cell>
        </row>
        <row r="9891">
          <cell r="A9891" t="str">
            <v>U4G39E</v>
          </cell>
          <cell r="B9891" t="str">
            <v>ProCare 24x7 5年 5500-24 EI Switch用</v>
          </cell>
          <cell r="C9891" t="str">
            <v>【HPEプロアクティブケア】メーカー推奨／低価格で国内専用窓口の高品質な保守により、システム運用における安心を提供します。</v>
          </cell>
        </row>
        <row r="9892">
          <cell r="A9892" t="str">
            <v>U4G74E</v>
          </cell>
          <cell r="B9892" t="str">
            <v>ProCare 24x7 3年 5500-24 HI Switch用</v>
          </cell>
          <cell r="C9892" t="str">
            <v>【HPEプロアクティブケア】メーカー推奨／低価格で国内専用窓口の高品質な保守により、システム運用における安心を提供します。</v>
          </cell>
        </row>
        <row r="9893">
          <cell r="A9893" t="str">
            <v>U4G75E</v>
          </cell>
          <cell r="B9893" t="str">
            <v>ProCare 24x7 4年 5500-24 HI Switch用</v>
          </cell>
          <cell r="C9893" t="str">
            <v>【HPEプロアクティブケア】メーカー推奨／低価格で国内専用窓口の高品質な保守により、システム運用における安心を提供します。</v>
          </cell>
        </row>
        <row r="9894">
          <cell r="A9894" t="str">
            <v>U4G76E</v>
          </cell>
          <cell r="B9894" t="str">
            <v>ProCare 24x7 5年 5500-24 HI Switch用</v>
          </cell>
          <cell r="C9894" t="str">
            <v>【HPEプロアクティブケア】メーカー推奨／低価格で国内専用窓口の高品質な保守により、システム運用における安心を提供します。</v>
          </cell>
        </row>
        <row r="9895">
          <cell r="A9895" t="str">
            <v>U4H11E</v>
          </cell>
          <cell r="B9895" t="str">
            <v>ProCare 24x7 3年 5500-48 EI Switch用</v>
          </cell>
          <cell r="C9895" t="str">
            <v>【HPEプロアクティブケア】メーカー推奨／低価格で国内専用窓口の高品質な保守により、システム運用における安心を提供します。</v>
          </cell>
        </row>
        <row r="9896">
          <cell r="A9896" t="str">
            <v>U4H12E</v>
          </cell>
          <cell r="B9896" t="str">
            <v>ProCare 24x7 4年 5500-48 EI Switch用</v>
          </cell>
          <cell r="C9896" t="str">
            <v>【HPEプロアクティブケア】メーカー推奨／低価格で国内専用窓口の高品質な保守により、システム運用における安心を提供します。</v>
          </cell>
        </row>
        <row r="9897">
          <cell r="A9897" t="str">
            <v>U4H13E</v>
          </cell>
          <cell r="B9897" t="str">
            <v>ProCare 24x7 5年 5500-48 EI Switch用</v>
          </cell>
          <cell r="C9897" t="str">
            <v>【HPEプロアクティブケア】メーカー推奨／低価格で国内専用窓口の高品質な保守により、システム運用における安心を提供します。</v>
          </cell>
        </row>
        <row r="9898">
          <cell r="A9898" t="str">
            <v>U4H48E</v>
          </cell>
          <cell r="B9898" t="str">
            <v>ProCare 24x7 3年 5500-48 HI Switch用</v>
          </cell>
          <cell r="C9898" t="str">
            <v>【HPEプロアクティブケア】メーカー推奨／低価格で国内専用窓口の高品質な保守により、システム運用における安心を提供します。</v>
          </cell>
        </row>
        <row r="9899">
          <cell r="A9899" t="str">
            <v>U4H49E</v>
          </cell>
          <cell r="B9899" t="str">
            <v>ProCare 24x7 4年 5500-48 HI Switch用</v>
          </cell>
          <cell r="C9899" t="str">
            <v>【HPEプロアクティブケア】メーカー推奨／低価格で国内専用窓口の高品質な保守により、システム運用における安心を提供します。</v>
          </cell>
        </row>
        <row r="9900">
          <cell r="A9900" t="str">
            <v>U4H50E</v>
          </cell>
          <cell r="B9900" t="str">
            <v>ProCare 24x7 5年 5500-48 HI Switch用</v>
          </cell>
          <cell r="C9900" t="str">
            <v>【HPEプロアクティブケア】メーカー推奨／低価格で国内専用窓口の高品質な保守により、システム運用における安心を提供します。</v>
          </cell>
        </row>
        <row r="9901">
          <cell r="A9901" t="str">
            <v>U4UL7PE</v>
          </cell>
          <cell r="B9901" t="str">
            <v>更新用ProCare 24x7 1年 5406R Switch用</v>
          </cell>
          <cell r="C9901" t="str">
            <v>【HPEプロアクティブケア】メーカー推奨／低価格で国内専用窓口の高品質な保守により、システム運用における安心を提供します。</v>
          </cell>
        </row>
        <row r="9902">
          <cell r="A9902" t="str">
            <v>U4UT2PE</v>
          </cell>
          <cell r="B9902" t="str">
            <v>更新用ProCare 24x7 1年 5412R Switch用</v>
          </cell>
          <cell r="C9902" t="str">
            <v>【HPEプロアクティブケア】メーカー推奨／低価格で国内専用窓口の高品質な保守により、システム運用における安心を提供します。</v>
          </cell>
        </row>
        <row r="9903">
          <cell r="A9903" t="str">
            <v>U4VE0E</v>
          </cell>
          <cell r="B9903" t="str">
            <v>FC 24x7 1年 5700 Switch用</v>
          </cell>
          <cell r="C9903" t="str">
            <v>【ファウンデーションケア】</v>
          </cell>
        </row>
        <row r="9904">
          <cell r="A9904" t="str">
            <v>U4VE4E</v>
          </cell>
          <cell r="B9904" t="str">
            <v>FC Exchange 3年 5700 Switch用</v>
          </cell>
          <cell r="C9904" t="str">
            <v>【ファウンデーションケア】</v>
          </cell>
        </row>
        <row r="9905">
          <cell r="A9905" t="str">
            <v>U4VE8E</v>
          </cell>
          <cell r="B9905" t="str">
            <v>FC 9x5 3年 5700 Switch用</v>
          </cell>
          <cell r="C9905" t="str">
            <v>【ファウンデーションケア】</v>
          </cell>
        </row>
        <row r="9906">
          <cell r="A9906" t="str">
            <v>U4VF3E</v>
          </cell>
          <cell r="B9906" t="str">
            <v>FC 24x7 3年 5700 Switch用</v>
          </cell>
          <cell r="C9906" t="str">
            <v>【ファウンデーションケア】</v>
          </cell>
        </row>
        <row r="9907">
          <cell r="A9907" t="str">
            <v>U4VF5E</v>
          </cell>
          <cell r="B9907" t="str">
            <v>ProCare 24x7 3年 5700 Switch用</v>
          </cell>
          <cell r="C9907" t="str">
            <v>【HPEプロアクティブケア】メーカー推奨／低価格で国内専用窓口の高品質な保守により、システム運用における安心を提供します。</v>
          </cell>
        </row>
        <row r="9908">
          <cell r="A9908" t="str">
            <v>U4VG9E</v>
          </cell>
          <cell r="B9908" t="str">
            <v>FC 9x5 4年 5700 Switch用</v>
          </cell>
          <cell r="C9908" t="str">
            <v>【ファウンデーションケア】</v>
          </cell>
        </row>
        <row r="9909">
          <cell r="A9909" t="str">
            <v>U4VH4E</v>
          </cell>
          <cell r="B9909" t="str">
            <v>FC 24x7 4年 5700 Switch用</v>
          </cell>
          <cell r="C9909" t="str">
            <v>【ファウンデーションケア】</v>
          </cell>
        </row>
        <row r="9910">
          <cell r="A9910" t="str">
            <v>U4VH6E</v>
          </cell>
          <cell r="B9910" t="str">
            <v>ProCare 24x7 4年 5700 Switch用</v>
          </cell>
          <cell r="C9910" t="str">
            <v>【HPEプロアクティブケア】メーカー推奨／低価格で国内専用窓口の高品質な保守により、システム運用における安心を提供します。</v>
          </cell>
        </row>
        <row r="9911">
          <cell r="A9911" t="str">
            <v>U4VK0E</v>
          </cell>
          <cell r="B9911" t="str">
            <v>FC 9x5 5年 5700 Switch用</v>
          </cell>
          <cell r="C9911" t="str">
            <v>【ファウンデーションケア】</v>
          </cell>
        </row>
        <row r="9912">
          <cell r="A9912" t="str">
            <v>U4VK5E</v>
          </cell>
          <cell r="B9912" t="str">
            <v>FC 24x7 5年 5700 Switch用</v>
          </cell>
          <cell r="C9912" t="str">
            <v>【ファウンデーションケア】</v>
          </cell>
        </row>
        <row r="9913">
          <cell r="A9913" t="str">
            <v>U4VK7E</v>
          </cell>
          <cell r="B9913" t="str">
            <v>ProCare 24x7 5年 5700 Switch用</v>
          </cell>
          <cell r="C9913" t="str">
            <v>【HPEプロアクティブケア】メーカー推奨／低価格で国内専用窓口の高品質な保守により、システム運用における安心を提供します。</v>
          </cell>
        </row>
        <row r="9914">
          <cell r="A9914" t="str">
            <v>U4VM1PE</v>
          </cell>
          <cell r="B9914" t="str">
            <v>PW FC 9x5 1年 5700 Switch用</v>
          </cell>
          <cell r="C9914" t="str">
            <v>【ファウンデーションケア】</v>
          </cell>
        </row>
        <row r="9915">
          <cell r="A9915" t="str">
            <v>U4VM4PE</v>
          </cell>
          <cell r="B9915" t="str">
            <v>PW FC 24x7 1年 5700 Switch用</v>
          </cell>
          <cell r="C9915" t="str">
            <v>【ファウンデーションケア】</v>
          </cell>
        </row>
        <row r="9916">
          <cell r="A9916" t="str">
            <v>U4VM6PE</v>
          </cell>
          <cell r="B9916" t="str">
            <v>PW ProCare 24x7 1年 5700 Switch用</v>
          </cell>
          <cell r="C9916" t="str">
            <v>【HPEプロアクティブケア】メーカー推奨／低価格で国内専用窓口の高品質な保守により、システム運用における安心を提供します。</v>
          </cell>
        </row>
        <row r="9917">
          <cell r="A9917" t="str">
            <v>U5X99E</v>
          </cell>
          <cell r="B9917" t="str">
            <v>ProCare 24x7 3年 5900AF-48XG Switch用</v>
          </cell>
          <cell r="C9917" t="str">
            <v>【HPEプロアクティブケア】メーカー推奨／低価格で国内専用窓口の高品質な保守により、システム運用における安心を提供します。</v>
          </cell>
        </row>
        <row r="9918">
          <cell r="A9918" t="str">
            <v>U5Y11E</v>
          </cell>
          <cell r="B9918" t="str">
            <v>ProCare 24x7 4年 5900AF-48XG Switch用</v>
          </cell>
          <cell r="C9918" t="str">
            <v>【HPEプロアクティブケア】メーカー推奨／低価格で国内専用窓口の高品質な保守により、システム運用における安心を提供します。</v>
          </cell>
        </row>
        <row r="9919">
          <cell r="A9919" t="str">
            <v>U5Y23E</v>
          </cell>
          <cell r="B9919" t="str">
            <v>ProCare 24x7 5年 5900AF-48XG Switch用</v>
          </cell>
          <cell r="C9919" t="str">
            <v>【HPEプロアクティブケア】メーカー推奨／低価格で国内専用窓口の高品質な保守により、システム運用における安心を提供します。</v>
          </cell>
        </row>
        <row r="9920">
          <cell r="A9920" t="str">
            <v>U6A08E</v>
          </cell>
          <cell r="B9920" t="str">
            <v>ProCare 24x7 4年 5920AF-24XG Switch用</v>
          </cell>
          <cell r="C9920" t="str">
            <v>【HPEプロアクティブケア】メーカー推奨／低価格で国内専用窓口の高品質な保守により、システム運用における安心を提供します。</v>
          </cell>
        </row>
        <row r="9921">
          <cell r="A9921" t="str">
            <v>U6A20E</v>
          </cell>
          <cell r="B9921" t="str">
            <v>ProCare 24x7 5年 5920AF-24XG Switch用</v>
          </cell>
          <cell r="C9921" t="str">
            <v>【HPEプロアクティブケア】メーカー推奨／低価格で国内専用窓口の高品質な保守により、システム運用における安心を提供します。</v>
          </cell>
        </row>
        <row r="9922">
          <cell r="A9922" t="str">
            <v>U6KG9E</v>
          </cell>
          <cell r="B9922" t="str">
            <v>ProCare 24x7 3年 5120-48G SI Switch B用</v>
          </cell>
          <cell r="C9922" t="str">
            <v>【HPEプロアクティブケア】メーカー推奨／低価格で国内専用窓口の高品質な保守により、システム運用における安心を提供します。</v>
          </cell>
        </row>
        <row r="9923">
          <cell r="A9923" t="str">
            <v>U6KK2E</v>
          </cell>
          <cell r="B9923" t="str">
            <v>ProCare 24x7 4年 5120-48G SI Switch B用</v>
          </cell>
          <cell r="C9923" t="str">
            <v>【HPEプロアクティブケア】メーカー推奨／低価格で国内専用窓口の高品質な保守により、システム運用における安心を提供します。</v>
          </cell>
        </row>
        <row r="9924">
          <cell r="A9924" t="str">
            <v>U6KM5E</v>
          </cell>
          <cell r="B9924" t="str">
            <v>ProCare 24x7 5年 5120-48G SI Switch B用</v>
          </cell>
          <cell r="C9924" t="str">
            <v>【HPEプロアクティブケア】メーカー推奨／低価格で国内専用窓口の高品質な保守により、システム運用における安心を提供します。</v>
          </cell>
        </row>
        <row r="9925">
          <cell r="A9925" t="str">
            <v>U6KP5PE</v>
          </cell>
          <cell r="B9925" t="str">
            <v>更新用 PC 24x7 1年 5120-48G SI Switch B</v>
          </cell>
          <cell r="C9925" t="str">
            <v>【HPEプロアクティブケア】メーカー推奨／低価格で国内専用窓口の高品質な保守により、システム運用における安心を提供します。</v>
          </cell>
        </row>
        <row r="9926">
          <cell r="A9926" t="str">
            <v>U6KS0E</v>
          </cell>
          <cell r="B9926" t="str">
            <v>ProCare 24x7 3年 5120-16G SI Switch B用</v>
          </cell>
          <cell r="C9926" t="str">
            <v>【HPEプロアクティブケア】メーカー推奨／低価格で国内専用窓口の高品質な保守により、システム運用における安心を提供します。</v>
          </cell>
        </row>
        <row r="9927">
          <cell r="A9927" t="str">
            <v>U6KU3E</v>
          </cell>
          <cell r="B9927" t="str">
            <v>ProCare 24x7 4年 5120-16G SI Switch B用</v>
          </cell>
          <cell r="C9927" t="str">
            <v>【HPEプロアクティブケア】メーカー推奨／低価格で国内専用窓口の高品質な保守により、システム運用における安心を提供します。</v>
          </cell>
        </row>
        <row r="9928">
          <cell r="A9928" t="str">
            <v>U6KW6E</v>
          </cell>
          <cell r="B9928" t="str">
            <v>ProCare 24x7 5年 5120-16G SI Switch B用</v>
          </cell>
          <cell r="C9928" t="str">
            <v>【HPEプロアクティブケア】メーカー推奨／低価格で国内専用窓口の高品質な保守により、システム運用における安心を提供します。</v>
          </cell>
        </row>
        <row r="9929">
          <cell r="A9929" t="str">
            <v>U6KY6PE</v>
          </cell>
          <cell r="B9929" t="str">
            <v>更新用 PC 24x7 1年 5120-16G SI Switch B</v>
          </cell>
          <cell r="C9929" t="str">
            <v>【HPEプロアクティブケア】メーカー推奨／低価格で国内専用窓口の高品質な保守により、システム運用における安心を提供します。</v>
          </cell>
        </row>
        <row r="9930">
          <cell r="A9930" t="str">
            <v>U6LB1E</v>
          </cell>
          <cell r="B9930" t="str">
            <v>ProCare 24x7 3年 5120-24G SI Switch B用</v>
          </cell>
          <cell r="C9930" t="str">
            <v>【HPEプロアクティブケア】メーカー推奨／低価格で国内専用窓口の高品質な保守により、システム運用における安心を提供します。</v>
          </cell>
        </row>
        <row r="9931">
          <cell r="A9931" t="str">
            <v>U6LD4E</v>
          </cell>
          <cell r="B9931" t="str">
            <v>ProCare 24x7 4年 5120-24G SI Switch B用</v>
          </cell>
          <cell r="C9931" t="str">
            <v>【HPEプロアクティブケア】メーカー推奨／低価格で国内専用窓口の高品質な保守により、システム運用における安心を提供します。</v>
          </cell>
        </row>
        <row r="9932">
          <cell r="A9932" t="str">
            <v>U6LF7E</v>
          </cell>
          <cell r="B9932" t="str">
            <v>ProCare 24x7 5年 5120-24G SI Switch B用</v>
          </cell>
          <cell r="C9932" t="str">
            <v>【HPEプロアクティブケア】メーカー推奨／低価格で国内専用窓口の高品質な保守により、システム運用における安心を提供します。</v>
          </cell>
        </row>
        <row r="9933">
          <cell r="A9933" t="str">
            <v>U6LH7PE</v>
          </cell>
          <cell r="B9933" t="str">
            <v>更新用 PC 24x7 1年 5120-24G SI Switch B</v>
          </cell>
          <cell r="C9933" t="str">
            <v>【HPEプロアクティブケア】メーカー推奨／低価格で国内専用窓口の高品質な保守により、システム運用における安心を提供します。</v>
          </cell>
        </row>
        <row r="9934">
          <cell r="A9934" t="str">
            <v>U6LL2E</v>
          </cell>
          <cell r="B9934" t="str">
            <v>ProCare 24x7 3年5120-24G-PoE SI Switch B</v>
          </cell>
          <cell r="C9934" t="str">
            <v>【HPEプロアクティブケア】メーカー推奨／低価格で国内専用窓口の高品質な保守により、システム運用における安心を提供します。</v>
          </cell>
        </row>
        <row r="9935">
          <cell r="A9935" t="str">
            <v>U6LN5E</v>
          </cell>
          <cell r="B9935" t="str">
            <v>ProCare 24x7 4年5120-24G-PoE SI Switch B</v>
          </cell>
          <cell r="C9935" t="str">
            <v>【HPEプロアクティブケア】メーカー推奨／低価格で国内専用窓口の高品質な保守により、システム運用における安心を提供します。</v>
          </cell>
        </row>
        <row r="9936">
          <cell r="A9936" t="str">
            <v>U6N27E</v>
          </cell>
          <cell r="B9936" t="str">
            <v>ProCare 24x7 3年 10512 Switch用</v>
          </cell>
          <cell r="C9936" t="str">
            <v>【HPEプロアクティブケア】メーカー推奨／低価格で国内専用窓口の高品質な保守により、システム運用における安心を提供します。</v>
          </cell>
        </row>
        <row r="9937">
          <cell r="A9937" t="str">
            <v>U6N39E</v>
          </cell>
          <cell r="B9937" t="str">
            <v>ProCare 24x7 4年 10512 Switch用</v>
          </cell>
          <cell r="C9937" t="str">
            <v>【HPEプロアクティブケア】メーカー推奨／低価格で国内専用窓口の高品質な保守により、システム運用における安心を提供します。</v>
          </cell>
        </row>
        <row r="9938">
          <cell r="A9938" t="str">
            <v>U6N51E</v>
          </cell>
          <cell r="B9938" t="str">
            <v>ProCare 24x7 5年 10512 Switch用</v>
          </cell>
          <cell r="C9938" t="str">
            <v>【HPEプロアクティブケア】メーカー推奨／低価格で国内専用窓口の高品質な保守により、システム運用における安心を提供します。</v>
          </cell>
        </row>
        <row r="9939">
          <cell r="A9939" t="str">
            <v>U6SQ4E</v>
          </cell>
          <cell r="B9939" t="str">
            <v>ProCare 24x7 5年 5120-8G-PoE SI Switch用</v>
          </cell>
          <cell r="C9939" t="str">
            <v>【HPEプロアクティブケア】メーカー推奨／低価格で国内専用窓口の高品質な保守により、システム運用における安心を提供します。</v>
          </cell>
        </row>
        <row r="9940">
          <cell r="A9940" t="str">
            <v>U6SS4PE</v>
          </cell>
          <cell r="B9940" t="str">
            <v>更新用 PC 24x7 1年 5120-8G-PoE SI Switch</v>
          </cell>
          <cell r="C9940" t="str">
            <v>【HPEプロアクティブケア】メーカー推奨／低価格で国内専用窓口の高品質な保守により、システム運用における安心を提供します。</v>
          </cell>
        </row>
        <row r="9941">
          <cell r="A9941" t="str">
            <v>U6ST1E</v>
          </cell>
          <cell r="B9941" t="str">
            <v>ProCare 24x7 5年 5510-24G-SFP HI Switch</v>
          </cell>
          <cell r="C9941" t="str">
            <v>【HPEプロアクティブケア】メーカー推奨／低価格で国内専用窓口の高品質な保守により、システム運用における安心を提供します。</v>
          </cell>
        </row>
        <row r="9942">
          <cell r="A9942" t="str">
            <v>U6SV2E</v>
          </cell>
          <cell r="B9942" t="str">
            <v>ProCare 24x7 5年5120-24G-PoE SI Switch B</v>
          </cell>
          <cell r="C9942" t="str">
            <v>【HPEプロアクティブケア】メーカー推奨／低価格で国内専用窓口の高品質な保守により、システム運用における安心を提供します。</v>
          </cell>
        </row>
        <row r="9943">
          <cell r="A9943" t="str">
            <v>U6SY3E</v>
          </cell>
          <cell r="B9943" t="str">
            <v>ProCare 24x7 3年 5120-8G-PoE SI Switch用</v>
          </cell>
          <cell r="C9943" t="str">
            <v>【HPEプロアクティブケア】メーカー推奨／低価格で国内専用窓口の高品質な保守により、システム運用における安心を提供します。</v>
          </cell>
        </row>
        <row r="9944">
          <cell r="A9944" t="str">
            <v>U6TE0E</v>
          </cell>
          <cell r="B9944" t="str">
            <v>ProCare 24x7 3年 3810-16SFP Switch用</v>
          </cell>
          <cell r="C9944" t="str">
            <v>【HPEプロアクティブケア】メーカー推奨／低価格で国内専用窓口の高品質な保守により、システム運用における安心を提供します。</v>
          </cell>
        </row>
        <row r="9945">
          <cell r="A9945" t="str">
            <v>U6TG3E</v>
          </cell>
          <cell r="B9945" t="str">
            <v>ProCare 24x7 4年 3810-16SFP Switch用</v>
          </cell>
          <cell r="C9945" t="str">
            <v>【HPEプロアクティブケア】メーカー推奨／低価格で国内専用窓口の高品質な保守により、システム運用における安心を提供します。</v>
          </cell>
        </row>
        <row r="9946">
          <cell r="A9946" t="str">
            <v>U6TJ6E</v>
          </cell>
          <cell r="B9946" t="str">
            <v>ProCare 24x7 5年 3810-16SFP Switch用</v>
          </cell>
          <cell r="C9946" t="str">
            <v>【HPEプロアクティブケア】メーカー推奨／低価格で国内専用窓口の高品質な保守により、システム運用における安心を提供します。</v>
          </cell>
        </row>
        <row r="9947">
          <cell r="A9947" t="str">
            <v>U6TL6PE</v>
          </cell>
          <cell r="B9947" t="str">
            <v>更新用 PC 24x7 1年 3810-16SFP Switch用</v>
          </cell>
          <cell r="C9947" t="str">
            <v>【HPEプロアクティブケア】メーカー推奨／低価格で国内専用窓口の高品質な保守により、システム運用における安心を提供します。</v>
          </cell>
        </row>
        <row r="9948">
          <cell r="A9948" t="str">
            <v>U6TP1E</v>
          </cell>
          <cell r="B9948" t="str">
            <v>ProCare 24x7 3年 3810-40G Switch用</v>
          </cell>
          <cell r="C9948" t="str">
            <v>【HPEプロアクティブケア】メーカー推奨／低価格で国内専用窓口の高品質な保守により、システム運用における安心を提供します。</v>
          </cell>
        </row>
        <row r="9949">
          <cell r="A9949" t="str">
            <v>U6TR4E</v>
          </cell>
          <cell r="B9949" t="str">
            <v>ProCare 24x7 4年 3810-40G Switch用</v>
          </cell>
          <cell r="C9949" t="str">
            <v>【HPEプロアクティブケア】メーカー推奨／低価格で国内専用窓口の高品質な保守により、システム運用における安心を提供します。</v>
          </cell>
        </row>
        <row r="9950">
          <cell r="A9950" t="str">
            <v>U6TT7E</v>
          </cell>
          <cell r="B9950" t="str">
            <v>ProCare 24x7 5年 3810-40G Switch用</v>
          </cell>
          <cell r="C9950" t="str">
            <v>【HPEプロアクティブケア】メーカー推奨／低価格で国内専用窓口の高品質な保守により、システム運用における安心を提供します。</v>
          </cell>
        </row>
        <row r="9951">
          <cell r="A9951" t="str">
            <v>U6TV7PE</v>
          </cell>
          <cell r="B9951" t="str">
            <v>更新用 PC 24x7 1年 3810-40G Switch用</v>
          </cell>
          <cell r="C9951" t="str">
            <v>【HPEプロアクティブケア】メーカー推奨／低価格で国内専用窓口の高品質な保守により、システム運用における安心を提供します。</v>
          </cell>
        </row>
        <row r="9952">
          <cell r="A9952" t="str">
            <v>U6TY2E</v>
          </cell>
          <cell r="B9952" t="str">
            <v>ProCare 24x7 3年 3810-24G Switch用</v>
          </cell>
          <cell r="C9952" t="str">
            <v>【HPEプロアクティブケア】メーカー推奨／低価格で国内専用窓口の高品質な保守により、システム運用における安心を提供します。</v>
          </cell>
        </row>
        <row r="9953">
          <cell r="A9953" t="str">
            <v>U7CH0E</v>
          </cell>
          <cell r="B9953" t="str">
            <v>ProCare 24x7 4年 3810-24G Switch用</v>
          </cell>
          <cell r="C9953" t="str">
            <v>【HPEプロアクティブケア】メーカー推奨／低価格で国内専用窓口の高品質な保守により、システム運用における安心を提供します。</v>
          </cell>
        </row>
        <row r="9954">
          <cell r="A9954" t="str">
            <v>U7CK3E</v>
          </cell>
          <cell r="B9954" t="str">
            <v>ProCare 24x7 5年 3810-24G Switch用</v>
          </cell>
          <cell r="C9954" t="str">
            <v>【HPEプロアクティブケア】メーカー推奨／低価格で国内専用窓口の高品質な保守により、システム運用における安心を提供します。</v>
          </cell>
        </row>
        <row r="9955">
          <cell r="A9955" t="str">
            <v>U7CM3PE</v>
          </cell>
          <cell r="B9955" t="str">
            <v>更新用 PC 24x7 1年 3810-24G Switch用</v>
          </cell>
          <cell r="C9955" t="str">
            <v>【HPEプロアクティブケア】メーカー推奨／低価格で国内専用窓口の高品質な保守により、システム運用における安心を提供します。</v>
          </cell>
        </row>
        <row r="9956">
          <cell r="A9956" t="str">
            <v>U7CP8E</v>
          </cell>
          <cell r="B9956" t="str">
            <v>ProCare 24x7 3年 3810-48G Switch用</v>
          </cell>
          <cell r="C9956" t="str">
            <v>【HPEプロアクティブケア】メーカー推奨／低価格で国内専用窓口の高品質な保守により、システム運用における安心を提供します。</v>
          </cell>
        </row>
        <row r="9957">
          <cell r="A9957" t="str">
            <v>U7CS1E</v>
          </cell>
          <cell r="B9957" t="str">
            <v>ProCare 24x7 4年 3810-48G Switch用</v>
          </cell>
          <cell r="C9957" t="str">
            <v>【HPEプロアクティブケア】メーカー推奨／低価格で国内専用窓口の高品質な保守により、システム運用における安心を提供します。</v>
          </cell>
        </row>
        <row r="9958">
          <cell r="A9958" t="str">
            <v>U7CU4E</v>
          </cell>
          <cell r="B9958" t="str">
            <v>ProCare 24x7 5年 3810-48G Switch用</v>
          </cell>
          <cell r="C9958" t="str">
            <v>【HPEプロアクティブケア】メーカー推奨／低価格で国内専用窓口の高品質な保守により、システム運用における安心を提供します。</v>
          </cell>
        </row>
        <row r="9959">
          <cell r="A9959" t="str">
            <v>U7CW4PE</v>
          </cell>
          <cell r="B9959" t="str">
            <v>更新用 PC 24x7 1年 3810-48G Switch用</v>
          </cell>
          <cell r="C9959" t="str">
            <v>【HPEプロアクティブケア】メーカー推奨／低価格で国内専用窓口の高品質な保守により、システム運用における安心を提供します。</v>
          </cell>
        </row>
        <row r="9960">
          <cell r="A9960" t="str">
            <v>U7CY9E</v>
          </cell>
          <cell r="B9960" t="str">
            <v>ProCare 24x7 3年 3810-24G-PoE Switch用</v>
          </cell>
          <cell r="C9960" t="str">
            <v>【HPEプロアクティブケア】メーカー推奨／低価格で国内専用窓口の高品質な保守により、システム運用における安心を提供します。</v>
          </cell>
        </row>
        <row r="9961">
          <cell r="A9961" t="str">
            <v>U7DB2E</v>
          </cell>
          <cell r="B9961" t="str">
            <v>ProCare 24x7 4年 3810-24G-PoE Switch用</v>
          </cell>
          <cell r="C9961" t="str">
            <v>【HPEプロアクティブケア】メーカー推奨／低価格で国内専用窓口の高品質な保守により、システム運用における安心を提供します。</v>
          </cell>
        </row>
        <row r="9962">
          <cell r="A9962" t="str">
            <v>U7DD5E</v>
          </cell>
          <cell r="B9962" t="str">
            <v>ProCare 24x7 5年 3810-24G-PoE Switch用</v>
          </cell>
          <cell r="C9962" t="str">
            <v>【HPEプロアクティブケア】メーカー推奨／低価格で国内専用窓口の高品質な保守により、システム運用における安心を提供します。</v>
          </cell>
        </row>
        <row r="9963">
          <cell r="A9963" t="str">
            <v>U7DF5PE</v>
          </cell>
          <cell r="B9963" t="str">
            <v>更新用 PC 24x7 1年 3810-24G-PoE Switch用</v>
          </cell>
          <cell r="C9963" t="str">
            <v>【HPEプロアクティブケア】メーカー推奨／低価格で国内専用窓口の高品質な保守により、システム運用における安心を提供します。</v>
          </cell>
        </row>
        <row r="9964">
          <cell r="A9964" t="str">
            <v>U7DJ0E</v>
          </cell>
          <cell r="B9964" t="str">
            <v>ProCare 24x7 3年 3810-48G-PoE Switch用</v>
          </cell>
          <cell r="C9964" t="str">
            <v>【HPEプロアクティブケア】メーカー推奨／低価格で国内専用窓口の高品質な保守により、システム運用における安心を提供します。</v>
          </cell>
        </row>
        <row r="9965">
          <cell r="A9965" t="str">
            <v>U7DL3E</v>
          </cell>
          <cell r="B9965" t="str">
            <v>ProCare 24x7 4年 3810-48G-PoE Switch用</v>
          </cell>
          <cell r="C9965" t="str">
            <v>【HPEプロアクティブケア】メーカー推奨／低価格で国内専用窓口の高品質な保守により、システム運用における安心を提供します。</v>
          </cell>
        </row>
        <row r="9966">
          <cell r="A9966" t="str">
            <v>U7DN6E</v>
          </cell>
          <cell r="B9966" t="str">
            <v>ProCare 24x7 5年 3810-48G-PoE Switch用</v>
          </cell>
          <cell r="C9966" t="str">
            <v>【HPEプロアクティブケア】メーカー推奨／低価格で国内専用窓口の高品質な保守により、システム運用における安心を提供します。</v>
          </cell>
        </row>
        <row r="9967">
          <cell r="A9967" t="str">
            <v>U7DQ6PE</v>
          </cell>
          <cell r="B9967" t="str">
            <v>更新用 PC 24x7 1年 3810-48G-PoE Switch用</v>
          </cell>
          <cell r="C9967" t="str">
            <v>【HPEプロアクティブケア】メーカー推奨／低価格で国内専用窓口の高品質な保守により、システム運用における安心を提供します。</v>
          </cell>
        </row>
        <row r="9968">
          <cell r="A9968" t="str">
            <v>U7DT1E</v>
          </cell>
          <cell r="B9968" t="str">
            <v>ProCare 24x7 3年 5130-24G HI Switch用</v>
          </cell>
          <cell r="C9968" t="str">
            <v>【HPEプロアクティブケア】メーカー推奨／低価格で国内専用窓口の高品質な保守により、システム運用における安心を提供します。</v>
          </cell>
        </row>
        <row r="9969">
          <cell r="A9969" t="str">
            <v>U7DV4E</v>
          </cell>
          <cell r="B9969" t="str">
            <v>ProCare 24x7 4年 5130-24G HI Switch用</v>
          </cell>
          <cell r="C9969" t="str">
            <v>【HPEプロアクティブケア】メーカー推奨／低価格で国内専用窓口の高品質な保守により、システム運用における安心を提供します。</v>
          </cell>
        </row>
        <row r="9970">
          <cell r="A9970" t="str">
            <v>U7DX7E</v>
          </cell>
          <cell r="B9970" t="str">
            <v>ProCare 24x7 5年 5130-24G HI Switch用</v>
          </cell>
          <cell r="C9970" t="str">
            <v>【HPEプロアクティブケア】メーカー推奨／低価格で国内専用窓口の高品質な保守により、システム運用における安心を提供します。</v>
          </cell>
        </row>
        <row r="9971">
          <cell r="A9971" t="str">
            <v>U7DZ7PE</v>
          </cell>
          <cell r="B9971" t="str">
            <v>更新用 PC 24x7 1年 5130-24G HI Switch用</v>
          </cell>
          <cell r="C9971" t="str">
            <v>【HPEプロアクティブケア】メーカー推奨／低価格で国内専用窓口の高品質な保守により、システム運用における安心を提供します。</v>
          </cell>
        </row>
        <row r="9972">
          <cell r="A9972" t="str">
            <v>U7EC2E</v>
          </cell>
          <cell r="B9972" t="str">
            <v>ProCare 24x7 3年 5130-48G HI Switch用</v>
          </cell>
          <cell r="C9972" t="str">
            <v>【HPEプロアクティブケア】メーカー推奨／低価格で国内専用窓口の高品質な保守により、システム運用における安心を提供します。</v>
          </cell>
        </row>
        <row r="9973">
          <cell r="A9973" t="str">
            <v>U7EE5E</v>
          </cell>
          <cell r="B9973" t="str">
            <v>ProCare 24x7 4年 5130-48G HI Switch用</v>
          </cell>
          <cell r="C9973" t="str">
            <v>【HPEプロアクティブケア】メーカー推奨／低価格で国内専用窓口の高品質な保守により、システム運用における安心を提供します。</v>
          </cell>
        </row>
        <row r="9974">
          <cell r="A9974" t="str">
            <v>U7EG8E</v>
          </cell>
          <cell r="B9974" t="str">
            <v>ProCare 24x7 5年 5130-48G HI Switch用</v>
          </cell>
          <cell r="C9974" t="str">
            <v>【HPEプロアクティブケア】メーカー推奨／低価格で国内専用窓口の高品質な保守により、システム運用における安心を提供します。</v>
          </cell>
        </row>
        <row r="9975">
          <cell r="A9975" t="str">
            <v>U7EJ8PE</v>
          </cell>
          <cell r="B9975" t="str">
            <v>更新用 PC 24x7 1年 5130-48G HI Switch用</v>
          </cell>
          <cell r="C9975" t="str">
            <v>【HPEプロアクティブケア】メーカー推奨／低価格で国内専用窓口の高品質な保守により、システム運用における安心を提供します。</v>
          </cell>
        </row>
        <row r="9976">
          <cell r="A9976" t="str">
            <v>U7EM3E</v>
          </cell>
          <cell r="B9976" t="str">
            <v>ProCare 24x7 3年 5130-24G-PoE HI Switch</v>
          </cell>
          <cell r="C9976" t="str">
            <v>【HPEプロアクティブケア】メーカー推奨／低価格で国内専用窓口の高品質な保守により、システム運用における安心を提供します。</v>
          </cell>
        </row>
        <row r="9977">
          <cell r="A9977" t="str">
            <v>U7M20E</v>
          </cell>
          <cell r="B9977" t="str">
            <v>ProCare 24x7 3年 12504 Switch用</v>
          </cell>
          <cell r="C9977" t="str">
            <v>【HPEプロアクティブケア】メーカー推奨／低価格で国内専用窓口の高品質な保守により、システム運用における安心を提供します。</v>
          </cell>
        </row>
        <row r="9978">
          <cell r="A9978" t="str">
            <v>U7M33E</v>
          </cell>
          <cell r="B9978" t="str">
            <v>ProCare 24x7 4年 12504 Switch用</v>
          </cell>
          <cell r="C9978" t="str">
            <v>【HPEプロアクティブケア】メーカー推奨／低価格で国内専用窓口の高品質な保守により、システム運用における安心を提供します。</v>
          </cell>
        </row>
        <row r="9979">
          <cell r="A9979" t="str">
            <v>U7M46E</v>
          </cell>
          <cell r="B9979" t="str">
            <v>ProCare 24x7 5年 12504 Switch用</v>
          </cell>
          <cell r="C9979" t="str">
            <v>【HPEプロアクティブケア】メーカー推奨／低価格で国内専用窓口の高品質な保守により、システム運用における安心を提供します。</v>
          </cell>
        </row>
        <row r="9980">
          <cell r="A9980" t="str">
            <v>U7PN8E</v>
          </cell>
          <cell r="B9980" t="str">
            <v>ProCare 24x7 3年 5130-24G-PoE Switch用</v>
          </cell>
          <cell r="C9980" t="str">
            <v>【HPEプロアクティブケア】メーカー推奨／低価格で国内専用窓口の高品質な保守により、システム運用における安心を提供します。</v>
          </cell>
        </row>
        <row r="9981">
          <cell r="A9981" t="str">
            <v>U7PQ9E</v>
          </cell>
          <cell r="B9981" t="str">
            <v>ProCare 24x7 4年 5130-24G-PoE Switch用</v>
          </cell>
          <cell r="C9981" t="str">
            <v>【HPEプロアクティブケア】メーカー推奨／低価格で国内専用窓口の高品質な保守により、システム運用における安心を提供します。</v>
          </cell>
        </row>
        <row r="9982">
          <cell r="A9982" t="str">
            <v>U7PT0E</v>
          </cell>
          <cell r="B9982" t="str">
            <v>ProCare 24x7 5年 5130-24G-PoE Switch用</v>
          </cell>
          <cell r="C9982" t="str">
            <v>【HPEプロアクティブケア】メーカー推奨／低価格で国内専用窓口の高品質な保守により、システム運用における安心を提供します。</v>
          </cell>
        </row>
        <row r="9983">
          <cell r="A9983" t="str">
            <v>U7PU8PE</v>
          </cell>
          <cell r="B9983" t="str">
            <v>更新用ProCare 24x7 1年 5130-24G-PoE SW</v>
          </cell>
          <cell r="C9983" t="str">
            <v>【HPEプロアクティブケア】メーカー推奨／低価格で国内専用窓口の高品質な保守により、システム運用における安心を提供します。</v>
          </cell>
        </row>
        <row r="9984">
          <cell r="A9984" t="str">
            <v>U7PX1E</v>
          </cell>
          <cell r="B9984" t="str">
            <v>ProCare 24x7 3年 5130-24G Switch用</v>
          </cell>
          <cell r="C9984" t="str">
            <v>【HPEプロアクティブケア】メーカー推奨／低価格で国内専用窓口の高品質な保守により、システム運用における安心を提供します。</v>
          </cell>
        </row>
        <row r="9985">
          <cell r="A9985" t="str">
            <v>U7PZ2E</v>
          </cell>
          <cell r="B9985" t="str">
            <v>ProCare 24x7 4年 5130-24G Switch用</v>
          </cell>
          <cell r="C9985" t="str">
            <v>【HPEプロアクティブケア】メーカー推奨／低価格で国内専用窓口の高品質な保守により、システム運用における安心を提供します。</v>
          </cell>
        </row>
        <row r="9986">
          <cell r="A9986" t="str">
            <v>U7QB3E</v>
          </cell>
          <cell r="B9986" t="str">
            <v>ProCare 24x7 5年 5130-24G Switch用</v>
          </cell>
          <cell r="C9986" t="str">
            <v>【HPEプロアクティブケア】メーカー推奨／低価格で国内専用窓口の高品質な保守により、システム運用における安心を提供します。</v>
          </cell>
        </row>
        <row r="9987">
          <cell r="A9987" t="str">
            <v>U7QD1PE</v>
          </cell>
          <cell r="B9987" t="str">
            <v>更新用ProCare 24x7 1年 5130-24G Switch用</v>
          </cell>
          <cell r="C9987" t="str">
            <v>【HPEプロアクティブケア】メーカー推奨／低価格で国内専用窓口の高品質な保守により、システム運用における安心を提供します。</v>
          </cell>
        </row>
        <row r="9988">
          <cell r="A9988" t="str">
            <v>U7QF4E</v>
          </cell>
          <cell r="B9988" t="str">
            <v>ProCare 24x7 3年 5130-48G-PoE Switch用</v>
          </cell>
          <cell r="C9988" t="str">
            <v>【HPEプロアクティブケア】メーカー推奨／低価格で国内専用窓口の高品質な保守により、システム運用における安心を提供します。</v>
          </cell>
        </row>
        <row r="9989">
          <cell r="A9989" t="str">
            <v>U7QH5E</v>
          </cell>
          <cell r="B9989" t="str">
            <v>ProCare 24x7 4年 5130-48G-PoE Switch用</v>
          </cell>
          <cell r="C9989" t="str">
            <v>【HPEプロアクティブケア】メーカー推奨／低価格で国内専用窓口の高品質な保守により、システム運用における安心を提供します。</v>
          </cell>
        </row>
        <row r="9990">
          <cell r="A9990" t="str">
            <v>U7QK6E</v>
          </cell>
          <cell r="B9990" t="str">
            <v>ProCare 24x7 5年 5130-48G-PoE Switch用</v>
          </cell>
          <cell r="C9990" t="str">
            <v>【HPEプロアクティブケア】メーカー推奨／低価格で国内専用窓口の高品質な保守により、システム運用における安心を提供します。</v>
          </cell>
        </row>
        <row r="9991">
          <cell r="A9991" t="str">
            <v>U7QM4PE</v>
          </cell>
          <cell r="B9991" t="str">
            <v>更新用ProCare 24x7 1年 5130-48G-PoE SW</v>
          </cell>
          <cell r="C9991" t="str">
            <v>【HPEプロアクティブケア】メーカー推奨／低価格で国内専用窓口の高品質な保守により、システム運用における安心を提供します。</v>
          </cell>
        </row>
        <row r="9992">
          <cell r="A9992" t="str">
            <v>U7QP7E</v>
          </cell>
          <cell r="B9992" t="str">
            <v>ProCare 24x7 3年 5130-48G Switch用</v>
          </cell>
          <cell r="C9992" t="str">
            <v>【HPEプロアクティブケア】メーカー推奨／低価格で国内専用窓口の高品質な保守により、システム運用における安心を提供します。</v>
          </cell>
        </row>
        <row r="9993">
          <cell r="A9993" t="str">
            <v>U7QR8E</v>
          </cell>
          <cell r="B9993" t="str">
            <v>ProCare 24x7 4年 5130-48G Switch用</v>
          </cell>
          <cell r="C9993" t="str">
            <v>【HPEプロアクティブケア】メーカー推奨／低価格で国内専用窓口の高品質な保守により、システム運用における安心を提供します。</v>
          </cell>
        </row>
        <row r="9994">
          <cell r="A9994" t="str">
            <v>U7QT9E</v>
          </cell>
          <cell r="B9994" t="str">
            <v>ProCare 24x7 5年 5130-48G Switch用</v>
          </cell>
          <cell r="C9994" t="str">
            <v>【HPEプロアクティブケア】メーカー推奨／低価格で国内専用窓口の高品質な保守により、システム運用における安心を提供します。</v>
          </cell>
        </row>
        <row r="9995">
          <cell r="A9995" t="str">
            <v>U7QV7PE</v>
          </cell>
          <cell r="B9995" t="str">
            <v>更新用ProCare 24x7 1年 5130-48G Switch用</v>
          </cell>
          <cell r="C9995" t="str">
            <v>【HPEプロアクティブケア】メーカー推奨／低価格で国内専用窓口の高品質な保守により、システム運用における安心を提供します。</v>
          </cell>
        </row>
        <row r="9996">
          <cell r="A9996" t="str">
            <v>U7RD4PE</v>
          </cell>
          <cell r="B9996" t="str">
            <v>PW FC 9x5 1年 12916 Switch用</v>
          </cell>
          <cell r="C9996" t="str">
            <v>【ファウンデーションケア】</v>
          </cell>
        </row>
        <row r="9997">
          <cell r="A9997" t="str">
            <v>U7RE2PE</v>
          </cell>
          <cell r="B9997" t="str">
            <v>PW FC 9x5 1年 7904 Switch用</v>
          </cell>
          <cell r="C9997" t="str">
            <v>【ファウンデーションケア】</v>
          </cell>
        </row>
        <row r="9998">
          <cell r="A9998" t="str">
            <v>U7RM8E</v>
          </cell>
          <cell r="B9998" t="str">
            <v>ProCare 24x7 4年 5120-8G-PoE SI Switch用</v>
          </cell>
          <cell r="C9998" t="str">
            <v>【HPEプロアクティブケア】メーカー推奨／低価格で国内専用窓口の高品質な保守により、システム運用における安心を提供します。</v>
          </cell>
        </row>
        <row r="9999">
          <cell r="A9999" t="str">
            <v>U7YR4E</v>
          </cell>
          <cell r="B9999" t="str">
            <v>FC 24x7 1年 7910 Switch用</v>
          </cell>
          <cell r="C9999" t="str">
            <v>【ファウンデーションケア】</v>
          </cell>
        </row>
        <row r="10000">
          <cell r="A10000" t="str">
            <v>U7YS2E</v>
          </cell>
          <cell r="B10000" t="str">
            <v>FC 9x5 3年 7910 Switch用</v>
          </cell>
          <cell r="C10000" t="str">
            <v>【ファウンデーションケア】</v>
          </cell>
        </row>
        <row r="10001">
          <cell r="A10001" t="str">
            <v>U7YS7E</v>
          </cell>
          <cell r="B10001" t="str">
            <v>FC 24x7 3年 7910 Switch用</v>
          </cell>
          <cell r="C10001" t="str">
            <v>【ファウンデーションケア】</v>
          </cell>
        </row>
        <row r="10002">
          <cell r="A10002" t="str">
            <v>U7YS9E</v>
          </cell>
          <cell r="B10002" t="str">
            <v>ProCare 24x7 3年 7910 Switch用</v>
          </cell>
          <cell r="C10002" t="str">
            <v>【HPEプロアクティブケア】メーカー推奨／低価格で国内専用窓口の高品質な保守により、システム運用における安心を提供します。</v>
          </cell>
        </row>
        <row r="10003">
          <cell r="A10003" t="str">
            <v>U7YU3E</v>
          </cell>
          <cell r="B10003" t="str">
            <v>FC 9x5 4年 7910 Switch用</v>
          </cell>
          <cell r="C10003" t="str">
            <v>【ファウンデーションケア】</v>
          </cell>
        </row>
        <row r="10004">
          <cell r="A10004" t="str">
            <v>U7YU8E</v>
          </cell>
          <cell r="B10004" t="str">
            <v>FC 24x7 4年 7910 Switch用</v>
          </cell>
          <cell r="C10004" t="str">
            <v>【ファウンデーションケア】</v>
          </cell>
        </row>
        <row r="10005">
          <cell r="A10005" t="str">
            <v>U7YV0E</v>
          </cell>
          <cell r="B10005" t="str">
            <v>ProCare 24x7 4年 7910 Switch用</v>
          </cell>
          <cell r="C10005" t="str">
            <v>【HPEプロアクティブケア】メーカー推奨／低価格で国内専用窓口の高品質な保守により、システム運用における安心を提供します。</v>
          </cell>
        </row>
        <row r="10006">
          <cell r="A10006" t="str">
            <v>U7YW4E</v>
          </cell>
          <cell r="B10006" t="str">
            <v>FC 9x5 5年 7910 Switch用</v>
          </cell>
          <cell r="C10006" t="str">
            <v>【ファウンデーションケア】</v>
          </cell>
        </row>
        <row r="10007">
          <cell r="A10007" t="str">
            <v>U7YW9E</v>
          </cell>
          <cell r="B10007" t="str">
            <v>FC 24x7 5年 7910 Switch用</v>
          </cell>
          <cell r="C10007" t="str">
            <v>【ファウンデーションケア】</v>
          </cell>
        </row>
        <row r="10008">
          <cell r="A10008" t="str">
            <v>U7YX1E</v>
          </cell>
          <cell r="B10008" t="str">
            <v>ProCare 24x7 5年 7910 Switch用</v>
          </cell>
          <cell r="C10008" t="str">
            <v>【HPEプロアクティブケア】メーカー推奨／低価格で国内専用窓口の高品質な保守により、システム運用における安心を提供します。</v>
          </cell>
        </row>
        <row r="10009">
          <cell r="A10009" t="str">
            <v>U7YY5PE</v>
          </cell>
          <cell r="B10009" t="str">
            <v>PW FC 9x5 1年 7910 Switch用</v>
          </cell>
          <cell r="C10009" t="str">
            <v>【ファウンデーションケア】</v>
          </cell>
        </row>
        <row r="10010">
          <cell r="A10010" t="str">
            <v>U7YY8PE</v>
          </cell>
          <cell r="B10010" t="str">
            <v>PW FC 24x7 1年 7910 Switch用</v>
          </cell>
          <cell r="C10010" t="str">
            <v>【ファウンデーションケア】</v>
          </cell>
        </row>
        <row r="10011">
          <cell r="A10011" t="str">
            <v>U7YZ0PE</v>
          </cell>
          <cell r="B10011" t="str">
            <v>PW ProCare 24x7 1年 7910 Switch用</v>
          </cell>
          <cell r="C10011" t="str">
            <v>【HPEプロアクティブケア】メーカー推奨／低価格で国内専用窓口の高品質な保守により、システム運用における安心を提供します。</v>
          </cell>
        </row>
        <row r="10012">
          <cell r="A10012" t="str">
            <v>U8E27E</v>
          </cell>
          <cell r="B10012" t="str">
            <v>ProCare 24x7 3年 5900AF-48G Switch用</v>
          </cell>
          <cell r="C10012" t="str">
            <v>【HPEプロアクティブケア】メーカー推奨／低価格で国内専用窓口の高品質な保守により、システム運用における安心を提供します。</v>
          </cell>
        </row>
        <row r="10013">
          <cell r="A10013" t="str">
            <v>U8E37E</v>
          </cell>
          <cell r="B10013" t="str">
            <v>ProCare 24x7 4年 5900AF-48G Switch用</v>
          </cell>
          <cell r="C10013" t="str">
            <v>【HPEプロアクティブケア】メーカー推奨／低価格で国内専用窓口の高品質な保守により、システム運用における安心を提供します。</v>
          </cell>
        </row>
        <row r="10014">
          <cell r="A10014" t="str">
            <v>U8E47E</v>
          </cell>
          <cell r="B10014" t="str">
            <v>ProCare 24x7 5年 5900AF-48G Switch用</v>
          </cell>
          <cell r="C10014" t="str">
            <v>【HPEプロアクティブケア】メーカー推奨／低価格で国内専用窓口の高品質な保守により、システム運用における安心を提供します。</v>
          </cell>
        </row>
        <row r="10015">
          <cell r="A10015" t="str">
            <v>U8M44E</v>
          </cell>
          <cell r="B10015" t="str">
            <v>ProCare24x7 3年10500 20G U Wire-WLAN Mod</v>
          </cell>
          <cell r="C10015" t="str">
            <v>【HPEプロアクティブケア】メーカー推奨／低価格で国内専用窓口の高品質な保守により、システム運用における安心を提供します。</v>
          </cell>
        </row>
        <row r="10016">
          <cell r="A10016" t="str">
            <v>U8M54E</v>
          </cell>
          <cell r="B10016" t="str">
            <v>ProCare24x7 4年10500 20G U Wire-WLAN Mod</v>
          </cell>
          <cell r="C10016" t="str">
            <v>【HPEプロアクティブケア】メーカー推奨／低価格で国内専用窓口の高品質な保守により、システム運用における安心を提供します。</v>
          </cell>
        </row>
        <row r="10017">
          <cell r="A10017" t="str">
            <v>U8M64E</v>
          </cell>
          <cell r="B10017" t="str">
            <v>ProCare24x7 5年10500 20G U Wire-WLAN Mod</v>
          </cell>
          <cell r="C10017" t="str">
            <v>【HPEプロアクティブケア】メーカー推奨／低価格で国内専用窓口の高品質な保守により、システム運用における安心を提供します。</v>
          </cell>
        </row>
        <row r="10018">
          <cell r="A10018" t="str">
            <v>UU992PE</v>
          </cell>
          <cell r="B10018" t="str">
            <v>更新用PC 24x7 1年 5510-24G-SFP HI Switch</v>
          </cell>
          <cell r="C10018" t="str">
            <v>【HPEプロアクティブケア】メーカー推奨／低価格で国内専用窓口の高品質な保守により、システム運用における安心を提供します。</v>
          </cell>
        </row>
        <row r="10019">
          <cell r="A10019" t="str">
            <v>UV030PE</v>
          </cell>
          <cell r="B10019" t="str">
            <v>更新用PC24x7 1年5120-24G-PoE SI Switch B</v>
          </cell>
          <cell r="C10019" t="str">
            <v>【HPEプロアクティブケア】メーカー推奨／低価格で国内専用窓口の高品質な保守により、システム運用における安心を提供します。</v>
          </cell>
        </row>
        <row r="10020">
          <cell r="A10020" t="str">
            <v>UF780E</v>
          </cell>
          <cell r="B10020" t="str">
            <v>ProCare FW Update Option 1年 ProLiant用</v>
          </cell>
          <cell r="C10020" t="str">
            <v>【HPEプロアクティブケア】メーカー推奨／低価格で国内専用窓口の高品質な保守により、システム運用における安心を提供します。</v>
          </cell>
        </row>
        <row r="10021">
          <cell r="A10021" t="str">
            <v>UF781E</v>
          </cell>
          <cell r="B10021" t="str">
            <v>ProCare FW Update Option 3年 ProLiant用</v>
          </cell>
          <cell r="C10021" t="str">
            <v>【HPEプロアクティブケア】メーカー推奨／低価格で国内専用窓口の高品質な保守により、システム運用における安心を提供します。</v>
          </cell>
        </row>
        <row r="10022">
          <cell r="A10022" t="str">
            <v>UF783E</v>
          </cell>
          <cell r="B10022" t="str">
            <v>ProCare FW Update Option 1年 Blade用</v>
          </cell>
          <cell r="C10022" t="str">
            <v>【HPEプロアクティブケア】メーカー推奨／低価格で国内専用窓口の高品質な保守により、システム運用における安心を提供します。</v>
          </cell>
        </row>
        <row r="10023">
          <cell r="A10023" t="str">
            <v>UF784E</v>
          </cell>
          <cell r="B10023" t="str">
            <v>ProCare FW Update Option 3年 Blade用</v>
          </cell>
          <cell r="C10023" t="str">
            <v>【HPEプロアクティブケア】メーカー推奨／低価格で国内専用窓口の高品質な保守により、システム運用における安心を提供します。</v>
          </cell>
        </row>
        <row r="10024">
          <cell r="A10024" t="str">
            <v>AP879A</v>
          </cell>
          <cell r="B10024" t="str">
            <v>P6000 EVA 6m ケーブルキット</v>
          </cell>
          <cell r="C10024" t="str">
            <v>6m ケーブル 4 本同梱
※2 つのラックにまたがって設置する場合に必要</v>
          </cell>
        </row>
        <row r="10025">
          <cell r="A10025" t="str">
            <v>AW566A</v>
          </cell>
          <cell r="B10025" t="str">
            <v>P6000 EVA 2m ケーブルキット</v>
          </cell>
          <cell r="C10025" t="str">
            <v>2m ケーブル 2 本同梱</v>
          </cell>
        </row>
        <row r="10026">
          <cell r="A10026" t="str">
            <v>D4T80A</v>
          </cell>
          <cell r="B10026" t="str">
            <v>StoreFront Analytics VCOPS SV 使用権</v>
          </cell>
          <cell r="C10026" t="str">
            <v>VMware vCenter Operations Manager から、HP StoreVirtual 及び HP StoreVirtual VSA の状態を統合監視するソフトウェア
※StoreVirtual の管理グループ毎に 1 つ必要</v>
          </cell>
        </row>
        <row r="10027">
          <cell r="A10027" t="str">
            <v>P9L02A</v>
          </cell>
          <cell r="B10027" t="str">
            <v>HPE StoreOnce VSA 4TB 使用権</v>
          </cell>
          <cell r="C10027" t="str">
            <v>※仮想マシン上で重複排除バックアップストレージ機能を提供
※4TB (論理)まで使用可能
※Catalyst と Replication 機能を標準でサポート</v>
          </cell>
        </row>
        <row r="10028">
          <cell r="A10028" t="str">
            <v>P9L03A</v>
          </cell>
          <cell r="B10028" t="str">
            <v>HPE StoreOnce VSA 10TB 使用権</v>
          </cell>
          <cell r="C10028" t="str">
            <v>※仮想マシン上で重複排除バックアップストレージ機能を提供
※10TB (論理)まで使用可能
※Catalyst と Replication 機能を標準でサポート</v>
          </cell>
        </row>
        <row r="10029">
          <cell r="A10029" t="str">
            <v>P9L04A</v>
          </cell>
          <cell r="B10029" t="str">
            <v>HPE StoreOnce VSA 20TB 使用権</v>
          </cell>
          <cell r="C10029" t="str">
            <v>※仮想マシン上で重複排除バックアップストレージ機能を提供
※20TB (論理)まで使用可能
※Catalyst と Replication 機能を標準でサポート</v>
          </cell>
        </row>
        <row r="10030">
          <cell r="A10030" t="str">
            <v>P9L05A</v>
          </cell>
          <cell r="B10030" t="str">
            <v>HPE StoreOnce VSA 50TB 使用権</v>
          </cell>
          <cell r="C10030" t="str">
            <v>※仮想マシン上で重複排除バックアップストレージ機能を提供
※50TB (論理)まで使用可能
※Catalyst と Replication 機能を標準でサポート
※Microsoft Azure では未サポート</v>
          </cell>
        </row>
        <row r="10031">
          <cell r="A10031" t="str">
            <v>P9L06A</v>
          </cell>
          <cell r="B10031" t="str">
            <v>HPE StoreOnce VSA 4-10TB Cap Upg 使用権</v>
          </cell>
          <cell r="C10031" t="str">
            <v>StoreOnce VSA 4TB 使用権から 10TB 使用権へのアップグレードライセンス</v>
          </cell>
        </row>
        <row r="10032">
          <cell r="A10032" t="str">
            <v>P9L07A</v>
          </cell>
          <cell r="B10032" t="str">
            <v>HPE StoreOnce VSA 10-20TB Cap Upg 使用権</v>
          </cell>
          <cell r="C10032" t="str">
            <v>StoreOnce VSA 10TB 使用権から 20TB 使用権へのアップグレードライセンス</v>
          </cell>
        </row>
        <row r="10033">
          <cell r="A10033" t="str">
            <v>P9L08A</v>
          </cell>
          <cell r="B10033" t="str">
            <v>HPE StoreOnce VSA 20-50TB Cap Upg 使用権</v>
          </cell>
          <cell r="C10033" t="str">
            <v>StoreOnce VSA 20TB 使用権から 50TB 使用権へのアップグレードライセンス
※Microsoft Azure では未サポート</v>
          </cell>
        </row>
        <row r="10034">
          <cell r="A10034" t="str">
            <v>Q0J77A</v>
          </cell>
          <cell r="B10034" t="str">
            <v>SV VSA 2014 10TB LTU</v>
          </cell>
          <cell r="C10034" t="str">
            <v>※仮想マシン上で iSCSI 共有ストレージ機能を提供するソフトウェア
※VSA の 1 ノードあたり 10TB(論理)使用可能、1 ノード分のライセンス
※StoreVirtual 4000 クラスターのノード数分の購入が必要
※16 ノードまでのクラスター構成をサポート
※Adaptive Optimization をサポート
※期間無制限使用権</v>
          </cell>
        </row>
        <row r="10035">
          <cell r="A10035" t="str">
            <v>Q0J78A</v>
          </cell>
          <cell r="B10035" t="str">
            <v>SV VSA 2014 50TB LTU</v>
          </cell>
          <cell r="C10035" t="str">
            <v>※仮想マシン上で iSCSI 共有ストレージ機能を提供するソフトウェア
※VSA の 1 ノードあたり 50TB(論理)使用可能、1 ノード分のライセンス
※StoreVirtual 4000 クラスターのノード数分の購入が必要
※16 ノードまでのクラスター構成をサポート
※Adaptive Optimization をサポート
※期間無制限使用権</v>
          </cell>
        </row>
        <row r="10036">
          <cell r="A10036" t="str">
            <v>Q0Q47A</v>
          </cell>
          <cell r="B10036" t="str">
            <v>StoreOnce VSA 32TB LTU</v>
          </cell>
          <cell r="C10036" t="str">
            <v>※仮想マシン上で重複排除バックアップストレージ機能を提供
※32TB (論理)まで使用可能
※Catalyst と Replication 機能を標準でサポート</v>
          </cell>
        </row>
        <row r="10037">
          <cell r="A10037" t="str">
            <v>Q0Q48A</v>
          </cell>
          <cell r="B10037" t="str">
            <v>StoreOnce VSA Upg 20-32TB LTU</v>
          </cell>
          <cell r="C10037" t="str">
            <v>StoreOnce VSA 20TB 使用権から 32TB 使用権へのアップグレードライセンス</v>
          </cell>
        </row>
        <row r="10038">
          <cell r="A10038" t="str">
            <v>Q0Q49A</v>
          </cell>
          <cell r="B10038" t="str">
            <v>StoreOnce VSA Upg 32-50TB LTU</v>
          </cell>
          <cell r="C10038" t="str">
            <v>StoreOnce VSA 32TB 使用権から 50TB 使用権へのアップグレードライセンス
※Microsoft Azure では未サポート</v>
          </cell>
        </row>
        <row r="10039">
          <cell r="A10039" t="str">
            <v>313450-B21</v>
          </cell>
          <cell r="B10039" t="str">
            <v>SANスイッチ32-64ポートAdv Perf Mntr LTU</v>
          </cell>
          <cell r="C10039" t="str">
            <v>-</v>
          </cell>
        </row>
        <row r="10040">
          <cell r="A10040" t="str">
            <v>AE379A</v>
          </cell>
          <cell r="B10040" t="str">
            <v>Cisco MDS 9000用 4Gb 短波 SFP (4 pack)</v>
          </cell>
          <cell r="C10040" t="str">
            <v>1セットあたり Cisco MDS 9000用　4Gb FC 短波 SFPトランシーバー x4個パック</v>
          </cell>
        </row>
        <row r="10041">
          <cell r="A10041" t="str">
            <v>AJ716B</v>
          </cell>
          <cell r="B10041" t="str">
            <v>8Gb 短波長 B-Series SFP+ トランシーバー</v>
          </cell>
          <cell r="C10041" t="str">
            <v>8Gb FC 短波長 Bシリーズスイッチ用 SFP+ トランシーバー</v>
          </cell>
        </row>
        <row r="10042">
          <cell r="A10042" t="str">
            <v>AJ718A</v>
          </cell>
          <cell r="B10042" t="str">
            <v>8Gb 短波長 SFP+</v>
          </cell>
          <cell r="C10042" t="str">
            <v>8Gb FC 短波長 Hシリーズスイッチ用 SFP+ トランシーバー</v>
          </cell>
        </row>
        <row r="10043">
          <cell r="A10043" t="str">
            <v>AJ762B</v>
          </cell>
          <cell r="B10043" t="str">
            <v>81E PCI-e FC ホスト バス アダプター</v>
          </cell>
          <cell r="C10043" t="str">
            <v>4/8 Gb/s 対応 1 ポート FC HBA</v>
          </cell>
        </row>
        <row r="10044">
          <cell r="A10044" t="str">
            <v>AJ763B</v>
          </cell>
          <cell r="B10044" t="str">
            <v>82E PCI-e FC ホスト バス アダプター</v>
          </cell>
          <cell r="C10044" t="str">
            <v>4/8 Gb/s 対応 2 ポート FC HBA</v>
          </cell>
        </row>
        <row r="10045">
          <cell r="A10045" t="str">
            <v>AJ764A</v>
          </cell>
          <cell r="B10045" t="str">
            <v>HP StorageWorks 82Q PCI-e FC HBA</v>
          </cell>
          <cell r="C10045" t="str">
            <v>4/8 Gb/s 対応 2 ポート FC HBA</v>
          </cell>
        </row>
        <row r="10046">
          <cell r="A10046" t="str">
            <v>AJ835A</v>
          </cell>
          <cell r="B10046" t="str">
            <v>OM3 FC ケーブル 2m (LC-LC)</v>
          </cell>
          <cell r="C10046" t="str">
            <v>OM3 ファイバーケーブル 2m</v>
          </cell>
        </row>
        <row r="10047">
          <cell r="A10047" t="str">
            <v>AJ836A</v>
          </cell>
          <cell r="B10047" t="str">
            <v>OM3 FC ケーブル 5m (LC-LC)</v>
          </cell>
          <cell r="C10047" t="str">
            <v>OM3 ファイバーケーブル 5m</v>
          </cell>
        </row>
        <row r="10048">
          <cell r="A10048" t="str">
            <v>AJ837A</v>
          </cell>
          <cell r="B10048" t="str">
            <v>OM3 FC ケーブル 15m (LC-LC)</v>
          </cell>
          <cell r="C10048" t="str">
            <v>OM3 ファイバーケーブル 15m</v>
          </cell>
        </row>
        <row r="10049">
          <cell r="A10049" t="str">
            <v>AJ838A</v>
          </cell>
          <cell r="B10049" t="str">
            <v>OM3 FC ケーブル 30m (LC-LC)</v>
          </cell>
          <cell r="C10049" t="str">
            <v>OM3 ファイバーケーブル 30m</v>
          </cell>
        </row>
        <row r="10050">
          <cell r="A10050" t="str">
            <v>AJ839A</v>
          </cell>
          <cell r="B10050" t="str">
            <v>OM3 FC ケーブル 50m (LC-LC)</v>
          </cell>
          <cell r="C10050" t="str">
            <v>OM3 ファイバーケーブル 50m</v>
          </cell>
        </row>
        <row r="10051">
          <cell r="A10051" t="str">
            <v>AJ906A</v>
          </cell>
          <cell r="B10051" t="str">
            <v>Cisco MDS 9000用 8Gb 短波 SFP+</v>
          </cell>
          <cell r="C10051" t="str">
            <v>Cisco MDS 9000用　8Gb FC 短波 SFPトランシーバー</v>
          </cell>
        </row>
        <row r="10052">
          <cell r="A10052" t="str">
            <v>AK344A</v>
          </cell>
          <cell r="B10052" t="str">
            <v>HP 81Q PCI-e FC HBA</v>
          </cell>
          <cell r="C10052" t="str">
            <v>4/8 Gb/s 対応 1 ポート FC HBA</v>
          </cell>
        </row>
        <row r="10053">
          <cell r="A10053" t="str">
            <v>AM866C#ACF</v>
          </cell>
          <cell r="B10053" t="str">
            <v>HPE SANスイッチ 8/8 Base2</v>
          </cell>
          <cell r="C10053" t="str">
            <v>8Gb/s 対応 x8 ポート FC スイッチ
※8Gb/s、4Gb/s、2Gb/s、1Gb/s をサポート(自動切換)
※E ポートがないため、SAN スイッチのカスケード接続は不可</v>
          </cell>
        </row>
        <row r="10054">
          <cell r="A10054" t="str">
            <v>AM867C#ACF</v>
          </cell>
          <cell r="B10054" t="str">
            <v>HPE SANスイッチ 8/8-2</v>
          </cell>
          <cell r="C10054" t="str">
            <v>8Gb/s 対応 x8 ポート FC スイッチ
※8Gb/s、4Gb/s、2Gb/s、1Gb/s をサポート(自動切換)
※SAN Full Fabric をサポート</v>
          </cell>
        </row>
        <row r="10055">
          <cell r="A10055" t="str">
            <v>AM868C#ACF</v>
          </cell>
          <cell r="B10055" t="str">
            <v>HPE SANスイッチ 8/24 Base2</v>
          </cell>
          <cell r="C10055" t="str">
            <v>8Gb/s 対応 x16 ポート FC スイッチ
※8Gb/s、4Gb/s、2Gb/s、1Gb/s をサポート(自動切換)
※SAN Full Fabric をサポート</v>
          </cell>
        </row>
        <row r="10056">
          <cell r="A10056" t="str">
            <v>C8R38A</v>
          </cell>
          <cell r="B10056" t="str">
            <v>SN1100E 16Gb Single Port FC HBA</v>
          </cell>
          <cell r="C10056" t="str">
            <v>8/16 Gb/s 対応 1 ポート FC HBA</v>
          </cell>
        </row>
        <row r="10057">
          <cell r="A10057" t="str">
            <v>C8R39A</v>
          </cell>
          <cell r="B10057" t="str">
            <v>SN1100E16Gb Dual Port FC HBA</v>
          </cell>
          <cell r="C10057" t="str">
            <v>8/16 Gb/s 対応 2 ポート FC HBA</v>
          </cell>
        </row>
        <row r="10058">
          <cell r="A10058" t="str">
            <v>C8R42A#05Y</v>
          </cell>
          <cell r="B10058" t="str">
            <v>HP SN6500B 96/96 PowerPack+ FC Switch</v>
          </cell>
          <cell r="C10058" t="str">
            <v>16Gb/s 対応 x96 ポート FC スイッチ
※16Gb/s、8Gb/s、4Gb/s をサポート(自動切換)
※SAN Full Fabric をサポート、Power Pack+ 付
※200V PDU 接続用電源コード 2 本付属 (100V環境の場合は別途追加必要)</v>
          </cell>
        </row>
        <row r="10059">
          <cell r="A10059" t="str">
            <v>C8R43A#05Y</v>
          </cell>
          <cell r="B10059" t="str">
            <v>HP SN6500B 96/96 FC Switch</v>
          </cell>
          <cell r="C10059" t="str">
            <v>16Gb/s 対応 x96 ポート FC スイッチ
※16Gb/s、8Gb/s、4Gb/s をサポート(自動切換)
※SAN Full Fabric をサポート
※200V PDU 接続用電源コード 2 本付属 (100V環境の場合は別途追加必要)</v>
          </cell>
        </row>
        <row r="10060">
          <cell r="A10060" t="str">
            <v>C8R44A#05Y</v>
          </cell>
          <cell r="B10060" t="str">
            <v>HP SN6500B 96/48 PowerPack+ FC Switch</v>
          </cell>
          <cell r="C10060" t="str">
            <v>16Gb/s 対応 x48 ポート FC スイッチ
※16Gb/s、8Gb/s、4Gb/s をサポート(自動切換)
※SAN Full Fabric をサポート、Power Pack+ 付
※200V PDU 接続用電源コード 2 本付属 (100V環境の場合は別途追加必要)</v>
          </cell>
        </row>
        <row r="10061">
          <cell r="A10061" t="str">
            <v>C8R45A#05Y</v>
          </cell>
          <cell r="B10061" t="str">
            <v>HP SN6500B 96/48 FC Switch</v>
          </cell>
          <cell r="C10061" t="str">
            <v>16Gb/s 対応 x48 ポート FC スイッチ
※16Gb/s、8Gb/s、4Gb/s をサポート(自動切換)
※SAN Full Fabric をサポート
※200V PDU 接続用電源コード 2 本付属 (100V環境の場合は別途追加必要)</v>
          </cell>
        </row>
        <row r="10062">
          <cell r="A10062" t="str">
            <v>E7V95A</v>
          </cell>
          <cell r="B10062" t="str">
            <v>10m Mini SAS HD Active Optical ケーブル</v>
          </cell>
          <cell r="C10062" t="str">
            <v>ドライブエンクロージャ接続用SASケーブル 10m</v>
          </cell>
        </row>
        <row r="10063">
          <cell r="A10063" t="str">
            <v>E7V96A</v>
          </cell>
          <cell r="B10063" t="str">
            <v>25m Mini SAS HD Active Optical ケーブル</v>
          </cell>
          <cell r="C10063" t="str">
            <v>ドライブエンクロージャ接続用SASケーブル 25m</v>
          </cell>
        </row>
        <row r="10064">
          <cell r="A10064" t="str">
            <v>E7Y06A</v>
          </cell>
          <cell r="B10064" t="str">
            <v>CN1200E 2-Port Converged Network Adopter</v>
          </cell>
          <cell r="C10064" t="str">
            <v>10GbE SFP+ x2ポート CNA</v>
          </cell>
        </row>
        <row r="10065">
          <cell r="A10065" t="str">
            <v>E7Y63A</v>
          </cell>
          <cell r="B10065" t="str">
            <v>StoreFabric 84E 4-port 8Gb FC HBA</v>
          </cell>
          <cell r="C10065" t="str">
            <v>8 Gb/s 対応 4 ポート FC HBA</v>
          </cell>
        </row>
        <row r="10066">
          <cell r="A10066" t="str">
            <v>H6Z42A</v>
          </cell>
          <cell r="B10066" t="str">
            <v>16Gb FC/10GbE 100m Converged SFP+ XCVR</v>
          </cell>
          <cell r="C10066" t="str">
            <v>4Gb / 8Gb Fibre Channe または 10Gb Ethernet (10G Base-USR) 対応 SFP+ トランシーバー
※850nm マルチモード OM3 ファイバー ケーブルで最大 100m の接続に対応</v>
          </cell>
        </row>
        <row r="10067">
          <cell r="A10067" t="str">
            <v>K2Q46A</v>
          </cell>
          <cell r="B10067" t="str">
            <v>Premier Flex MPO/4xLC OM4 8f 5m Cable</v>
          </cell>
          <cell r="C10067" t="str">
            <v>Premier Flex MPO to 4xLC ファンアウト マルチモード OM4 8 ファイバーケーブル 5m</v>
          </cell>
        </row>
        <row r="10068">
          <cell r="A10068" t="str">
            <v>K2Q47A</v>
          </cell>
          <cell r="B10068" t="str">
            <v>Premier Flex MPO/4xLC OM4 8f 15m Cable</v>
          </cell>
          <cell r="C10068" t="str">
            <v>Premier Flex MPO to 4xLC ファンアウト マルチモード OM4 8 ファイバーケーブル 15m</v>
          </cell>
        </row>
        <row r="10069">
          <cell r="A10069" t="str">
            <v>K2Q87A</v>
          </cell>
          <cell r="B10069" t="str">
            <v>HPE B-series 4x16 SW QSFP Transceiver</v>
          </cell>
          <cell r="C10069" t="str">
            <v>1セットあたり 16Gb FC 短波長 Bシリーズスイッチ用 QSFP トランシーバー x4個パック</v>
          </cell>
        </row>
        <row r="10070">
          <cell r="A10070" t="str">
            <v>L7D48A</v>
          </cell>
          <cell r="B10070" t="str">
            <v>Smart SAN for 3PAR 7xxx 使用権</v>
          </cell>
          <cell r="C10070" t="str">
            <v>FC SANのZoningを自動化し、ストレージ管理者の負担を軽減する機能を提供</v>
          </cell>
        </row>
        <row r="10071">
          <cell r="A10071" t="str">
            <v>L7D49A</v>
          </cell>
          <cell r="B10071" t="str">
            <v>Smart SAN for 3PAR 8xxx 使用権</v>
          </cell>
          <cell r="C10071" t="str">
            <v>FC SANのZoningを自動化し、ストレージ管理者の負担を軽減する機能を提供</v>
          </cell>
        </row>
        <row r="10072">
          <cell r="A10072" t="str">
            <v>N3U51A</v>
          </cell>
          <cell r="B10072" t="str">
            <v>HPE StoreFabric CN1200E-T 10Gb CNA</v>
          </cell>
          <cell r="C10072" t="str">
            <v>10GBase-T x2ポート CNA</v>
          </cell>
        </row>
        <row r="10073">
          <cell r="A10073" t="str">
            <v>N3U52A</v>
          </cell>
          <cell r="B10073" t="str">
            <v>HPE StoreFabric CN1100R-T 10Gb CNA</v>
          </cell>
          <cell r="C10073" t="str">
            <v>10GBase-T x2ポート CNA</v>
          </cell>
        </row>
        <row r="10074">
          <cell r="A10074" t="str">
            <v>N9Y63A</v>
          </cell>
          <cell r="B10074" t="str">
            <v>Bシリーズ用 4GB USB メモリ</v>
          </cell>
          <cell r="C10074" t="str">
            <v>USB ポートからのシステムログファイルのダウンロードやファームウェアのアップグレードに使用する USB メモリ</v>
          </cell>
        </row>
        <row r="10075">
          <cell r="A10075" t="str">
            <v>P9D91A</v>
          </cell>
          <cell r="B10075" t="str">
            <v>HPE StoreFabric 84Q 4p 8Gb FC HBA</v>
          </cell>
          <cell r="C10075" t="str">
            <v>8 Gb/s 対応 4 ポート FC HBA</v>
          </cell>
        </row>
        <row r="10076">
          <cell r="A10076" t="str">
            <v>P9D93A</v>
          </cell>
          <cell r="B10076" t="str">
            <v>HPE SN1100Q 16Gb 1p FC HBA</v>
          </cell>
          <cell r="C10076" t="str">
            <v>8/16 Gb/s 対応 1 ポート FC HBA</v>
          </cell>
        </row>
        <row r="10077">
          <cell r="A10077" t="str">
            <v>P9D94A</v>
          </cell>
          <cell r="B10077" t="str">
            <v>HPE SN1100Q 16Gb 2p FC HBA</v>
          </cell>
          <cell r="C10077" t="str">
            <v>8/16 Gb/s 対応 2 ポート FC HBA</v>
          </cell>
        </row>
        <row r="10078">
          <cell r="A10078" t="str">
            <v>P9D99A</v>
          </cell>
          <cell r="B10078" t="str">
            <v xml:space="preserve">StoreFabric SN1100E 4p 16Gb FC HBA  </v>
          </cell>
          <cell r="C10078" t="str">
            <v>16 Gb/s 対応 4 ポート FC HBA</v>
          </cell>
        </row>
        <row r="10079">
          <cell r="A10079" t="str">
            <v>P9H29A</v>
          </cell>
          <cell r="B10079" t="str">
            <v>B-Series 32Gb SFP+ LW 1-pack XCVR</v>
          </cell>
          <cell r="C10079" t="str">
            <v>32Gb FC 長波長 Bシリーズスイッチ用 SFP+ トランシーバー</v>
          </cell>
        </row>
        <row r="10080">
          <cell r="A10080" t="str">
            <v>P9H30A</v>
          </cell>
          <cell r="B10080" t="str">
            <v>32Gb SFP+ SW XCVR 1 Pack</v>
          </cell>
          <cell r="C10080" t="str">
            <v>32Gb FC 短波長  SFP+ トランシーバー</v>
          </cell>
        </row>
        <row r="10081">
          <cell r="A10081" t="str">
            <v>P9H32A</v>
          </cell>
          <cell r="B10081" t="str">
            <v>B-Series 32Gb SFP+ SW 1-pack XCVR</v>
          </cell>
          <cell r="C10081" t="str">
            <v>32Gb FC 短波長 Bシリーズスイッチ用 SFP+ トランシーバー</v>
          </cell>
        </row>
        <row r="10082">
          <cell r="A10082" t="str">
            <v>P9M75A</v>
          </cell>
          <cell r="B10082" t="str">
            <v>SN1600Q 32Gb 1p FC HBA</v>
          </cell>
          <cell r="C10082" t="str">
            <v>32 Gb/s 対応 1 ポート FC HBA</v>
          </cell>
        </row>
        <row r="10083">
          <cell r="A10083" t="str">
            <v>P9M76A</v>
          </cell>
          <cell r="B10083" t="str">
            <v>SN1600Q 32Gb 2p FC HBA</v>
          </cell>
          <cell r="C10083" t="str">
            <v>32 Gb/s 対応 2 ポート FC HBA</v>
          </cell>
        </row>
        <row r="10084">
          <cell r="A10084" t="str">
            <v>Q0L11A</v>
          </cell>
          <cell r="B10084" t="str">
            <v>SN1600E 32Gb 1p FC HBA</v>
          </cell>
          <cell r="C10084" t="str">
            <v>32 Gb/s 対応 1 ポート FC HBA</v>
          </cell>
        </row>
        <row r="10085">
          <cell r="A10085" t="str">
            <v>Q0L12A</v>
          </cell>
          <cell r="B10085" t="str">
            <v>SN1600E 32Gb 2p FC HBA</v>
          </cell>
          <cell r="C10085" t="str">
            <v>32 Gb/s 対応 2 ポート FC HBA</v>
          </cell>
        </row>
        <row r="10086">
          <cell r="A10086" t="str">
            <v>Q0L13A</v>
          </cell>
          <cell r="B10086" t="str">
            <v>SN1200E 16Gb 1p FC HBA</v>
          </cell>
          <cell r="C10086" t="str">
            <v>16 Gb/s 対応 1 ポート FC HBA</v>
          </cell>
        </row>
        <row r="10087">
          <cell r="A10087" t="str">
            <v>Q0L14A</v>
          </cell>
          <cell r="B10087" t="str">
            <v>SN1200E 16Gb 2p FC HBA</v>
          </cell>
          <cell r="C10087" t="str">
            <v>16 Gb/s 対応 2 ポート FC HBA</v>
          </cell>
        </row>
        <row r="10088">
          <cell r="A10088" t="str">
            <v>Q0T76A</v>
          </cell>
          <cell r="B10088" t="str">
            <v>SN6600B 12-port FC Upgrade LTU</v>
          </cell>
          <cell r="C10088" t="str">
            <v>アクティブポート数を 24 から 36 へ、または 36 から 48 へアップグレードする為のライセンス</v>
          </cell>
        </row>
        <row r="10089">
          <cell r="A10089" t="str">
            <v>Q0T77A</v>
          </cell>
          <cell r="B10089" t="str">
            <v>SN6600B 16-port 4xQSFP Upgrade LTU</v>
          </cell>
          <cell r="C10089" t="str">
            <v>4 ポートの 4x32Gb QSFP ポートを使用可能にするオプション</v>
          </cell>
        </row>
        <row r="10090">
          <cell r="A10090" t="str">
            <v>Q0T78A</v>
          </cell>
          <cell r="B10090" t="str">
            <v>SN6600B Power Pack+ Upgrade LTU</v>
          </cell>
          <cell r="C10090" t="str">
            <v>SN6600B FCスイッチシリーズ用 Power Pack+ ソフトウェアパッケージ</v>
          </cell>
        </row>
        <row r="10091">
          <cell r="A10091" t="str">
            <v>Q0U54A#ACF</v>
          </cell>
          <cell r="B10091" t="str">
            <v>SN6600B 32Gb 48/24 FC Switch</v>
          </cell>
          <cell r="C10091" t="str">
            <v>32Gb/s 対応 x24 ポート FC スイッチ
※32Gb/s、16Gb/s、8Gb/s、4Gb/s をサポート(自動切換)
※10Gb/s はスイッチ間接続でサポート(10Gb/s 対応 SFP トランシーバーが必要)
※SAN Full Fabric をサポート
※100V 用電源コード、200V PDU 接続用電源コード各 2 本付属</v>
          </cell>
        </row>
        <row r="10092">
          <cell r="A10092" t="str">
            <v>Q0U55A#ACF</v>
          </cell>
          <cell r="B10092" t="str">
            <v>SN6600B 32Gb 48/24 Pwr Pk+ FC Switch</v>
          </cell>
          <cell r="C10092" t="str">
            <v>32Gb/s 対応 x24 ポート FC スイッチ
※32Gb/s、16Gb/s、8Gb/s、4Gb/s をサポート(自動切換)
※10Gb/s はスイッチ間接続でサポート(10Gb/s 対応 SFP トランシーバーが必要)
※SAN Full Fabric をサポート
※100V 用電源コード、200V PDU 接続用電源コード各 2 本付属
※Power Pack+付</v>
          </cell>
        </row>
        <row r="10093">
          <cell r="A10093" t="str">
            <v>Q0U56A#ACF</v>
          </cell>
          <cell r="B10093" t="str">
            <v>SN6600B 32Gb 48/48 FC Switch</v>
          </cell>
          <cell r="C10093" t="str">
            <v>32Gb/s 対応 x48 ポート FC スイッチ
※32Gb/s、16Gb/s、8Gb/s、4Gb/s をサポート(自動切換)
※10Gb/s はスイッチ間接続でサポート(10Gb/s 対応 SFP トランシーバーが必要)
※SAN Full Fabric をサポート
※100V 用電源コード、200V PDU 接続用電源コード各 2 本付属</v>
          </cell>
        </row>
        <row r="10094">
          <cell r="A10094" t="str">
            <v>Q0U57A#ACF</v>
          </cell>
          <cell r="B10094" t="str">
            <v>SN6600B 32Gb 48/48 Pwr Pk+ FC Switch</v>
          </cell>
          <cell r="C10094" t="str">
            <v>32Gb/s 対応 x48 ポート FC スイッチ
※32Gb/s、16Gb/s、8Gb/s、4Gb/s をサポート(自動切換)
※10Gb/s はスイッチ間接続でサポート(10Gb/s 対応 SFP トランシーバーが必要)
※SAN Full Fabric をサポート
※100V 用電源コード、200V PDU 接続用電源コード各 2 本付属
※Power Pack+付</v>
          </cell>
        </row>
        <row r="10095">
          <cell r="A10095" t="str">
            <v>Q0U58A#ACF</v>
          </cell>
          <cell r="B10095" t="str">
            <v>SN6600B 32Gb 48/24 24p SFP+ FC Switch</v>
          </cell>
          <cell r="C10095" t="str">
            <v>32Gb/s 対応 x24 ポート FC スイッチ
※32Gb/s 対応 SFP トランシーバーを 24 個標準添付
※32Gb/s、16Gb/s、8Gb/s、4Gb/s をサポート(自動切換)
※10Gb/s はスイッチ間接続でサポート(10Gb/s 対応 SFP トランシーバーが必要)
※SAN Full Fabric をサポート
※100V 用電源コード、200V PDU 接続用電源コード各 2 本付属</v>
          </cell>
        </row>
        <row r="10096">
          <cell r="A10096" t="str">
            <v>Q0U59A#ACF</v>
          </cell>
          <cell r="B10096" t="str">
            <v>SN6600B 32Gb 48/24PP+ 24pSFP+ FC Switch</v>
          </cell>
          <cell r="C10096" t="str">
            <v>32Gb/s 対応 x24 ポート FC スイッチ
※32Gb/s 対応 SFP トランシーバーを 24 個標準添付
※32Gb/s、16Gb/s、8Gb/s、4Gb/s をサポート(自動切換)
※10Gb/s はスイッチ間接続でサポート(10Gb/s 対応 SFP トランシーバーが必要)
※SAN Full Fabric をサポート
※100V 用電源コード、200V PDU 接続用電源コード各 2 本付属
※Power Pack+付</v>
          </cell>
        </row>
        <row r="10097">
          <cell r="A10097" t="str">
            <v>Q0U60A#ACF</v>
          </cell>
          <cell r="B10097" t="str">
            <v>SN6600B 32Gb 48/48 48p SFP+ FC Switch</v>
          </cell>
          <cell r="C10097" t="str">
            <v>32Gb/s 対応 x48 ポート FC スイッチ
※32Gb/s 対応 SFP トランシーバーを 48 個標準添付
※32Gb/s、16Gb/s、8Gb/s、4Gb/s をサポート(自動切換)
※10Gb/s はスイッチ間接続でサポート(10Gb/s 対応 SFP トランシーバーが必要)
※SAN Full Fabric をサポート
※100V 用電源コード、200V PDU 接続用電源コード各 2 本付属</v>
          </cell>
        </row>
        <row r="10098">
          <cell r="A10098" t="str">
            <v>Q0U61A#ACF</v>
          </cell>
          <cell r="B10098" t="str">
            <v>SN6600B 32Gb 48/48PP+ 48pSFP+ FC Switch</v>
          </cell>
          <cell r="C10098" t="str">
            <v>32Gb/s 対応 x48 ポート FC スイッチ
※32Gb/s 対応 SFP トランシーバーを 48 個標準添付
※32Gb/s、16Gb/s、8Gb/s、4Gb/s をサポート(自動切換)
※10Gb/s はスイッチ間接続でサポート(10Gb/s 対応 SFP トランシーバーが必要)
※SAN Full Fabric をサポート
※100V 用電源コード、200V PDU 接続用電源コード各 2 本付属
※Power Pack+付</v>
          </cell>
        </row>
        <row r="10099">
          <cell r="A10099" t="str">
            <v>Q1H63A</v>
          </cell>
          <cell r="B10099" t="str">
            <v>Premier Flex MPO/MPO OM4 12f 1m Cbl</v>
          </cell>
          <cell r="C10099" t="str">
            <v>PremierFlex OM4 ファイバーチャネルケーブル 1m</v>
          </cell>
        </row>
        <row r="10100">
          <cell r="A10100" t="str">
            <v>Q1H64A</v>
          </cell>
          <cell r="B10100" t="str">
            <v>Premier Flex MPO/MPO OM4 12f 2m Cbl</v>
          </cell>
          <cell r="C10100" t="str">
            <v>PremierFlex OM4 ファイバーチャネルケーブル 2m</v>
          </cell>
        </row>
        <row r="10101">
          <cell r="A10101" t="str">
            <v>Q1H65A</v>
          </cell>
          <cell r="B10101" t="str">
            <v>Premier Flex MPO/MPO OM4 12f 5m Cbl</v>
          </cell>
          <cell r="C10101" t="str">
            <v>PremierFlex OM4 ファイバーチャネルケーブル 5m</v>
          </cell>
        </row>
        <row r="10102">
          <cell r="A10102" t="str">
            <v>Q1H66A</v>
          </cell>
          <cell r="B10102" t="str">
            <v>Premier Flex MPO/MPO OM4 12f 15m Cbl</v>
          </cell>
          <cell r="C10102" t="str">
            <v>PremierFlex OM4 ファイバーチャネルケーブル 15m</v>
          </cell>
        </row>
        <row r="10103">
          <cell r="A10103" t="str">
            <v>Q1H67A</v>
          </cell>
          <cell r="B10103" t="str">
            <v>Premier Flex MPO/MPO OM4 12f 30m Cbl</v>
          </cell>
          <cell r="C10103" t="str">
            <v>PremierFlex OM4 ファイバーチャネルケーブル 30m</v>
          </cell>
        </row>
        <row r="10104">
          <cell r="A10104" t="str">
            <v>Q1H68A</v>
          </cell>
          <cell r="B10104" t="str">
            <v>Premier Flex MPO to 4xLC 30m Cbl</v>
          </cell>
          <cell r="C10104" t="str">
            <v>Premier Flex MPO to 4xLC ファンアウト マルチモード OM4 8 ファイバーケーブル 30m</v>
          </cell>
        </row>
        <row r="10105">
          <cell r="A10105" t="str">
            <v>Q1H69A</v>
          </cell>
          <cell r="B10105" t="str">
            <v>Premier Flex MPO to 4xLC 50m Cbl</v>
          </cell>
          <cell r="C10105" t="str">
            <v>Premier Flex MPO to 4xLC ファンアウト マルチモード OM4 8 ファイバーケーブル 50m</v>
          </cell>
        </row>
        <row r="10106">
          <cell r="A10106" t="str">
            <v>Q1H70A#05Y</v>
          </cell>
          <cell r="B10106" t="str">
            <v>SN3600B 32Gb 24/8 FC Switch</v>
          </cell>
          <cell r="C10106" t="str">
            <v>32Gb/s 対応 x8 ポート FC スイッチ
※32Gb/s、16Gb/s、8Gb/s、4Gb/s をサポート(自動切換)
※SAN Full Fabric をサポート
※100V 用電源コード、200V PDU 接続用電源コード各 1 本付属</v>
          </cell>
        </row>
        <row r="10107">
          <cell r="A10107" t="str">
            <v>Q1H71A#05Y</v>
          </cell>
          <cell r="B10107" t="str">
            <v>SN3600B 32Gb 24/24 FC Switch</v>
          </cell>
          <cell r="C10107" t="str">
            <v>32Gb/s 対応 x24 ポート FC スイッチ
※32Gb/s、16Gb/s、8Gb/s、4Gb/s をサポート(自動切換)
※SAN Full Fabric をサポート
※100V 用電源コード、200V PDU 接続用電源コード各 1 本付属</v>
          </cell>
        </row>
        <row r="10108">
          <cell r="A10108" t="str">
            <v>Q1H72A#05Y</v>
          </cell>
          <cell r="B10108" t="str">
            <v>SN3600B 32Gb 24/24 Pwr Pk+ FC Switch</v>
          </cell>
          <cell r="C10108" t="str">
            <v>32Gb/s 対応 x24 ポート FC スイッチ
※32Gb/s、16Gb/s、8Gb/s、4Gb/s をサポート(自動切換)
※SAN Full Fabric をサポート
※100V 用電源コード、200V PDU 接続用電源コード各 1 本付属
※Power Pack+付</v>
          </cell>
        </row>
        <row r="10109">
          <cell r="A10109" t="str">
            <v>Q1Z10A</v>
          </cell>
          <cell r="B10109" t="str">
            <v>SN3600B 8-port FC Upgrade LTU</v>
          </cell>
          <cell r="C10109" t="str">
            <v>アクティブポート数を 8 から 16 へ、または 16 から 24 へアップグレードする為のライセンス</v>
          </cell>
        </row>
        <row r="10110">
          <cell r="A10110" t="str">
            <v>Q1Z11A</v>
          </cell>
          <cell r="B10110" t="str">
            <v>SN3600B Power Pack+ Upgrade LTU</v>
          </cell>
          <cell r="C10110" t="str">
            <v>SN3600B FCスイッチシリーズ用 Power Pack+ ソフトウェアパッケージ</v>
          </cell>
        </row>
        <row r="10111">
          <cell r="A10111" t="str">
            <v>Q2R28A</v>
          </cell>
          <cell r="B10111" t="str">
            <v>B-series 4x32Gb 4-pack SW QSFP XCVR</v>
          </cell>
          <cell r="C10111" t="str">
            <v>1セットあたり 32Gb FC 短波長 Bシリーズスイッチ用 QSFP トランシーバー x4個パック</v>
          </cell>
        </row>
        <row r="10112">
          <cell r="A10112" t="str">
            <v>Q2R31A</v>
          </cell>
          <cell r="B10112" t="str">
            <v>B-series 4x32Gb LW 2km QSFP XCVR</v>
          </cell>
          <cell r="C10112" t="str">
            <v>1セットあたり 32Gb FC 長波長 Bシリーズスイッチ用 QSFP トランシーバー x4個パック</v>
          </cell>
        </row>
        <row r="10113">
          <cell r="A10113" t="str">
            <v>QK724A</v>
          </cell>
          <cell r="B10113" t="str">
            <v>B-series 16Gb SFP+ ShortWave XCVR</v>
          </cell>
          <cell r="C10113" t="str">
            <v>16Gb FC 短波長 Bシリーズスイッチ用 SFP+ トランシーバー</v>
          </cell>
        </row>
        <row r="10114">
          <cell r="A10114" t="str">
            <v>QK726A</v>
          </cell>
          <cell r="B10114" t="str">
            <v>B-series 10Gb SFP+ ShortRange XCVR</v>
          </cell>
          <cell r="C10114" t="str">
            <v>10Gb FC 短距離 Bシリーズスイッチ用 SFP+ トランシーバー</v>
          </cell>
        </row>
        <row r="10115">
          <cell r="A10115" t="str">
            <v>QK727A</v>
          </cell>
          <cell r="B10115" t="str">
            <v>B-series 10Gb SFP+ LongRange XCVR</v>
          </cell>
          <cell r="C10115" t="str">
            <v>10Gb FC 長距離 Bシリーズスイッチ用 SFP+ トランシーバー</v>
          </cell>
        </row>
        <row r="10116">
          <cell r="A10116" t="str">
            <v>QK732A</v>
          </cell>
          <cell r="B10116" t="str">
            <v>FC PremierFlex OM4 ケーブル 1m (LC-LC)</v>
          </cell>
          <cell r="C10116" t="str">
            <v>PremierFlex OM4 ファイバーチャネルケーブル 1m</v>
          </cell>
        </row>
        <row r="10117">
          <cell r="A10117" t="str">
            <v>QK733A</v>
          </cell>
          <cell r="B10117" t="str">
            <v>FC PremierFlex OM4 ケーブル 2m (LC-LC)</v>
          </cell>
          <cell r="C10117" t="str">
            <v>PremierFlex OM4 ファイバーチャネルケーブル 2m</v>
          </cell>
        </row>
        <row r="10118">
          <cell r="A10118" t="str">
            <v>QK734A</v>
          </cell>
          <cell r="B10118" t="str">
            <v>FC PremierFlex OM4 ケーブル 5m (LC-LC)</v>
          </cell>
          <cell r="C10118" t="str">
            <v>PremierFlex OM4 ファイバーチャネルケーブル 5m</v>
          </cell>
        </row>
        <row r="10119">
          <cell r="A10119" t="str">
            <v>QK735A</v>
          </cell>
          <cell r="B10119" t="str">
            <v>FC PremierFlex OM4 ケーブル 15m (LC-LC)</v>
          </cell>
          <cell r="C10119" t="str">
            <v>PremierFlex OM4 ファイバーチャネルケーブル 15m</v>
          </cell>
        </row>
        <row r="10120">
          <cell r="A10120" t="str">
            <v>QK736A</v>
          </cell>
          <cell r="B10120" t="str">
            <v>FC PremierFlex OM4 ケーブル 30m (LC-LC)</v>
          </cell>
          <cell r="C10120" t="str">
            <v>PremierFlex OM4 ファイバーチャネルケーブル 30m</v>
          </cell>
        </row>
        <row r="10121">
          <cell r="A10121" t="str">
            <v>QK737A</v>
          </cell>
          <cell r="B10121" t="str">
            <v>FC PremierFlex OM4 ケーブル 50m (LC-LC)</v>
          </cell>
          <cell r="C10121" t="str">
            <v>PremierFlex OM4 ファイバーチャネルケーブル 50m</v>
          </cell>
        </row>
        <row r="10122">
          <cell r="A10122" t="str">
            <v>QK753B#05Y</v>
          </cell>
          <cell r="B10122" t="str">
            <v>SN6000B 16Gb 48/24 FC Switch</v>
          </cell>
          <cell r="C10122" t="str">
            <v>16Gb/s 対応 x24 ポート FC スイッチ
※16Gb/s、8Gb/s、4Gb/s をサポート(自動切換)
※SAN Full Fabric をサポート
※200V PDU 接続用電源コード 2 本付属 (100V環境の場合は別途追加必要)</v>
          </cell>
        </row>
        <row r="10123">
          <cell r="A10123" t="str">
            <v>QK754B#05Y</v>
          </cell>
          <cell r="B10123" t="str">
            <v>SN6000B 16Gb 48/24 Pwr Pck+ FC Switch</v>
          </cell>
          <cell r="C10123" t="str">
            <v>16Gb/s 対応 x24 ポート FC スイッチ
※16Gb/s、8Gb/s、4Gb/s をサポート(自動切換)
※SAN Full Fabric をサポート
※200V PDU 接続用電源コード 2 本付属 (100V環境の場合は別途追加必要)
※Power Pack+付</v>
          </cell>
        </row>
        <row r="10124">
          <cell r="A10124" t="str">
            <v>QR480B#05Y</v>
          </cell>
          <cell r="B10124" t="str">
            <v>SN6000B 16Gb 48/48 FC Switch</v>
          </cell>
          <cell r="C10124" t="str">
            <v>16Gb/s 対応 x48 ポート FC スイッチ
※16Gb/s、8Gb/s、4Gb/s をサポート(自動切換)
※SAN Full Fabric をサポート
※200V PDU 接続用電源コード 2 本付属 (100V環境の場合は別途追加必要)</v>
          </cell>
        </row>
        <row r="10125">
          <cell r="A10125" t="str">
            <v>QR481B#05Y</v>
          </cell>
          <cell r="B10125" t="str">
            <v>SN6000B 16Gb 48/48 Pwr Pck+ FC Switch</v>
          </cell>
          <cell r="C10125" t="str">
            <v>16Gb/s 対応 x48 ポート FC スイッチ
※16Gb/s、8Gb/s、4Gb/s をサポート(自動切換)
※SAN Full Fabric をサポート
※200V PDU 接続用電源コード 2 本付属 (100V環境の場合は別途追加必要)
※Power Pack+付</v>
          </cell>
        </row>
        <row r="10126">
          <cell r="A10126" t="str">
            <v>QW937A#05Y</v>
          </cell>
          <cell r="B10126" t="str">
            <v>SN3000B 16Gb 24/12 FC Switch</v>
          </cell>
          <cell r="C10126" t="str">
            <v>16Gb/s 対応 x12 ポート FC スイッチ
※16Gb/s、8Gb/s、4Gb/s をサポート(自動切換)
※SAN Full Fabric をサポート
※200V PDU 接続用電源コード 1 本付属 (100V環境の場合は別途追加必要)</v>
          </cell>
        </row>
        <row r="10127">
          <cell r="A10127" t="str">
            <v>QW938A#05Y</v>
          </cell>
          <cell r="B10127" t="str">
            <v>SN3000B 16Gb 24/24 FC Switch</v>
          </cell>
          <cell r="C10127" t="str">
            <v>16Gb/s 対応 x24 ポート FC スイッチ
※16Gb/s、8Gb/s、4Gb/s をサポート(自動切換)
※SAN Full Fabric をサポート
※200V PDU 接続用電源コード 1 本付属 (100V環境の場合は別途追加必要)</v>
          </cell>
        </row>
        <row r="10128">
          <cell r="A10128" t="str">
            <v>QW939A#05Y</v>
          </cell>
          <cell r="B10128" t="str">
            <v>SN3000B FC Switch Optional Power Supply</v>
          </cell>
          <cell r="C10128" t="str">
            <v>SN3000B FCスイッチの電源ユニットを冗長化するためのオプション
※200V PDU 接続用電源コード 1 本付属</v>
          </cell>
        </row>
        <row r="10129">
          <cell r="A10129" t="str">
            <v>QW971A</v>
          </cell>
          <cell r="B10129" t="str">
            <v>SN1000Q 16Gb Single Port FC HBA</v>
          </cell>
          <cell r="C10129" t="str">
            <v>16 Gb/s 対応 1 ポート FC HBA</v>
          </cell>
        </row>
        <row r="10130">
          <cell r="A10130" t="str">
            <v>QW972A</v>
          </cell>
          <cell r="B10130" t="str">
            <v>SN1000Q 16Gb Dual Port FC HBA</v>
          </cell>
          <cell r="C10130" t="str">
            <v>16 Gb/s 対応 2 ポート FC HBA</v>
          </cell>
        </row>
        <row r="10131">
          <cell r="A10131" t="str">
            <v>QW990A</v>
          </cell>
          <cell r="B10131" t="str">
            <v>CN1100R Dual Port CNA</v>
          </cell>
          <cell r="C10131" t="str">
            <v>10GbE SFP+ x2ポート CNA</v>
          </cell>
        </row>
        <row r="10132">
          <cell r="A10132" t="str">
            <v>T4261A</v>
          </cell>
          <cell r="B10132" t="str">
            <v>SAN スイッチ フルファブリック使用権</v>
          </cell>
          <cell r="C10132" t="str">
            <v>E ポートなしからフルファブリックに接続を拡張するライセンスキー</v>
          </cell>
        </row>
        <row r="10133">
          <cell r="A10133" t="str">
            <v>T5518A</v>
          </cell>
          <cell r="B10133" t="str">
            <v>SAN スイッチ 8/8, 8/24用 8ポート使用権</v>
          </cell>
          <cell r="C10133" t="str">
            <v>アクティブポート数を 8 から 16 へ、または 16 から 24 へアップグレードする為のライセンス</v>
          </cell>
        </row>
        <row r="10134">
          <cell r="A10134" t="str">
            <v>T5519A</v>
          </cell>
          <cell r="B10134" t="str">
            <v>SAN スイッチ 8/40用 8ポート使用権</v>
          </cell>
          <cell r="C10134" t="str">
            <v>-</v>
          </cell>
        </row>
        <row r="10135">
          <cell r="A10135" t="str">
            <v>T5520A</v>
          </cell>
          <cell r="B10135" t="str">
            <v>SAN スイッチ 8/80用 16ポート使用権</v>
          </cell>
          <cell r="C10135" t="str">
            <v>-</v>
          </cell>
        </row>
        <row r="10136">
          <cell r="A10136" t="str">
            <v>T5521A</v>
          </cell>
          <cell r="B10136" t="str">
            <v>SAN スイッチ 8-24ポート用 Pwr Pk+使用権</v>
          </cell>
          <cell r="C10136" t="str">
            <v>B シリーズ 8Gb FCスイッチシリーズ用 Power Pack+ ソフトウェアパッケージ</v>
          </cell>
        </row>
        <row r="10137">
          <cell r="A10137" t="str">
            <v>T5522A</v>
          </cell>
          <cell r="B10137" t="str">
            <v>SAN スイッチ 24-40ポート用 Pwr Pk+使用権</v>
          </cell>
          <cell r="C10137" t="str">
            <v>SN6000B FCスイッチシリーズ用 Power Pack+ ソフトウェアパッケージ</v>
          </cell>
        </row>
        <row r="10138">
          <cell r="A10138" t="str">
            <v>T5523A</v>
          </cell>
          <cell r="B10138" t="str">
            <v>SAN スイッチ 48-80ポート用 Pwr Pk+使用権</v>
          </cell>
          <cell r="C10138" t="str">
            <v>-</v>
          </cell>
        </row>
        <row r="10139">
          <cell r="A10139" t="str">
            <v>T5527A</v>
          </cell>
          <cell r="B10139" t="str">
            <v>8-24ポート用 ISL Trunking使用権</v>
          </cell>
          <cell r="C10139" t="str">
            <v>-</v>
          </cell>
        </row>
        <row r="10140">
          <cell r="A10140" t="str">
            <v>T5528A</v>
          </cell>
          <cell r="B10140" t="str">
            <v>24-40ポート用 Integrated Routing使用権</v>
          </cell>
          <cell r="C10140" t="str">
            <v>SN6000B FCスイッチシリーズ用 Integrated Routing 使用権</v>
          </cell>
        </row>
        <row r="10141">
          <cell r="A10141" t="str">
            <v>T5529A</v>
          </cell>
          <cell r="B10141" t="str">
            <v>48-80ポート用 Integrated Routing使用権</v>
          </cell>
          <cell r="C10141" t="str">
            <v>SN6500B FCスイッチシリーズ用 Integrated Routing 使用権</v>
          </cell>
        </row>
        <row r="10142">
          <cell r="A10142" t="str">
            <v>TC356A</v>
          </cell>
          <cell r="B10142" t="str">
            <v>SN6000B 16Gb 24-48 12-port FC Upg LTU</v>
          </cell>
          <cell r="C10142" t="str">
            <v>アクティブポート数を 24 から 36 へ、または 36 から 48 へアップグレードする為のライセンス</v>
          </cell>
        </row>
        <row r="10143">
          <cell r="A10143" t="str">
            <v>TC391A</v>
          </cell>
          <cell r="B10143" t="str">
            <v>SN3000B 16Gb 12-24 12-port FC Upg LTU</v>
          </cell>
          <cell r="C10143" t="str">
            <v>アクティブポート数を 12 から 24 へアップグレードする為のライセンス</v>
          </cell>
        </row>
        <row r="10144">
          <cell r="A10144" t="str">
            <v>TC440A</v>
          </cell>
          <cell r="B10144" t="str">
            <v>HP StoreFabric SN6500B 24ポート使用権</v>
          </cell>
          <cell r="C10144" t="str">
            <v>アクティブポート数を 48 から 72 へ、または 72 から 96 へアップグレードする為のライセンス</v>
          </cell>
        </row>
        <row r="10145">
          <cell r="A10145" t="str">
            <v>TC441A</v>
          </cell>
          <cell r="B10145" t="str">
            <v>HP StoreFabric SN6500B PowerPack+使用権</v>
          </cell>
          <cell r="C10145" t="str">
            <v>SN6500B FCスイッチシリーズ用 Power Pack+ ソフトウェアパッケージ</v>
          </cell>
        </row>
        <row r="10146">
          <cell r="A10146" t="str">
            <v>407337-B21</v>
          </cell>
          <cell r="B10146" t="str">
            <v>Mini SAS x4 Cable 1m</v>
          </cell>
          <cell r="C10146" t="str">
            <v>SAS 外部接続ケーブル SFF8088-SFF8088 (1m)</v>
          </cell>
        </row>
        <row r="10147">
          <cell r="A10147" t="str">
            <v>407339-B21</v>
          </cell>
          <cell r="B10147" t="str">
            <v>Mini SAS x4 Cable 2m</v>
          </cell>
          <cell r="C10147" t="str">
            <v>SAS 外部接続ケーブル SFF8088-SFF8088 (2m)</v>
          </cell>
        </row>
        <row r="10148">
          <cell r="A10148" t="str">
            <v>419569-B21</v>
          </cell>
          <cell r="B10148" t="str">
            <v>SAS x4 to Mini SAS x4 Cable 0.5m</v>
          </cell>
          <cell r="C10148" t="str">
            <v>SAS 外部接続ケーブル SFF8088-SFF8470 (0.5m)</v>
          </cell>
        </row>
        <row r="10149">
          <cell r="A10149" t="str">
            <v>AJ941A</v>
          </cell>
          <cell r="B10149" t="str">
            <v>D2700</v>
          </cell>
          <cell r="C10149" t="str">
            <v>D2700 ディスクエンクロージャー
※ホットプラグ対応 2.5 型ハードドライブを最大 25 台搭載可能</v>
          </cell>
        </row>
        <row r="10150">
          <cell r="A10150" t="str">
            <v>C8R09A</v>
          </cell>
          <cell r="B10150" t="str">
            <v>MSA 2040 SAN コントローラー</v>
          </cell>
          <cell r="C10150" t="str">
            <v>SAN用ホットプラグ対応コントローラー</v>
          </cell>
        </row>
        <row r="10151">
          <cell r="A10151" t="str">
            <v>C8R11A</v>
          </cell>
          <cell r="B10151" t="str">
            <v>MSA 2040 2.5型ドライブ DC 電源シャーシ</v>
          </cell>
          <cell r="C10151" t="str">
            <v>コントローラー未搭載 SFFドライブベイシャーシ(DC電源)</v>
          </cell>
        </row>
        <row r="10152">
          <cell r="A10152" t="str">
            <v>C8R13A</v>
          </cell>
          <cell r="B10152" t="str">
            <v>MSA 2040 3.5型ドライブ DC 電源シャーシ</v>
          </cell>
          <cell r="C10152" t="str">
            <v>コントローラー未搭載 LFFドライブベイシャーシ(DC電源)</v>
          </cell>
        </row>
        <row r="10153">
          <cell r="A10153" t="str">
            <v>C8R23A</v>
          </cell>
          <cell r="B10153" t="str">
            <v>MSA 2040用8Gb 短波長 FC SFP+(4個パック)</v>
          </cell>
          <cell r="C10153" t="str">
            <v>1セットあたり 8Gb FC SFP+トランシーバー x4個パックの製品</v>
          </cell>
        </row>
        <row r="10154">
          <cell r="A10154" t="str">
            <v>C8R23B</v>
          </cell>
          <cell r="B10154" t="str">
            <v>MSA 2050用8Gb 短波長 FC SFP+(4個パック)</v>
          </cell>
          <cell r="C10154" t="str">
            <v>1セットあたり 8Gb FC SFP+トランシーバー x4個パックの製品</v>
          </cell>
        </row>
        <row r="10155">
          <cell r="A10155" t="str">
            <v>C8R24A</v>
          </cell>
          <cell r="B10155" t="str">
            <v>MSA 2040用16Gb 短波長 FC SFP+(4個パック)</v>
          </cell>
          <cell r="C10155" t="str">
            <v>1セットあたり 16Gb FC SFP+トランシーバー x4個パックの製品</v>
          </cell>
        </row>
        <row r="10156">
          <cell r="A10156" t="str">
            <v>C8R24B</v>
          </cell>
          <cell r="B10156" t="str">
            <v>MSA 2050用16Gb 短波長 FC SFP+(4個パック)</v>
          </cell>
          <cell r="C10156" t="str">
            <v>1セットあたり 16Gb FC SFP+トランシーバー x4個パックの製品</v>
          </cell>
        </row>
        <row r="10157">
          <cell r="A10157" t="str">
            <v>C8R25A</v>
          </cell>
          <cell r="B10157" t="str">
            <v>MSA 2040用10Gb SR iSCSI SFP+(4個パック)</v>
          </cell>
          <cell r="C10157" t="str">
            <v>1セットあたり 10GbE SFP+トランシーバー(iSCSI) x4個パックの製品</v>
          </cell>
        </row>
        <row r="10158">
          <cell r="A10158" t="str">
            <v>C8R25B</v>
          </cell>
          <cell r="B10158" t="str">
            <v>MSA 2050用10Gb SR iSCSI SFP+(4個パック)</v>
          </cell>
          <cell r="C10158" t="str">
            <v>1セットあたり 10GbE SFP+トランシーバー(iSCSI) x4個パックの製品</v>
          </cell>
        </row>
        <row r="10159">
          <cell r="A10159" t="str">
            <v>C8S53A</v>
          </cell>
          <cell r="B10159" t="str">
            <v>MSA 2040 SAS コントローラー</v>
          </cell>
          <cell r="C10159" t="str">
            <v>SAS用ホットプラグ対応コントローラー</v>
          </cell>
        </row>
        <row r="10160">
          <cell r="A10160" t="str">
            <v>C8S75A</v>
          </cell>
          <cell r="B10160" t="str">
            <v>MSA2040用1Gb RJ-45 iSCSI SFP+(4個パック)</v>
          </cell>
          <cell r="C10160" t="str">
            <v>1セットあたり 1GbE SFP+トランシーバー(iSCSI / RJ-45) x4個パックの製品</v>
          </cell>
        </row>
        <row r="10161">
          <cell r="A10161" t="str">
            <v>C8S75B</v>
          </cell>
          <cell r="B10161" t="str">
            <v>MSA2050用1Gb RJ-45 iSCSI SFP+(4個パック)</v>
          </cell>
          <cell r="C10161" t="str">
            <v>1セットあたり 1GbE SFP+トランシーバー(iSCSI / RJ-45) x4個パックの製品</v>
          </cell>
        </row>
        <row r="10162">
          <cell r="A10162" t="str">
            <v>D4T78A</v>
          </cell>
          <cell r="B10162" t="str">
            <v>MSA 1040 Advncd Virtualization Upgrd LTU</v>
          </cell>
          <cell r="C10162" t="str">
            <v>MSA 1040 Storage の仮想化機能を有効にするための使用権</v>
          </cell>
        </row>
        <row r="10163">
          <cell r="A10163" t="str">
            <v>D4T79A</v>
          </cell>
          <cell r="B10163" t="str">
            <v>MSA 2040 Performance Automated Tier LTU</v>
          </cell>
          <cell r="C10163" t="str">
            <v>パフォーマンス(SSD)階層機能を有効にするための使用権</v>
          </cell>
        </row>
        <row r="10164">
          <cell r="A10164" t="str">
            <v>E7V99A</v>
          </cell>
          <cell r="B10164" t="str">
            <v>MSA 1040 FC 2-Controller 3.5"モデル</v>
          </cell>
          <cell r="C10164" t="str">
            <v>FC デュアルコントローラー LFFモデル</v>
          </cell>
        </row>
        <row r="10165">
          <cell r="A10165" t="str">
            <v>E7W00A</v>
          </cell>
          <cell r="B10165" t="str">
            <v>MSA 1040 FC 2-Controller 2.5"モデル</v>
          </cell>
          <cell r="C10165" t="str">
            <v>FC デュアルコントローラー SFFモデル</v>
          </cell>
        </row>
        <row r="10166">
          <cell r="A10166" t="str">
            <v>E7W01A</v>
          </cell>
          <cell r="B10166" t="str">
            <v>MSA 1040 1GbE iSCSI 2-Cntrllr 3.5"モデル</v>
          </cell>
          <cell r="C10166" t="str">
            <v>1GbE iSCSI デュアルコントローラー LFFモデル</v>
          </cell>
        </row>
        <row r="10167">
          <cell r="A10167" t="str">
            <v>E7W02A</v>
          </cell>
          <cell r="B10167" t="str">
            <v>MSA 1040 1GbE iSCSI 2-Cntrllr 2.5"モデル</v>
          </cell>
          <cell r="C10167" t="str">
            <v>1GbE iSCSI デュアルコントローラー SFFモデル</v>
          </cell>
        </row>
        <row r="10168">
          <cell r="A10168" t="str">
            <v>E7W03A</v>
          </cell>
          <cell r="B10168" t="str">
            <v>MSA 1040 10GbE iSCSI 2-Cntrllr3.5"モデル</v>
          </cell>
          <cell r="C10168" t="str">
            <v>10GbE iSCSI デュアルコントローラー LFFモデル</v>
          </cell>
        </row>
        <row r="10169">
          <cell r="A10169" t="str">
            <v>E7W04A</v>
          </cell>
          <cell r="B10169" t="str">
            <v>MSA 1040 10GbE iSCSI 2-Cntrllr2.5"モデル</v>
          </cell>
          <cell r="C10169" t="str">
            <v>10GbE iSCSI デュアルコントローラー SFFモデル</v>
          </cell>
        </row>
        <row r="10170">
          <cell r="A10170" t="str">
            <v>J9F40A</v>
          </cell>
          <cell r="B10170" t="str">
            <v>MSA 300GB 12G SAS 15k 2.5型 DP Ent. HDD</v>
          </cell>
          <cell r="C10170" t="str">
            <v>RAID (D+P) x set 実効容量約</v>
          </cell>
        </row>
        <row r="10171">
          <cell r="A10171" t="str">
            <v>J9F42A</v>
          </cell>
          <cell r="B10171" t="str">
            <v>MSA 600GB 12G SAS 15k 2.5型 DP Ent. HDD</v>
          </cell>
          <cell r="C10171" t="str">
            <v>RAID (D+P) x set 実効容量約</v>
          </cell>
        </row>
        <row r="10172">
          <cell r="A10172" t="str">
            <v>J9F43A</v>
          </cell>
          <cell r="B10172" t="str">
            <v>MSA 6TB 12G SAS 7.2k 3.5型 MDL 512e HDD</v>
          </cell>
          <cell r="C10172" t="str">
            <v>RAID (D+P) x set 実効容量約</v>
          </cell>
        </row>
        <row r="10173">
          <cell r="A10173" t="str">
            <v>J9F44A</v>
          </cell>
          <cell r="B10173" t="str">
            <v>MSA 300GB 12G SAS 10k 2.5型 DP Ent. HDD</v>
          </cell>
          <cell r="C10173" t="str">
            <v>RAID (D+P) x set 実効容量約</v>
          </cell>
        </row>
        <row r="10174">
          <cell r="A10174" t="str">
            <v>J9F46A</v>
          </cell>
          <cell r="B10174" t="str">
            <v>MSA 600GB 12G SAS 10k 2.5型 DP Ent. HDD</v>
          </cell>
          <cell r="C10174" t="str">
            <v>RAID (D+P) x set 実効容量約</v>
          </cell>
        </row>
        <row r="10175">
          <cell r="A10175" t="str">
            <v>J9F48A</v>
          </cell>
          <cell r="B10175" t="str">
            <v>MSA 1.2TB 12G SAS 10k 2.5型 DP Ent. HDD</v>
          </cell>
          <cell r="C10175" t="str">
            <v>RAID (D+P) x set 実効容量約</v>
          </cell>
        </row>
        <row r="10176">
          <cell r="A10176" t="str">
            <v>J9F49A</v>
          </cell>
          <cell r="B10176" t="str">
            <v>MSA 1.8TB 12G SAS 10k 2.5型 DP 512e HDD</v>
          </cell>
          <cell r="C10176" t="str">
            <v>RAID (D+P) x set 実効容量約</v>
          </cell>
        </row>
        <row r="10177">
          <cell r="A10177" t="str">
            <v>J9F50A</v>
          </cell>
          <cell r="B10177" t="str">
            <v>MSA 1TB 12G SAS 7.2k 2.5型 MDL 512e HDD</v>
          </cell>
          <cell r="C10177" t="str">
            <v>RAID (D+P) x set 実効容量約</v>
          </cell>
        </row>
        <row r="10178">
          <cell r="A10178" t="str">
            <v>J9F51A</v>
          </cell>
          <cell r="B10178" t="str">
            <v>MSA 2TB 12G SAS 7.2k 2.5型 MDL 512e HDD</v>
          </cell>
          <cell r="C10178" t="str">
            <v>RAID (D+P) x set 実効容量約</v>
          </cell>
        </row>
        <row r="10179">
          <cell r="A10179" t="str">
            <v>K2Q82A</v>
          </cell>
          <cell r="B10179" t="str">
            <v>MSA 4TB 12G SAS 7.2k 3.5型 MDL 512e HDD</v>
          </cell>
          <cell r="C10179" t="str">
            <v>RAID (D+P) x set 実効容量約</v>
          </cell>
        </row>
        <row r="10180">
          <cell r="A10180" t="str">
            <v>K2Q90A</v>
          </cell>
          <cell r="B10180" t="str">
            <v>MSA 1040 SAS Dual Controller 3.5型モデル</v>
          </cell>
          <cell r="C10180" t="str">
            <v>SAS デュアルコントローラー LFFモデル</v>
          </cell>
        </row>
        <row r="10181">
          <cell r="A10181" t="str">
            <v>K2Q99A</v>
          </cell>
          <cell r="B10181" t="str">
            <v>SFF8644-Dual 2-lane SFF8644 SAS Cable 1m</v>
          </cell>
          <cell r="C10181" t="str">
            <v>SFF8644-デュアル 2 レーン SFF8644 SAS 外部接続 ファンアウト ケーブル 1m</v>
          </cell>
        </row>
        <row r="10182">
          <cell r="A10182" t="str">
            <v>K2R00A</v>
          </cell>
          <cell r="B10182" t="str">
            <v>SFF8644-Dual 2-lane SFF8644 SAS Cable 2m</v>
          </cell>
          <cell r="C10182" t="str">
            <v>SFF8644-デュアル 2 レーン SFF8644 SAS 外部接続 ファンアウト ケーブル 2m</v>
          </cell>
        </row>
        <row r="10183">
          <cell r="A10183" t="str">
            <v>K2R01A</v>
          </cell>
          <cell r="B10183" t="str">
            <v>SFF8644-Dual 2-lane SFF8644 SAS Cable 4m</v>
          </cell>
          <cell r="C10183" t="str">
            <v>SFF8644-デュアル 2 レーン SFF8644 SAS 外部接続 ファンアウト ケーブル 4m</v>
          </cell>
        </row>
        <row r="10184">
          <cell r="A10184" t="str">
            <v>K2R02A</v>
          </cell>
          <cell r="B10184" t="str">
            <v>SFF8644-Dual 2-lane SFF8088 SAS Cable 1m</v>
          </cell>
          <cell r="C10184" t="str">
            <v>SFF8644-デュアル 2 レーン SFF8088 SAS 外部接続 ファンアウト ケーブル 1m</v>
          </cell>
        </row>
        <row r="10185">
          <cell r="A10185" t="str">
            <v>K2R03A</v>
          </cell>
          <cell r="B10185" t="str">
            <v>SFF8644-Dual 2-lane SFF8088 SAS Cable 2m</v>
          </cell>
          <cell r="C10185" t="str">
            <v>SFF8644-デュアル 2 レーン SFF8088 SAS 外部接続 ファンアウト ケーブル 2m</v>
          </cell>
        </row>
        <row r="10186">
          <cell r="A10186" t="str">
            <v>K2R04A</v>
          </cell>
          <cell r="B10186" t="str">
            <v>SFF8644-Dual 2-lane SFF8088 SAS Cable 4m</v>
          </cell>
          <cell r="C10186" t="str">
            <v>SFF8644-デュアル 2 レーン SFF8088 SAS 外部接続 ファンアウト ケーブル 4m</v>
          </cell>
        </row>
        <row r="10187">
          <cell r="A10187" t="str">
            <v>K2R79A</v>
          </cell>
          <cell r="B10187" t="str">
            <v>MSA 2040 SAN Dual Ctrl 3.5in Storage</v>
          </cell>
          <cell r="C10187" t="str">
            <v>SAN デュアルコントローラー LFFモデル</v>
          </cell>
        </row>
        <row r="10188">
          <cell r="A10188" t="str">
            <v>K2R80A</v>
          </cell>
          <cell r="B10188" t="str">
            <v>MSA 2040 SAN Dual Ctrl 2.5in Storage</v>
          </cell>
          <cell r="C10188" t="str">
            <v>SAN デュアルコントローラー SFFモデル</v>
          </cell>
        </row>
        <row r="10189">
          <cell r="A10189" t="str">
            <v>K2R81A</v>
          </cell>
          <cell r="B10189" t="str">
            <v>MSA 2040 2.5in Drive Bay Chassis</v>
          </cell>
          <cell r="C10189" t="str">
            <v>コントローラー未搭載 SFFドライブベイシャーシ</v>
          </cell>
        </row>
        <row r="10190">
          <cell r="A10190" t="str">
            <v>K2R82A</v>
          </cell>
          <cell r="B10190" t="str">
            <v>MSA 2040 3.5in Drive Bay Chassis</v>
          </cell>
          <cell r="C10190" t="str">
            <v>コントローラー未搭載 LFFドライブベイシャーシ</v>
          </cell>
        </row>
        <row r="10191">
          <cell r="A10191" t="str">
            <v>K2R83A</v>
          </cell>
          <cell r="B10191" t="str">
            <v>MSA 2040 SAS Dual Ctrl 3.5in Storage</v>
          </cell>
          <cell r="C10191" t="str">
            <v>SAS デュアルコントローラー LFFモデル</v>
          </cell>
        </row>
        <row r="10192">
          <cell r="A10192" t="str">
            <v>K2R84A</v>
          </cell>
          <cell r="B10192" t="str">
            <v>MSA 2040 SAS Dual Ctrl 2.5in Storage</v>
          </cell>
          <cell r="C10192" t="str">
            <v>SAS デュアルコントローラー SFFモデル</v>
          </cell>
        </row>
        <row r="10193">
          <cell r="A10193" t="str">
            <v>M0S90A</v>
          </cell>
          <cell r="B10193" t="str">
            <v>MSA 8TB 12G SAS 7.2k 3.5型 MDL 512e HDD</v>
          </cell>
          <cell r="C10193" t="str">
            <v>RAID (D+P) x set 実効容量約</v>
          </cell>
        </row>
        <row r="10194">
          <cell r="A10194" t="str">
            <v>M0S96A</v>
          </cell>
          <cell r="B10194" t="str">
            <v>MSA 2040 3.5in Disk Enclosure</v>
          </cell>
          <cell r="C10194" t="str">
            <v>増設 LFFディスクエンクロージャー</v>
          </cell>
        </row>
        <row r="10195">
          <cell r="A10195" t="str">
            <v>N9X91A</v>
          </cell>
          <cell r="B10195" t="str">
            <v>MSA 1.6TB 12G SAS 2.5型 MU SSD</v>
          </cell>
          <cell r="C10195" t="str">
            <v>RAID (D+P) x set 実効容量約</v>
          </cell>
        </row>
        <row r="10196">
          <cell r="A10196" t="str">
            <v>N9X92A</v>
          </cell>
          <cell r="B10196" t="str">
            <v>MSA 3.2TB 12G SAS 2.5型 MU SSD</v>
          </cell>
          <cell r="C10196" t="str">
            <v>RAID (D+P) x set 実効容量約</v>
          </cell>
        </row>
        <row r="10197">
          <cell r="A10197" t="str">
            <v>N9X93A</v>
          </cell>
          <cell r="B10197" t="str">
            <v>MSA 2TB 12G SAS 7.2k 3.5型 MDL 512n HDD</v>
          </cell>
          <cell r="C10197" t="str">
            <v>RAID (D+P) x set 実効容量約</v>
          </cell>
        </row>
        <row r="10198">
          <cell r="A10198" t="str">
            <v>N9X95A</v>
          </cell>
          <cell r="B10198" t="str">
            <v>MSA 400GB 12G SAS 2.5型 MU SSD</v>
          </cell>
          <cell r="C10198" t="str">
            <v>RAID (D+P) x set 実効容量約</v>
          </cell>
        </row>
        <row r="10199">
          <cell r="A10199" t="str">
            <v>N9X96A</v>
          </cell>
          <cell r="B10199" t="str">
            <v>MSA 800GB 12G SAS 2.5型 MU SSD</v>
          </cell>
          <cell r="C10199" t="str">
            <v>RAID (D+P) x set 実効容量約</v>
          </cell>
        </row>
        <row r="10200">
          <cell r="A10200" t="str">
            <v>P9M79A</v>
          </cell>
          <cell r="B10200" t="str">
            <v>MSA 400GB 12G SAS 3.5型 MU SSD</v>
          </cell>
          <cell r="C10200" t="str">
            <v>RAID (D+P) x set 実効容量約</v>
          </cell>
        </row>
        <row r="10201">
          <cell r="A10201" t="str">
            <v>P9M80A</v>
          </cell>
          <cell r="B10201" t="str">
            <v>MSA 800GB 12G SAS 3.5型 MU SSD</v>
          </cell>
          <cell r="C10201" t="str">
            <v>RAID (D+P) x set 実効容量約</v>
          </cell>
        </row>
        <row r="10202">
          <cell r="A10202" t="str">
            <v>P9M81A</v>
          </cell>
          <cell r="B10202" t="str">
            <v>MSA 1.2TB 12G SAS 10K 2.5型 ENT SED</v>
          </cell>
          <cell r="C10202" t="str">
            <v>RAID (D+P) x set 実効容量約</v>
          </cell>
        </row>
        <row r="10203">
          <cell r="A10203" t="str">
            <v>P9M82A</v>
          </cell>
          <cell r="B10203" t="str">
            <v>MSA 10TB 12G SAS 7.2K 3.5型 512e HDD</v>
          </cell>
          <cell r="C10203" t="str">
            <v>RAID (D+P) x set 実効容量約</v>
          </cell>
        </row>
        <row r="10204">
          <cell r="A10204" t="str">
            <v>Q0F05A</v>
          </cell>
          <cell r="B10204" t="str">
            <v>MSA 2042 SAN DC 3.5型ドライブストレージ</v>
          </cell>
          <cell r="C10204" t="str">
            <v>SAN デュアルコントローラー LFFモデル
※400GB SAS MU SSD x2台が標準搭載
※MSA Advanced Data Service 使用権が標準添付</v>
          </cell>
        </row>
        <row r="10205">
          <cell r="A10205" t="str">
            <v>Q0F06A</v>
          </cell>
          <cell r="B10205" t="str">
            <v>MSA 2042 SAN DC 2.5型ドライブストレージ</v>
          </cell>
          <cell r="C10205" t="str">
            <v>SAN デュアルコントローラー SFFモデル
※400GB SAS MU SSD x2台が標準搭載
※MSA Advanced Data Service 使用権が標準添付</v>
          </cell>
        </row>
        <row r="10206">
          <cell r="A10206" t="str">
            <v>Q0F07A</v>
          </cell>
          <cell r="B10206" t="str">
            <v>MSA 2042 SAS DC 3.5型ドライブストレージ</v>
          </cell>
          <cell r="C10206" t="str">
            <v>SAS デュアルコントローラー LFFモデル
※400GB SAS MU SSD x2台が標準搭載
※MSA Advanced Data Service 使用権が標準添付</v>
          </cell>
        </row>
        <row r="10207">
          <cell r="A10207" t="str">
            <v>Q0F08A</v>
          </cell>
          <cell r="B10207" t="str">
            <v>MSA 2042 SAS DC 2.5型ドライブストレージ</v>
          </cell>
          <cell r="C10207" t="str">
            <v>SAS デュアルコントローラー SFFモデル
※400GB SAS MU SSD x2台が標準搭載
※MSA Advanced Data Service 使用権が標準添付</v>
          </cell>
        </row>
        <row r="10208">
          <cell r="A10208" t="str">
            <v>Q0H99A</v>
          </cell>
          <cell r="B10208" t="str">
            <v>MSA Advanced Data Services LTU</v>
          </cell>
          <cell r="C10208" t="str">
            <v>Snapshot を標準の 64 個から 512 個、Remote Snap 機能、SSD 自動階層化機能を使用することができるライセンス製品</v>
          </cell>
        </row>
        <row r="10209">
          <cell r="A10209" t="str">
            <v>Q1H47A</v>
          </cell>
          <cell r="B10209" t="str">
            <v>MSA 900GB 12G SAS 15K SFF ENT HDD</v>
          </cell>
          <cell r="C10209" t="str">
            <v>RAID (D+P) x set 実効容量約</v>
          </cell>
        </row>
        <row r="10210">
          <cell r="A10210" t="str">
            <v>Q1H48A</v>
          </cell>
          <cell r="B10210" t="str">
            <v>MSA 4TB 12G SAS 7.2K LFF FIPS SED</v>
          </cell>
          <cell r="C10210" t="str">
            <v>RAID (D+P) x set 実効容量約</v>
          </cell>
        </row>
        <row r="10211">
          <cell r="A10211" t="str">
            <v>Q1H89A</v>
          </cell>
          <cell r="B10211" t="str">
            <v>D3600 10TB 7.2k LFF 12G SAS HDD12台120TB</v>
          </cell>
          <cell r="C10211" t="str">
            <v>D3600に10TB 7.2k SAS HDD x12台バンドルされたモデル</v>
          </cell>
        </row>
        <row r="10212">
          <cell r="A10212" t="str">
            <v>Q1J00A</v>
          </cell>
          <cell r="B10212" t="str">
            <v>MSA 2050 SAN Dual Controller 3.5 Storage</v>
          </cell>
          <cell r="C10212" t="str">
            <v>SAN デュアルコントローラー LFFモデル</v>
          </cell>
        </row>
        <row r="10213">
          <cell r="A10213" t="str">
            <v>Q1J01A</v>
          </cell>
          <cell r="B10213" t="str">
            <v>MSA 2050 SAN Dual Controller 2.5 Storage</v>
          </cell>
          <cell r="C10213" t="str">
            <v>SAN デュアルコントローラー SFFモデル</v>
          </cell>
        </row>
        <row r="10214">
          <cell r="A10214" t="str">
            <v>Q1J02A</v>
          </cell>
          <cell r="B10214" t="str">
            <v>MSA 2052 SAN Dual Controller 3.5 Storage</v>
          </cell>
          <cell r="C10214" t="str">
            <v>SAN デュアルコントローラー LFFモデル
※800GB SAS MU SSD x2台が標準搭載
※MSA Advanced Data Service 使用権が標準添付</v>
          </cell>
        </row>
        <row r="10215">
          <cell r="A10215" t="str">
            <v>Q1J03A</v>
          </cell>
          <cell r="B10215" t="str">
            <v>MSA 2052 SAN Dual Controller 2.5 Storage</v>
          </cell>
          <cell r="C10215" t="str">
            <v>SAN デュアルコントローラー SFFモデル
※800GB SAS MU SSD x2台が標準搭載
※MSA Advanced Data Service 使用権が標準添付</v>
          </cell>
        </row>
        <row r="10216">
          <cell r="A10216" t="str">
            <v>Q1J06A</v>
          </cell>
          <cell r="B10216" t="str">
            <v>MSA 2050 3.5型 Disk Enclosure</v>
          </cell>
          <cell r="C10216" t="str">
            <v>増設 LFFディスクエンクロージャー</v>
          </cell>
        </row>
        <row r="10217">
          <cell r="A10217" t="str">
            <v>Q1J07A</v>
          </cell>
          <cell r="B10217" t="str">
            <v>MSA 2050 2.5型 Disk Enclosure</v>
          </cell>
          <cell r="C10217" t="str">
            <v>増設 SFFディスクエンクロージャー</v>
          </cell>
        </row>
        <row r="10218">
          <cell r="A10218" t="str">
            <v>Q1J09A</v>
          </cell>
          <cell r="B10218" t="str">
            <v>HPE D3610 エンクロージャー</v>
          </cell>
          <cell r="C10218" t="str">
            <v>D3610 ディスクエンクロージャー
※ホットプラグ対応 3.5 型 HDD / SSD を最大 12 台搭載可能
※セキュリティ ベゼル標準添付
※Gen10 以外のサーバーはサポート外</v>
          </cell>
        </row>
        <row r="10219">
          <cell r="A10219" t="str">
            <v>Q1J10A</v>
          </cell>
          <cell r="B10219" t="str">
            <v>HPE D3710 エンクロージャー</v>
          </cell>
          <cell r="C10219" t="str">
            <v>D3710 ディスクエンクロージャー
※ホットプラグ対応 2.5 型 HDD / SSD を最大 25 台搭載可能
※セキュリティ ベゼル標準添付
※Gen10 以外のサーバーはサポート外</v>
          </cell>
        </row>
        <row r="10220">
          <cell r="A10220" t="str">
            <v>Q1J11A</v>
          </cell>
          <cell r="B10220" t="str">
            <v>D3610 4TB 12G 7.2K SAS SC 48TB Bndl</v>
          </cell>
          <cell r="C10220" t="str">
            <v>D3610に4TB 7.2k SAS HDD x12台バンドルされたモデル</v>
          </cell>
        </row>
        <row r="10221">
          <cell r="A10221" t="str">
            <v>Q1J12A</v>
          </cell>
          <cell r="B10221" t="str">
            <v>D3610 6TB 12G 7.2K SAS SC 72TB Bndl</v>
          </cell>
          <cell r="C10221" t="str">
            <v>D3610に6TB 7.2k SAS HDD x12台バンドルされたモデル</v>
          </cell>
        </row>
        <row r="10222">
          <cell r="A10222" t="str">
            <v>Q1J13A</v>
          </cell>
          <cell r="B10222" t="str">
            <v>D3610 8TB 12G 7.2K SAS SC 96TB Bndl</v>
          </cell>
          <cell r="C10222" t="str">
            <v>D3610に8TB 7.2k SAS HDD x12台バンドルされたモデル</v>
          </cell>
        </row>
        <row r="10223">
          <cell r="A10223" t="str">
            <v>Q1J14A</v>
          </cell>
          <cell r="B10223" t="str">
            <v>D3610 10TB 12G 7.2K SAS SC 120TB Bndl</v>
          </cell>
          <cell r="C10223" t="str">
            <v>D3610に10TB 7.2k SAS HDD x12台バンドルされたモデル</v>
          </cell>
        </row>
        <row r="10224">
          <cell r="A10224" t="str">
            <v>Q1J15A</v>
          </cell>
          <cell r="B10224" t="str">
            <v>D3710 600GB 12G 10K SAS SC 15TB Bndl</v>
          </cell>
          <cell r="C10224" t="str">
            <v>D3710に600GB 10k SAS HDD x25台バンドルされたモデル</v>
          </cell>
        </row>
        <row r="10225">
          <cell r="A10225" t="str">
            <v>Q1J17A</v>
          </cell>
          <cell r="B10225" t="str">
            <v>D3710 1.2TB 12G 10K SAS SC 30TB Bndl</v>
          </cell>
          <cell r="C10225" t="str">
            <v>D3710に1.2TB 10k SAS HDD x25台バンドルされたモデル</v>
          </cell>
        </row>
        <row r="10226">
          <cell r="A10226" t="str">
            <v>Q1J18A</v>
          </cell>
          <cell r="B10226" t="str">
            <v>D3710 1.8TB 12G 10K SAS SC 45TB Bndl</v>
          </cell>
          <cell r="C10226" t="str">
            <v>D3710に1.8TB 10k SAS HDD x25台バンドルされたモデル</v>
          </cell>
        </row>
        <row r="10227">
          <cell r="A10227" t="str">
            <v>Q1J19A</v>
          </cell>
          <cell r="B10227" t="str">
            <v>D3710 1TB 12G 7.2K SAS SC 25TB Bndl</v>
          </cell>
          <cell r="C10227" t="str">
            <v>D3710に1TB 7.2k SAS HDD x25台バンドルされたモデル</v>
          </cell>
        </row>
        <row r="10228">
          <cell r="A10228" t="str">
            <v>Q1J20A</v>
          </cell>
          <cell r="B10228" t="str">
            <v>D3710 2TB 12G 7.2K SAS SC 50TB Bndl</v>
          </cell>
          <cell r="C10228" t="str">
            <v>D3710に2TB 7.2k SAS HDD x25台バンドルされたモデル</v>
          </cell>
        </row>
        <row r="10229">
          <cell r="A10229" t="str">
            <v>Q1J28A</v>
          </cell>
          <cell r="B10229" t="str">
            <v>MSA 2050 SAS Dual Controller 3.5 Storage</v>
          </cell>
          <cell r="C10229" t="str">
            <v>SAS デュアルコントローラー LFFモデル</v>
          </cell>
        </row>
        <row r="10230">
          <cell r="A10230" t="str">
            <v>Q1J29A</v>
          </cell>
          <cell r="B10230" t="str">
            <v>MSA 2050 SAS Dual Controller 2.5 Storage</v>
          </cell>
          <cell r="C10230" t="str">
            <v>SAS デュアルコントローラー SFFモデル</v>
          </cell>
        </row>
        <row r="10231">
          <cell r="A10231" t="str">
            <v>Q1J30A</v>
          </cell>
          <cell r="B10231" t="str">
            <v>MSA 2052 SAS Dual Controller 3.5 Storage</v>
          </cell>
          <cell r="C10231" t="str">
            <v>SAS デュアルコントローラー LFFモデル
※800GB SAS MU SSD x2台が標準搭載
※MSA Advanced Data Service 使用権が標準添付</v>
          </cell>
        </row>
        <row r="10232">
          <cell r="A10232" t="str">
            <v>Q1J31A</v>
          </cell>
          <cell r="B10232" t="str">
            <v>MSA 2052 SAS Dual Controller 2.5 Storage</v>
          </cell>
          <cell r="C10232" t="str">
            <v>SAS デュアルコントローラー SFFモデル
※800GB SAS MU SSD x2台が標準搭載
※MSA Advanced Data Service 使用権が標準添付</v>
          </cell>
        </row>
        <row r="10233">
          <cell r="A10233" t="str">
            <v>Q2R18A</v>
          </cell>
          <cell r="B10233" t="str">
            <v>MSA 1050 8Gb FC Dual Con 3.5型 Storage</v>
          </cell>
          <cell r="C10233" t="str">
            <v>FC デュアルコントローラー LFFモデル</v>
          </cell>
        </row>
        <row r="10234">
          <cell r="A10234" t="str">
            <v>Q2R19A</v>
          </cell>
          <cell r="B10234" t="str">
            <v>MSA 1050 8Gb FC Dual Con 2.5型 Storage</v>
          </cell>
          <cell r="C10234" t="str">
            <v>FC デュアルコントローラー SFFモデル</v>
          </cell>
        </row>
        <row r="10235">
          <cell r="A10235" t="str">
            <v>Q2R20A</v>
          </cell>
          <cell r="B10235" t="str">
            <v>MSA 1050 12Gb SAS Dual Con 3.5 Storage</v>
          </cell>
          <cell r="C10235" t="str">
            <v>SAS デュアルコントローラー LFFモデル</v>
          </cell>
        </row>
        <row r="10236">
          <cell r="A10236" t="str">
            <v>Q2R21A</v>
          </cell>
          <cell r="B10236" t="str">
            <v>MSA 1050 12Gb SAS Dual Con 2.5 Storage</v>
          </cell>
          <cell r="C10236" t="str">
            <v>SAS デュアルコントローラー SFFモデル</v>
          </cell>
        </row>
        <row r="10237">
          <cell r="A10237" t="str">
            <v>Q2R22A</v>
          </cell>
          <cell r="B10237" t="str">
            <v>MSA 1050 1GbE iSCSI Dual Con 3.5 Storage</v>
          </cell>
          <cell r="C10237" t="str">
            <v>1GbE iSCSI デュアルコントローラー LFFモデル</v>
          </cell>
        </row>
        <row r="10238">
          <cell r="A10238" t="str">
            <v>Q2R23A</v>
          </cell>
          <cell r="B10238" t="str">
            <v>MSA 1050 1GbE iSCSI Dual Con 2.5 Storage</v>
          </cell>
          <cell r="C10238" t="str">
            <v>1GbE iSCSI デュアルコントローラー SFFモデル</v>
          </cell>
        </row>
        <row r="10239">
          <cell r="A10239" t="str">
            <v>Q2R41A</v>
          </cell>
          <cell r="B10239" t="str">
            <v>MSA 2.4TB 12G SAS 10K 2.5型 512e HDD</v>
          </cell>
          <cell r="C10239" t="str">
            <v>RAID (D+P) x set 実効容量約</v>
          </cell>
        </row>
        <row r="10240">
          <cell r="A10240" t="str">
            <v>Q2R42A</v>
          </cell>
          <cell r="B10240" t="str">
            <v>MSA 12TB 12G SAS 7.2K 3.5型 512e HDD</v>
          </cell>
          <cell r="C10240" t="str">
            <v>RAID (D+P) x set 実効容量約</v>
          </cell>
        </row>
        <row r="10241">
          <cell r="A10241" t="str">
            <v>QW967A</v>
          </cell>
          <cell r="B10241" t="str">
            <v>D3700 Enclosure</v>
          </cell>
          <cell r="C10241" t="str">
            <v>3700 ディスクエンクロージャー
※ホットプラグ対応 2.5 型 HDD / SSD を最大 25 台搭載可能
※Gen10 サーバーはサポート外</v>
          </cell>
        </row>
        <row r="10242">
          <cell r="A10242" t="str">
            <v>QW968A</v>
          </cell>
          <cell r="B10242" t="str">
            <v>D3600 Enclosure</v>
          </cell>
          <cell r="C10242" t="str">
            <v>3600 ディスクエンクロージャー
※ホットプラグ対応 3.5 型 HDD / SSD を最大 12 台搭載可能
※Gen10 サーバーはサポート外</v>
          </cell>
        </row>
        <row r="10243">
          <cell r="A10243" t="str">
            <v>A8007B</v>
          </cell>
          <cell r="B10243" t="str">
            <v>1U USB ラックマウントキット</v>
          </cell>
          <cell r="C10243" t="str">
            <v>RDX または DAT-USB テープドライブを 2 台まで搭載可能</v>
          </cell>
        </row>
        <row r="10244">
          <cell r="A10244" t="str">
            <v>AE459B</v>
          </cell>
          <cell r="B10244" t="str">
            <v>HP 1U SAS 6Gb ラックマウントキット</v>
          </cell>
          <cell r="C10244" t="str">
            <v>ハーフハイト SAS テープドライブのみ 2 台まで搭載可能</v>
          </cell>
        </row>
        <row r="10245">
          <cell r="A10245" t="str">
            <v>AE465A</v>
          </cell>
          <cell r="B10245" t="str">
            <v>外付用 SASケーブル 8088/8088 (4m)</v>
          </cell>
          <cell r="C10245" t="str">
            <v>サーバとストレージ間の接続用SASケーブル 4m</v>
          </cell>
        </row>
        <row r="10246">
          <cell r="A10246" t="str">
            <v>AE470A</v>
          </cell>
          <cell r="B10246" t="str">
            <v>外付用 SASケーブル 8088/8088 (2m)</v>
          </cell>
          <cell r="C10246" t="str">
            <v>サーバとストレージ間の接続用SASケーブル 2m</v>
          </cell>
        </row>
        <row r="10247">
          <cell r="A10247" t="str">
            <v>AG119A</v>
          </cell>
          <cell r="B10247" t="str">
            <v>MSL LLマガジン</v>
          </cell>
          <cell r="C10247" t="str">
            <v>MSL2024 左 12 スロットのカートリッジ マガジン(差し替え/追加用)
※カートリッジは未添付</v>
          </cell>
        </row>
        <row r="10248">
          <cell r="A10248" t="str">
            <v>AG120A</v>
          </cell>
          <cell r="B10248" t="str">
            <v>MSL Rマガジン</v>
          </cell>
          <cell r="C10248" t="str">
            <v>MSL2024 右 12 スロットのカートリッジ マガジン(差し替え/追加用)
※カートリッジは未添付</v>
          </cell>
        </row>
        <row r="10249">
          <cell r="A10249" t="str">
            <v>AG330A</v>
          </cell>
          <cell r="B10249" t="str">
            <v>MSL4048/8096用 Lマガジン</v>
          </cell>
          <cell r="C10249" t="str">
            <v>MSL4048 の左側上下マガジンに使用する 12 スロットのカートリッジ マガジン(差し替え/追加用)
※カートリッジは未添付</v>
          </cell>
        </row>
        <row r="10250">
          <cell r="A10250" t="str">
            <v>AH166A</v>
          </cell>
          <cell r="B10250" t="str">
            <v>1/8 G2 Autoloader Rackmount Kit</v>
          </cell>
          <cell r="C10250" t="str">
            <v>19 インチラックへ搭載する場合に必要</v>
          </cell>
        </row>
        <row r="10251">
          <cell r="A10251" t="str">
            <v>AH167A</v>
          </cell>
          <cell r="B10251" t="str">
            <v>1/8 G2 Autoloader Magazine Kit Right</v>
          </cell>
          <cell r="C10251" t="str">
            <v>1/8 G2 テープオートローダーの右側マガジンに使用する 4 スロットのカートリッジ マガジン(差し替え/追加用)
※カートリッジは未添付</v>
          </cell>
        </row>
        <row r="10252">
          <cell r="A10252" t="str">
            <v>AH220A</v>
          </cell>
          <cell r="B10252" t="str">
            <v>MSL用 リダンダントパワーサプライ</v>
          </cell>
          <cell r="C10252" t="str">
            <v>電源冗長構成</v>
          </cell>
        </row>
        <row r="10253">
          <cell r="A10253" t="str">
            <v>AH587A</v>
          </cell>
          <cell r="B10253" t="str">
            <v>external SAS to mini-SAS Fanout ケーブル</v>
          </cell>
          <cell r="C10253" t="str">
            <v>外部SASポートとMSL用ドライブmini SASポート×4を接続するSASケーブル</v>
          </cell>
        </row>
        <row r="10254">
          <cell r="A10254" t="str">
            <v>AH862A</v>
          </cell>
          <cell r="B10254" t="str">
            <v>1/8 G2 Autoloader Magazine Kit Left</v>
          </cell>
          <cell r="C10254" t="str">
            <v>1/8 G2 テープオートローダーの左側マガジンに使用するインポート/エキスポートを含む 4 スロットのカートリッジ マガジン(差し替え/追加用)
※カートリッジは未添付</v>
          </cell>
        </row>
        <row r="10255">
          <cell r="A10255" t="str">
            <v>AK379A</v>
          </cell>
          <cell r="B10255" t="str">
            <v>MSL2024 0-Drive Tape Library</v>
          </cell>
          <cell r="C10255" t="str">
            <v>※ドライブ未搭載
※100V 用電源コード(NEMA5-15P、3.6m)、200V 用電源コード(IEC320 C13-C14、2.5m)各 1 本標準添付</v>
          </cell>
        </row>
        <row r="10256">
          <cell r="A10256" t="str">
            <v>AK381A</v>
          </cell>
          <cell r="B10256" t="str">
            <v>MSL4048 0-Drive Tape Library</v>
          </cell>
          <cell r="C10256" t="str">
            <v>※ドライブ未搭載
※100V 用電源コード(NEMA5-15P、3.6m)、200V 用電源コード(IEC320 C13-C14、2.5m)各 1 本標準添付</v>
          </cell>
        </row>
        <row r="10257">
          <cell r="A10257" t="str">
            <v>AM495A</v>
          </cell>
          <cell r="B10257" t="str">
            <v>1/8 G2 &amp; MSL用 LTO暗号化キット</v>
          </cell>
          <cell r="C10257" t="str">
            <v>1 キット搭載可能
※暗号 Key を管理する USB ツール
※暗号化対応 LTO ドライブ搭載機で使用可能</v>
          </cell>
        </row>
        <row r="10258">
          <cell r="A10258" t="str">
            <v>AN975A</v>
          </cell>
          <cell r="B10258" t="str">
            <v>2m external mini-SAS to 4 mini-SAS cable</v>
          </cell>
          <cell r="C10258" t="str">
            <v>アレイ コントローラーと SAS 対応のテープ オートローダー/ライブラリとの接続用(SFF8088×1-SFF8088×4)
※最大 4 台までのテープドライブを接続可能</v>
          </cell>
        </row>
        <row r="10259">
          <cell r="A10259" t="str">
            <v>AN976A</v>
          </cell>
          <cell r="B10259" t="str">
            <v>4m external mini-SAS to 4 mini-SAS cable</v>
          </cell>
          <cell r="C10259" t="str">
            <v>アレイ コントローラーと SAS 対応のテープ オートローダー/ライブラリとの接続用(SFF8088×1-SFF8088×4)
※最大 4 台までのテープドライブを接続可能</v>
          </cell>
        </row>
        <row r="10260">
          <cell r="A10260" t="str">
            <v>AP746A</v>
          </cell>
          <cell r="B10260" t="str">
            <v>内蔵LTO用 Mini-SASケーブル</v>
          </cell>
          <cell r="C10260" t="str">
            <v>LTO ドライブ と Smart アレイ P212 コントローラー接続用ケーブル</v>
          </cell>
        </row>
        <row r="10261">
          <cell r="A10261" t="str">
            <v>BB873A</v>
          </cell>
          <cell r="B10261" t="str">
            <v>LTO7 Ultrium15000 テープドライブ(内蔵型)</v>
          </cell>
          <cell r="C10261" t="str">
            <v>※6TB/15TB LTO7 Ultrium ドライブ
※データ カートリッジ(RW) 1 巻標準添付</v>
          </cell>
        </row>
        <row r="10262">
          <cell r="A10262" t="str">
            <v>BB874A#ABJ</v>
          </cell>
          <cell r="B10262" t="str">
            <v>LTO7 Ultrium15000 テープドライブ(外付型)</v>
          </cell>
          <cell r="C10262" t="str">
            <v>※SAS 接続用、外付用 SAS ケーブル 8644/8088 (2m) 1 本標準添付
※テーブルトップ型 6TB/15TB LTO7 Ultrium ドライブ
※データ カートリッジ(RW) 1 巻標準添付</v>
          </cell>
        </row>
        <row r="10263">
          <cell r="A10263" t="str">
            <v>BC022A</v>
          </cell>
          <cell r="B10263" t="str">
            <v>LTO8 Ultrium30750 テープドライブ(内蔵型)</v>
          </cell>
          <cell r="C10263" t="str">
            <v>※12TB/30TB LTO8 Ultrium ドライブ
※データ カートリッジ(RW) 1 巻標準添付</v>
          </cell>
        </row>
        <row r="10264">
          <cell r="A10264" t="str">
            <v>BC023A#ABJ</v>
          </cell>
          <cell r="B10264" t="str">
            <v>LTO8 Ultrium30750 テープドライブ(外付型)</v>
          </cell>
          <cell r="C10264" t="str">
            <v>※SAS 接続用、外付用 SAS ケーブル 8644/8088 (2m) 1 本標準添付
※テーブルトップ型 12TB/30TB LTO8 Ultrium ドライブ
※データ カートリッジ(RW) 1 巻標準添付</v>
          </cell>
        </row>
        <row r="10265">
          <cell r="A10265" t="str">
            <v>BL536B</v>
          </cell>
          <cell r="B10265" t="str">
            <v>1/8 G2 LTO5 Ultrium3000 SASAutoloader</v>
          </cell>
          <cell r="C10265" t="str">
            <v>※SAS 接続用、外付用 SAS ケーブル 8644/8088 (2m) 1 本標準添付
※1.5TB / 3TB LTO5 Ultrium3000 SAS ドライブ 1 台搭載
※非圧縮時最大 12TB の容量を提供
※100V 用電源コード(NEMA 5-15P、3.6m )、200V 用電源コード(IEC320 C13-C14、2.5m)、各 1 本標準添付</v>
          </cell>
        </row>
        <row r="10266">
          <cell r="A10266" t="str">
            <v>BL540B</v>
          </cell>
          <cell r="B10266" t="str">
            <v>MSL LTO5 Ultrium3000 SAS Drive Kit</v>
          </cell>
          <cell r="C10266" t="str">
            <v>MSL LTO5 Ultrium3000 SAS ドライブキット</v>
          </cell>
        </row>
        <row r="10267">
          <cell r="A10267" t="str">
            <v>BL544B</v>
          </cell>
          <cell r="B10267" t="str">
            <v>MSL LTO5 Ultrium3000 FC Drive Kit</v>
          </cell>
          <cell r="C10267" t="str">
            <v xml:space="preserve">MSL LTO5 Ultrium3000 FC ドライブキット </v>
          </cell>
        </row>
        <row r="10268">
          <cell r="A10268" t="str">
            <v>C0H18A</v>
          </cell>
          <cell r="B10268" t="str">
            <v>1/8 G2 LTO6 Ultrium 6250 SAS Autoloader</v>
          </cell>
          <cell r="C10268" t="str">
            <v>※SAS 接続用、外付用 SAS ケーブル 8644/8088 (2m) 1 本標準添付
※2.5TB / 6.25TB LTO6 Ultrium6250 SAS ドライブ 1 台搭載
※非圧縮時最大 20TB の容量を提供
※100V 用電源コード(NEMA 5-15P、3.6m )、200V 用電源コード(IEC320 C13-C14、2.5m)、各 1 本標準添付</v>
          </cell>
        </row>
        <row r="10269">
          <cell r="A10269" t="str">
            <v>C0H19A</v>
          </cell>
          <cell r="B10269" t="str">
            <v>1/8 G2 LTO6 Ultrium 6250 FC Autoloader</v>
          </cell>
          <cell r="C10269" t="str">
            <v>※ファイバーチャネル接続用
※2.5TB / 6.25TB LTO6 Ultrium6250 FC ドライブ 1 台搭載
※非圧縮時最大 20TB の容量を提供
※100V 用電源コード(NEMA 5-15P、3.6m )、200V 用電源コード(IEC320 C13-C14、2.5m)、各 1 本標準添付</v>
          </cell>
        </row>
        <row r="10270">
          <cell r="A10270" t="str">
            <v>C0H27A</v>
          </cell>
          <cell r="B10270" t="str">
            <v>MSL LTO-6 6250 SAS Drive Upgrade Kit</v>
          </cell>
          <cell r="C10270" t="str">
            <v>MSL LTO6 Ultrium 6250 SAS ドライブキット</v>
          </cell>
        </row>
        <row r="10271">
          <cell r="A10271" t="str">
            <v>C0H28A</v>
          </cell>
          <cell r="B10271" t="str">
            <v>MSL LTO-6 6250 FC Drive Upgrade Kit</v>
          </cell>
          <cell r="C10271" t="str">
            <v>MSL LTO6 Ultrium 6250 FC ドライブキット</v>
          </cell>
        </row>
        <row r="10272">
          <cell r="A10272" t="str">
            <v>C0L99A</v>
          </cell>
          <cell r="B10272" t="str">
            <v>LTO6 Ultrium 6250 SAS Tape Drive 1U Rmt</v>
          </cell>
          <cell r="C10272" t="str">
            <v>1U ラック/LTO テープドライブ インストールモデル
※2,5TB/6.25TB LTO6 Ultrium ドライブ
※データ カートリッジ(RW) 1 巻標準添付</v>
          </cell>
        </row>
        <row r="10273">
          <cell r="A10273" t="str">
            <v>EH957B</v>
          </cell>
          <cell r="B10273" t="str">
            <v>Ultrium 3000 SASテープドライブ(内蔵型) B</v>
          </cell>
          <cell r="C10273" t="str">
            <v>※1,5TB/3TB LTO5 Ultrium ドライブ
※データ カートリッジ(RW) 1 巻標準添付</v>
          </cell>
        </row>
        <row r="10274">
          <cell r="A10274" t="str">
            <v>EH958B#ABJ</v>
          </cell>
          <cell r="B10274" t="str">
            <v>Ultrium 3000 SASテープドライブ(外付型) B</v>
          </cell>
          <cell r="C10274" t="str">
            <v>※テーブルトップ型 1,5TB/3TB LTO5 Ultrium ドライブ
※データ カートリッジ(RW) 1 巻標準添付</v>
          </cell>
        </row>
        <row r="10275">
          <cell r="A10275" t="str">
            <v>EH969A</v>
          </cell>
          <cell r="B10275" t="str">
            <v>LTO6 Ultrium 6250 SAS Tape Drive(内蔵型)</v>
          </cell>
          <cell r="C10275" t="str">
            <v>※2,5TB/6.25TB LTO6 Ultrium ドライブ
※データ カートリッジ(RW) 1 巻標準添付</v>
          </cell>
        </row>
        <row r="10276">
          <cell r="A10276" t="str">
            <v>EH970A#ABJ</v>
          </cell>
          <cell r="B10276" t="str">
            <v>LTO6 Ultrium 6250 SAS Tape Drive(外付型)</v>
          </cell>
          <cell r="C10276" t="str">
            <v>※SAS 接続用、外付用 SAS ケーブル 8644/8088 (2m) 1 本標準添付
※テーブルトップ型 2,5TB/6.25TB LTO6 Ultrium ドライブ
※データ カートリッジ(RW) 1 巻標準添付</v>
          </cell>
        </row>
        <row r="10277">
          <cell r="A10277" t="str">
            <v>EJ014B</v>
          </cell>
          <cell r="B10277" t="str">
            <v>Ultrium 3000 SASテープドライブ 1U Rmt B</v>
          </cell>
          <cell r="C10277" t="str">
            <v>1U ラック/LTO テープドライブ インストールモデル
※1,5TB/3TB LTO5 Ultrium ドライブ
※データ カートリッジ(RW) 1 巻標準添付</v>
          </cell>
        </row>
        <row r="10278">
          <cell r="A10278" t="str">
            <v>K2R09A</v>
          </cell>
          <cell r="B10278" t="str">
            <v>Mini SAS HD 1 to 4 Mini SAS FO 2M Cable</v>
          </cell>
          <cell r="C10278" t="str">
            <v>アレイ コントローラーと SAS 対応のテープ オートローダー/ライブラリとの接続用(SFF8644×1-SFF8088×4)
※最大 4 台までのテープドライブを接続可能</v>
          </cell>
        </row>
        <row r="10279">
          <cell r="A10279" t="str">
            <v>K2R10A</v>
          </cell>
          <cell r="B10279" t="str">
            <v>Mini SAS HD 1 to 4 Mini SAS FO 4M Cable</v>
          </cell>
          <cell r="C10279" t="str">
            <v>アレイ コントローラーと SAS 対応のテープ オートローダー/ライブラリとの接続用(SFF8644×1-SFF8088×4)
※最大 4 台までのテープドライブを接続可能</v>
          </cell>
        </row>
        <row r="10280">
          <cell r="A10280" t="str">
            <v>N7P34A</v>
          </cell>
          <cell r="B10280" t="str">
            <v>1/8 G2 LTO7 FC テープオートローダー</v>
          </cell>
          <cell r="C10280" t="str">
            <v>※ファイバーチャネル接続用
※6TB / 15TB LTO7 Ultrium15000 FC ドライブ 1 台搭載
※非圧縮時最大 48TB の容量を提供
※100V 用電源コード(NEMA 5-15P、3.6m )、200V 用電源コード(IEC320 C13-C14、2.5m)、各 1 本標準添付</v>
          </cell>
        </row>
        <row r="10281">
          <cell r="A10281" t="str">
            <v>N7P35A</v>
          </cell>
          <cell r="B10281" t="str">
            <v>1/8 G2 LTO7 SAS テープオートローダー</v>
          </cell>
          <cell r="C10281" t="str">
            <v>※SAS 接続用、外付用 SAS ケーブル 8644/8088 (2m) 1 本標準添付
※6TB / 15TB LTO7 Ultrium15000 SAS ドライブ 1 台搭載
※非圧縮時最大 48TB の容量を提供
※100V 用電源コード(NEMA 5-15P、3.6m )、200V 用電源コード(IEC320 C13-C14、2.5m)、各 1 本標準添付</v>
          </cell>
        </row>
        <row r="10282">
          <cell r="A10282" t="str">
            <v>N7P36A</v>
          </cell>
          <cell r="B10282" t="str">
            <v>MSL LTO7 Ultrium15000 FC ドライブキット</v>
          </cell>
          <cell r="C10282" t="str">
            <v>MSL LTO7 Ultrium15000 FC ドライブ拡張キット</v>
          </cell>
        </row>
        <row r="10283">
          <cell r="A10283" t="str">
            <v>N7P37A</v>
          </cell>
          <cell r="B10283" t="str">
            <v>MSL LTO7 Ultrium15000 SASドライブキット</v>
          </cell>
          <cell r="C10283" t="str">
            <v>MSL LTO7 Ultrium15000 SAS ドライブ拡張キット</v>
          </cell>
        </row>
        <row r="10284">
          <cell r="A10284" t="str">
            <v>Q6Q62A</v>
          </cell>
          <cell r="B10284" t="str">
            <v>MSL3040テープライブラリ ベースモジュール</v>
          </cell>
          <cell r="C10284" t="str">
            <v>※ドライブ非搭載（最大で Ultrium6250 / 15000 / 30750 を 3 台搭載可能）
※異なるドライブとの混在は可能
※LTO カートリッジを 32 カートリッジ搭載可能
※バーコードリーダー標準添付
※10000 /インテリジェント ラック/ 11000 G2 ラック シリーズ、racksystem/e 用ラックレール標準添付
※100V 用電源コード(NEMA5-15P、3.6m)、200V 用電源コード(IEC320 C13-C14、2.5m)各 1 本標準添付
※カートリッジは未添付
※ハードウェア ベースAES 暗号化、Tape Assure 機能に対応</v>
          </cell>
        </row>
        <row r="10285">
          <cell r="A10285" t="str">
            <v>Q6Q63A</v>
          </cell>
          <cell r="B10285" t="str">
            <v>MSL3040テープライブラリ 拡張モジュール</v>
          </cell>
          <cell r="C10285" t="str">
            <v>※ドライブ非搭載（最大で Ultrium6250 / 15000 / 30750 を 3 台搭載可能）
※MSL3040 ベース モジュール 1 台あたり最大 6 台接続可能
※異なるドライブとの混在は可能
※LTO カートリッジを 40 カートリッジ搭載可能
※10000 /インテリジェント ラック/ 11000 G2 ラック シリーズ、racksystem/e 用ラックレール標準添付
※電源非搭載（最大で2個搭載可能）
※カートリッジは未添付
※ハードウェア ベースAES 暗号化、Tape Assure 機能に対応</v>
          </cell>
        </row>
        <row r="10286">
          <cell r="A10286" t="str">
            <v>Q6Q64A</v>
          </cell>
          <cell r="B10286" t="str">
            <v>MSL3040用 パワーサプライキット</v>
          </cell>
          <cell r="C10286" t="str">
            <v>※MSL3040 ベース モジュールに 1 台追加可能
※MSL3040 拡張モジュールに 1 台必要、最大 2 個搭載可能
※100V 用電源コード(NEMA5-15P、3.6m)、200V 用電源コード(IEC320 C13-C14、2.5m)、各 1 本標準添付</v>
          </cell>
        </row>
        <row r="10287">
          <cell r="A10287" t="str">
            <v>Q6Q65A</v>
          </cell>
          <cell r="B10287" t="str">
            <v>1/8 G2 LTO8 FC テープオートローダー</v>
          </cell>
          <cell r="C10287" t="str">
            <v>※ファイバーチャネル接続用
※12TB / 30TB LTO8 Ultrium30750 SAS ドライブ 1 台搭載
※非圧縮時最大 96TB の容量を提供
※100V 用電源コード(NEMA 5-15P、3.6m )、200V 用電源コード(IEC320 C13-C14、2.5m)、各 1 本標準添付</v>
          </cell>
        </row>
        <row r="10288">
          <cell r="A10288" t="str">
            <v>Q6Q66A</v>
          </cell>
          <cell r="B10288" t="str">
            <v>1/8 G2 LTO8 SAS テープオートローダー</v>
          </cell>
          <cell r="C10288" t="str">
            <v>※SAS 接続用、外付用 SAS ケーブル 8644/8088 (2m) 1 本標準添付
※12TB / 30TB LTO8 Ultrium30750 SAS ドライブ 1 台搭載
※非圧縮時最大 96TB の容量を提供
※100V 用電源コード(NEMA 5-15P、3.6m )、200V 用電源コード(IEC320 C13-C14、2.5m)、各 1 本標準添付</v>
          </cell>
        </row>
        <row r="10289">
          <cell r="A10289" t="str">
            <v>Q6Q67A</v>
          </cell>
          <cell r="B10289" t="str">
            <v>MSL LTO8 Ultrium30750 FCドライブキット</v>
          </cell>
          <cell r="C10289" t="str">
            <v>MSL LTO8 Ultrium30750 FCドライブキット</v>
          </cell>
        </row>
        <row r="10290">
          <cell r="A10290" t="str">
            <v>Q6Q68A</v>
          </cell>
          <cell r="B10290" t="str">
            <v>MSL LTO8 Ultrium30750 SASドライブキット</v>
          </cell>
          <cell r="C10290" t="str">
            <v>MSL LTO8 Ultrium30750 SASドライブキット</v>
          </cell>
        </row>
        <row r="10291">
          <cell r="A10291" t="str">
            <v>Q8K96A</v>
          </cell>
          <cell r="B10291" t="str">
            <v>MSL3040 LTO-6 Control Path Failover LTU</v>
          </cell>
          <cell r="C10291" t="str">
            <v>※LTO6 ドライブでコントロール・パス・フェイルオーバーを有効にするためのライセンス
※FC ドライブのみ対応
※ライブラリあたり 1 ライセンス必要</v>
          </cell>
        </row>
        <row r="10292">
          <cell r="A10292" t="str">
            <v>Q8K97A</v>
          </cell>
          <cell r="B10292" t="str">
            <v>MSL3040 LTO-6 Data Path Failover LTU</v>
          </cell>
          <cell r="C10292" t="str">
            <v>※LTO6 ドライブでデータ・パス・フェイルオーバーを有効にするためのライセンス
※FC ドライブのみ対応
※ライブラリあたり 1 ライセンス必要</v>
          </cell>
        </row>
        <row r="10293">
          <cell r="A10293" t="str">
            <v>Q8K98A</v>
          </cell>
          <cell r="B10293" t="str">
            <v>MSL3040 KMIP Key Manager LTU</v>
          </cell>
          <cell r="C10293" t="str">
            <v>※KMIP による暗号鍵管理を有効にするライセンス
※ライブラリあたり 1 ライセンス必要</v>
          </cell>
        </row>
        <row r="10294">
          <cell r="A10294" t="str">
            <v>Q8K99A</v>
          </cell>
          <cell r="B10294" t="str">
            <v>MSL3040 Secure Manager LTU</v>
          </cell>
          <cell r="C10294" t="str">
            <v>※Secure Manager を有効にするライセンス
※FC ドライブのみ対応
※ライブラリあたり 1 ライセンス必要</v>
          </cell>
        </row>
        <row r="10295">
          <cell r="A10295" t="str">
            <v>Q8L00A</v>
          </cell>
          <cell r="B10295" t="str">
            <v>MSL3040 LTO-7+ Path Failover LTU</v>
          </cell>
          <cell r="C10295" t="str">
            <v>※LTO7 以降のドライブで、データ・パス フェイルオーバーと
　コントロール・パス フェイルオーバーを有効にするライセンス
※FC ドライブのみ対応
※ライブラリあたり 1 ライセンス必要</v>
          </cell>
        </row>
        <row r="10296">
          <cell r="A10296" t="str">
            <v>BB881A</v>
          </cell>
          <cell r="B10296" t="str">
            <v>StoreOnce 4500/4700 24TB Upgrade Kit</v>
          </cell>
          <cell r="C10296" t="str">
            <v>StoreOnce  4ディスU00/4700 24TB Upgrad
※ホットプラグ対応 ce  45SAS HDD / SAS SSD を最大 12 台搭載可能
※HDD ベイ用ブランクパネル 8 個標準添付</v>
          </cell>
        </row>
        <row r="10297">
          <cell r="A10297" t="str">
            <v>BB884A</v>
          </cell>
          <cell r="B10297" t="str">
            <v>StoreOnce 2000/3000 Replication LTU</v>
          </cell>
          <cell r="C10297" t="str">
            <v>HPE StoreOnce 2000/3000 用遠隔レプリケーション機能追加ライセンス
※複数サイトの StoreOnce 間でデータを複製する機能を提供
※データ受け取り側ターゲットの台数分必要(送り側ソースには不要)
※サイト間で双方向のレプリケーションをする場合は双方に必要</v>
          </cell>
        </row>
        <row r="10298">
          <cell r="A10298" t="str">
            <v>BB885A</v>
          </cell>
          <cell r="B10298" t="str">
            <v>StoreOnce 4500/5100 Replication LTU</v>
          </cell>
          <cell r="C10298" t="str">
            <v>HPE StoreOnce 4500/5100 用遠隔レプリケーション機能追加ライセンス
※複数サイトの StoreOnce 間でデータを複製する機能を提供
※データ受け取り側ターゲットの台数分必要(送り側ソースには不要)
※サイト間で双方向のレプリケーションをする場合は双方に必要</v>
          </cell>
        </row>
        <row r="10299">
          <cell r="A10299" t="str">
            <v>BB886A</v>
          </cell>
          <cell r="B10299" t="str">
            <v>StoreOnce 4700 Replication 使用権</v>
          </cell>
          <cell r="C10299" t="str">
            <v>StoreOnce  4ディスi00 Replicatio
※ホットプラグ対応 ce  47SAS HDD / SAS SSD を最大 12 台搭載可能
※HDD ベイ用ブランクパネル 8 個標準添付</v>
          </cell>
        </row>
        <row r="10300">
          <cell r="A10300" t="str">
            <v>BB887A</v>
          </cell>
          <cell r="B10300" t="str">
            <v>StoreOnce 2000/3000 Catalyst LTU</v>
          </cell>
          <cell r="C10300" t="str">
            <v>HPE StoreOnce 2000/3000 用連携型重複排除機能追加ライセンス
※バックアップソフトウェアと連携し重複排除処理をサーバーにオフロード
※Catalyst に対応するバックアップソフトウェアまたはアプリケーションが必要
※Catalyst ストア間の複製をサポート(レプリケーション使用権は不要、ただし送信側、受信側両方にライセンスが必要)</v>
          </cell>
        </row>
        <row r="10301">
          <cell r="A10301" t="str">
            <v>BB888A</v>
          </cell>
          <cell r="B10301" t="str">
            <v>StoreOnce 4200/4500/5100 Catalyst LTU</v>
          </cell>
          <cell r="C10301" t="str">
            <v>HPE StoreOnce 4200/4500/5100 用連携型重複排除機能追加ライセンス
※バックアップソフトウェアと連携し重複排除処理をサーバーにオフロード
※Catalyst に対応するバックアップソフトウェアまたはアプリケーションが必要
※Catalyst ストア間の複製をサポート(レプリケーション使用権は不要、ただし送信側、受信側両方にライセンスが必要)</v>
          </cell>
        </row>
        <row r="10302">
          <cell r="A10302" t="str">
            <v>BB889A</v>
          </cell>
          <cell r="B10302" t="str">
            <v>StoreOnce 4400/4700 Catalyst 使用権</v>
          </cell>
          <cell r="C10302" t="str">
            <v>StoreOnce  4ディスa00/4700 Catalys
※ホットプラグ対応 ce  44SAS HDD / SAS SSD を最大 12 台搭載可能
※HDD ベイ用ブランクパネル 8 個標準添付</v>
          </cell>
        </row>
        <row r="10303">
          <cell r="A10303" t="str">
            <v>BB891A</v>
          </cell>
          <cell r="B10303" t="str">
            <v>StoreOnce 2000/3000 Security Pack LTU</v>
          </cell>
          <cell r="C10303" t="str">
            <v>HPE StoreOnce 2000/3000 用セキュリティ機能追加ライセンス
※保存データの暗号化とセキュアなデータ消去の機能を提供</v>
          </cell>
        </row>
        <row r="10304">
          <cell r="A10304" t="str">
            <v>BB892A</v>
          </cell>
          <cell r="B10304" t="str">
            <v>StoreOnce 4200/4500/5100 Security P LTU</v>
          </cell>
          <cell r="C10304" t="str">
            <v>HPE StoreOnce 4200/4500/5100 用セキュリティ機能追加ライセンス
※保存データの暗号化とセキュアなデータ消去の機能を提供</v>
          </cell>
        </row>
        <row r="10305">
          <cell r="A10305" t="str">
            <v>BB893A</v>
          </cell>
          <cell r="B10305" t="str">
            <v>StoreOnce 4400/4700 Security Pack LTU</v>
          </cell>
          <cell r="C10305" t="str">
            <v>StoreOnce  4ディスt00/4700 Security Pac
※ホットプラグ対応 ce  44SAS HDD / SAS SSD を最大 12 台搭載可能
※HDD ベイ用ブランクパネル 8 個標準添付</v>
          </cell>
        </row>
        <row r="10306">
          <cell r="A10306" t="str">
            <v>BB909A</v>
          </cell>
          <cell r="B10306" t="str">
            <v>StoreOnce 4500 48TB Upgrade Kit</v>
          </cell>
          <cell r="C10306" t="str">
            <v>StoreOnce  4ディスU00 48TB Upgrad
※ホットプラグ対応 ce  45SAS HDD / SAS SSD を最大 12 台搭載可能
※HDD ベイ用ブランクパネル 8 個標準添付</v>
          </cell>
        </row>
        <row r="10307">
          <cell r="A10307" t="str">
            <v>BB911A</v>
          </cell>
          <cell r="B10307" t="str">
            <v>StoreOnce 2900 24TB Expansion Kit</v>
          </cell>
          <cell r="C10307" t="str">
            <v>StoreOnce  2ディスp00 24TB Expansio
※ホットプラグ対応 ce  29SAS HDD / SAS SSD を最大 12 台搭載可能
※HDD ベイ用ブランクパネル 8 個標準添付</v>
          </cell>
        </row>
        <row r="10308">
          <cell r="A10308" t="str">
            <v>BB913A</v>
          </cell>
          <cell r="B10308" t="str">
            <v>HPE StoreOnce 3100 8TB System</v>
          </cell>
          <cell r="C10308" t="str">
            <v>※iSCSI 接続(1GbE×4 ポート)
※使用可能容量 5.5TB (2TB×4 台搭載)
※Cat 5e ネットワーク ケーブル(3m)×2 本添付
※200V 用 IEC320 C13-C14 電源コード(2m)、100V 用 NEMA5-15P 電源コード(3.6m) 各 1 本標準添付
※重複排除標準対応</v>
          </cell>
        </row>
        <row r="10309">
          <cell r="A10309" t="str">
            <v>BB914A</v>
          </cell>
          <cell r="B10309" t="str">
            <v>HPE StoreOnce 3540 24TB System</v>
          </cell>
          <cell r="C10309" t="str">
            <v>※iSCSI 接続(1GbE×4 ポート)
※使用可能容量 15.5TB (4TB×12 台搭載)
※Cat 5e ネットワーク ケーブル(3m)×2 本添付
※200V 用 IEC320 C13-C14 電源コード(2m)、100V 用 NEMA5-15P 電源コード(3.6m) 各 2 本標準添付
※リダンダント パワーサプライ標準搭載
※重複排除標準対応</v>
          </cell>
        </row>
        <row r="10310">
          <cell r="A10310" t="str">
            <v>BB915A</v>
          </cell>
          <cell r="B10310" t="str">
            <v>HPE StoreOnce 5100 48TB System</v>
          </cell>
          <cell r="C10310" t="str">
            <v>※iSCSI 接続(1GbE×4 ポート)
※使用可能容量 36TB (4TB×12 台搭載)
※Cat 5e ネットワーク ケーブル(3m)×2 本添付
※200V 用 IEC320 C13-C14 電源コード(2m)、100V 用 NEMA5-15P 電源コード(3.6m) 各 2 本標準添付
※リダンダント パワーサプライ標準搭載
※重複排除標準対応</v>
          </cell>
        </row>
        <row r="10311">
          <cell r="A10311" t="str">
            <v>BB916A</v>
          </cell>
          <cell r="B10311" t="str">
            <v>HPE StoreOnce 5100 48TB 容量拡張キット</v>
          </cell>
          <cell r="C10311" t="str">
            <v>HPE StoreOnce 5100 用ディスク拡張オプション
※使用可能容量 36TB (4TB×12 台搭載)
※200V 用 IEC320 C13-C14 電源コード(0.7m)、100V 用 NEMA5-15P 電源コード(3.6m) 各 2 本添付
※リダンダント パワーサプライ標準搭載</v>
          </cell>
        </row>
        <row r="10312">
          <cell r="A10312" t="str">
            <v>BB922A</v>
          </cell>
          <cell r="B10312" t="str">
            <v>HPE StoreOnce 3520 12TB System</v>
          </cell>
          <cell r="C10312" t="str">
            <v>※iSCSI 接続(1GbE×4 ポート)
※使用可能容量 7.5TB (2TB×12 台搭載)
※Cat 5e ネットワーク ケーブル(3m)×2 本添付
※200V 用 IEC320 C13-C14 電源コード(2m)、100V 用 NEMA5-15P 電源コード(3.6m) 各 2 本標準添付
※リダンダント パワーサプライ標準搭載
※重複排除標準対応</v>
          </cell>
        </row>
        <row r="10313">
          <cell r="A10313" t="str">
            <v>BB926A</v>
          </cell>
          <cell r="B10313" t="str">
            <v>HPE StoreOnce 10GbE Network カード</v>
          </cell>
          <cell r="C10313" t="str">
            <v>StoreOnce 用 10GbE SFP+ネットワーク カード
※デュアルポート、10GbE 用 SR SFP+ モジュール×2 個付属</v>
          </cell>
        </row>
        <row r="10314">
          <cell r="A10314" t="str">
            <v>BB927A</v>
          </cell>
          <cell r="B10314" t="str">
            <v>HPE StoreOnce 10GbE-T Network カード</v>
          </cell>
          <cell r="C10314" t="str">
            <v>StoreOnce 用 10GbE-T ネットワーク カード
※デュアルポート</v>
          </cell>
        </row>
        <row r="10315">
          <cell r="A10315" t="str">
            <v>BB928A</v>
          </cell>
          <cell r="B10315" t="str">
            <v>HPE StoreOnce 8Gb FC Network カード</v>
          </cell>
          <cell r="C10315" t="str">
            <v>StoreOnce 用 8Gb FC ネットワーク カード
※デュアルポート、8Gb 短波長 SFP+ ×2 付属</v>
          </cell>
        </row>
        <row r="10316">
          <cell r="A10316" t="str">
            <v>BB943A</v>
          </cell>
          <cell r="B10316" t="str">
            <v>HPE StoreOnce 3540 24TB 容量拡張 LTU</v>
          </cell>
          <cell r="C10316" t="str">
            <v>HPE StoreOnce 3540 用ディスク拡張ライセンス
※使用可能容量を合計 31.5TB に拡張</v>
          </cell>
        </row>
        <row r="10317">
          <cell r="A10317" t="str">
            <v>BB944A</v>
          </cell>
          <cell r="B10317" t="str">
            <v>HPE StoreOnce 3520 12TB 容量拡張 LTU</v>
          </cell>
          <cell r="C10317" t="str">
            <v>HPE StoreOnce 3520 用ディスク拡張ライセンス
※使用可能容量を合計 15.5TB に拡張</v>
          </cell>
        </row>
        <row r="10318">
          <cell r="A10318" t="str">
            <v>BB945A</v>
          </cell>
          <cell r="B10318" t="str">
            <v>HPE StoreOnce 5100 48TB  容量拡張 LTU</v>
          </cell>
          <cell r="C10318" t="str">
            <v>容量拡張キット用ライセンス</v>
          </cell>
        </row>
        <row r="10319">
          <cell r="A10319" t="str">
            <v>BB949A</v>
          </cell>
          <cell r="B10319" t="str">
            <v>HPE StoreOnce 10GbE Network 拡張 LTU</v>
          </cell>
          <cell r="C10319" t="str">
            <v>10GbE SFP+ネットワーク カード用ライセンス</v>
          </cell>
        </row>
        <row r="10320">
          <cell r="A10320" t="str">
            <v>BB950A</v>
          </cell>
          <cell r="B10320" t="str">
            <v>HPE StoreOnce 10GbE-T Network 拡張LTU</v>
          </cell>
          <cell r="C10320" t="str">
            <v>10GbE-T ネットワーク カード用ライセンス</v>
          </cell>
        </row>
        <row r="10321">
          <cell r="A10321" t="str">
            <v>BB951A</v>
          </cell>
          <cell r="B10321" t="str">
            <v>HPE StoreOnce 8Gb FC Network 拡張 LTU</v>
          </cell>
          <cell r="C10321" t="str">
            <v>8Gb FC ネットワーク カード用ライセンス</v>
          </cell>
        </row>
        <row r="10322">
          <cell r="A10322" t="str">
            <v>BC025A</v>
          </cell>
          <cell r="B10322" t="str">
            <v>StoreOnce 31/35xx メモリ拡張キット</v>
          </cell>
          <cell r="C10322" t="str">
            <v>※Cloud Bank 専用のオプション
※StoreOnce 3100 / 3520 / 3540 用のメモリ拡張キット
（Cloud Bank の機能を利用する場合はメモリ拡張キットの追加を推奨）</v>
          </cell>
        </row>
        <row r="10323">
          <cell r="A10323" t="str">
            <v>BC026A</v>
          </cell>
          <cell r="B10323" t="str">
            <v>StoreOnce 5100 メモリ拡張キット</v>
          </cell>
          <cell r="C10323" t="str">
            <v>※Cloud Bank 専用のオプション
※StoreOnce 5100 用のメモリ拡張キット
（Cloud Bank の機能を利用する場合はメモリ拡張キットの追加を推奨）</v>
          </cell>
        </row>
        <row r="10324">
          <cell r="A10324" t="str">
            <v>D4U75A</v>
          </cell>
          <cell r="B10324" t="str">
            <v>StoreOnce Recovery Mgr Central 使用権</v>
          </cell>
          <cell r="C10324" t="str">
            <v>HP StoreOnce Recovery Manager Central ライセンス
※仮想マシン上でアレイ snapshot から StoreOnce への連携バックアップ機能を提供
(スナップショット作成･管理、Express Protect、スケジューリング、レポーティング)</v>
          </cell>
        </row>
        <row r="10325">
          <cell r="A10325" t="str">
            <v>D4U76A</v>
          </cell>
          <cell r="B10325" t="str">
            <v>StoreOnce Recovery Mgr Central メディア</v>
          </cell>
          <cell r="C10325" t="str">
            <v>RMC、RMC-V および RMC-S のメディアキット
※90 日間のメディア保証</v>
          </cell>
        </row>
        <row r="10326">
          <cell r="A10326" t="str">
            <v>Q8J92A</v>
          </cell>
          <cell r="B10326" t="str">
            <v>StoreOnce Cloud Bank RW 1TB LTU</v>
          </cell>
          <cell r="C10326" t="str">
            <v>※StoreOnce 上のデータを商用クラウド上のストアに複製する機能を利用するライセンス
※クラウド上のストア 1TB あたりに 1 つライセンスが必要</v>
          </cell>
        </row>
        <row r="10327">
          <cell r="A10327" t="str">
            <v>Q8J93A</v>
          </cell>
          <cell r="B10327" t="str">
            <v>StoreOnce Cloud Bank Detach 1TB LTU</v>
          </cell>
          <cell r="C10327" t="str">
            <v>※Cloud Bank の機能を拡張し、ストアを切断、再接続可能にするライセンス
※クラウド上のストア 1TB あたりに 1 つライセンスが必要</v>
          </cell>
        </row>
        <row r="10328">
          <cell r="A10328" t="str">
            <v>AJ820C</v>
          </cell>
          <cell r="B10328" t="str">
            <v>Brocade 8/12c SAN Switch for BladeSystem</v>
          </cell>
          <cell r="C10328" t="str">
            <v>BladeSystem c-Class 専用の Brocade 製 8Gb SAN スイッチ 12 ポート Full Fabric モデル
※内部/外部ポートを合わせて 12 ポートまで使用可能(12 ポートのうち内部サーバー用/外部のポート割り当ては変更可能)
※内部ポートは 4/8Gb/s 自動検知サーバーポート、外部ポートは 2/4/8Gb/s 自動検知(SFP トランシーバーが必要)
※8Gb 短波長 SFP+トランシーバー×2 個標準添付</v>
          </cell>
        </row>
        <row r="10329">
          <cell r="A10329" t="str">
            <v>AJ821C</v>
          </cell>
          <cell r="B10329" t="str">
            <v>Brocade 8/24c SAN Switch for BladeSystem</v>
          </cell>
          <cell r="C10329" t="str">
            <v>BladeSystem c-Class 専用の Brocade 製 8Gb SAN スイッチ 24 ポート Full Fabric モデル
※内部ポート：4/8Gb/s 自動検知サーバーポート×16
※外部ポート：2/4/8Gb/s 自動検知ポート×8
※8Gb 短波長 SFP+トランシーバー×4 個標準添付(最大 8 個の SFP トランシーバーを搭載可能)</v>
          </cell>
        </row>
        <row r="10330">
          <cell r="A10330" t="str">
            <v>AJ822C</v>
          </cell>
          <cell r="B10330" t="str">
            <v>Brocade 8/24c Power Pk+ SAN Swch for BL</v>
          </cell>
          <cell r="C10330" t="str">
            <v>BladeSystem c-Class 専用の Brocade 製 8Gb SAN スイッチ 24 ポート  Power Pack モデル
※内部ポート：4/8Gb/s 自動検知サーバーポート×16
※外部ポート：2/4/8Gb/s 自動検知ポート×8
※8Gb 短波長 SFP+トランシーバー×4 個標準添付(最大 8 個の SFP トランシーバーを搭載可能)</v>
          </cell>
        </row>
        <row r="10331">
          <cell r="A10331" t="str">
            <v>BK763A</v>
          </cell>
          <cell r="B10331" t="str">
            <v>6Gb/s SAS BL スイッチ</v>
          </cell>
          <cell r="C10331" t="str">
            <v>BladeSystem c-Class 専用 6Gb SAS スイッチ インターコネクトモジュール x 1台
※内部 6Gb x2 SAS ポート(サーバーポート)×16
※外部 6Gb x4 MiniSAS ポート(SFF8088)×8 個装備</v>
          </cell>
        </row>
        <row r="10332">
          <cell r="A10332" t="str">
            <v>BK764A</v>
          </cell>
          <cell r="B10332" t="str">
            <v>6Gb/s SAS BL スイッチ (デュアルパック)</v>
          </cell>
          <cell r="C10332" t="str">
            <v>BladeSystem c-Class 専用 6Gb SAS スイッチ インターコネクトモジュール ｘ 2台(以下は1台あたりの仕様)
※内部 6Gb x2 SAS ポート(サーバーポート)×16
※外部 6Gb x4 MiniSAS ポート(SFF8088)×8 個装備</v>
          </cell>
        </row>
        <row r="10333">
          <cell r="A10333" t="str">
            <v>C8S45A</v>
          </cell>
          <cell r="B10333" t="str">
            <v>c-Class Brocade 16Gb/16 SANスイッチ</v>
          </cell>
          <cell r="C10333" t="str">
            <v>BladeSystem c-Class 専用の Brocade 製 16Gb SAN スイッチ 16 ポート Full Fabric モデル
※内部/外部ポートを合わせて 16 ポートまで使用可能(16 ポートのうち内部サーバー用/外部のポート割り当ては変更可能)
※内部ポートは 8/16Gb/s 自動検知サーバーポート
※外部ポートは 4/8/16Gb/s 自動検知(SFP トランシーバーが必要)
※SFP は未添付(最大 12 個の SFP トランシーバーを搭載可能)</v>
          </cell>
        </row>
        <row r="10334">
          <cell r="A10334" t="str">
            <v>C8S46A</v>
          </cell>
          <cell r="B10334" t="str">
            <v>c-Class Brocade 16Gb/28 SANスイッチ</v>
          </cell>
          <cell r="C10334" t="str">
            <v>BladeSystem c-Class 専用の Brocade 製 16Gb SAN スイッチ 28 ポート Full Fabric モデル
※内部ポート：8/16Gb/s 自動検知サーバーポート×16
※外部ポート：4/8/16Gb/s 自動検知ポート×12 (SFP トランシーバーが必要)を標準装備
※SFP は未添付(最大 12 個の SFP トランシーバーを搭載可能)</v>
          </cell>
        </row>
        <row r="10335">
          <cell r="A10335" t="str">
            <v>C8S47A</v>
          </cell>
          <cell r="B10335" t="str">
            <v>c-Class Brocade 16Gb/28 SANスイッチ PP+</v>
          </cell>
          <cell r="C10335" t="str">
            <v>BladeSystem c-Class 専用の Brocade 製 16Gb SAN スイッチ 28 ポート Power Pack モデル
※内部ポート：8/16Gb/s 自動検知サーバーポート×16
※外部ポート：4/8/16Gb/s 自動検知ポート×12 (SFP トランシーバーが必要)を標準装備
※SFP は未添付(最大 12 個の SFP トランシーバーを搭載可能)</v>
          </cell>
        </row>
        <row r="10336">
          <cell r="A10336" t="str">
            <v>D4U69A</v>
          </cell>
          <cell r="B10336" t="str">
            <v>BRCD 16Gb FC SW 12p LTU for Synergy</v>
          </cell>
          <cell r="C10336" t="str">
            <v>Synergy Brocade 16Gb FC スイッチ モジュールで合計のリンク ポート数を 12 リンク分アップグレードする為のライセンス</v>
          </cell>
        </row>
        <row r="10337">
          <cell r="A10337" t="str">
            <v>K2Q23A</v>
          </cell>
          <cell r="B10337" t="str">
            <v>D6020 Dual I/O Module Option Kit</v>
          </cell>
          <cell r="C10337" t="str">
            <v>D6020 をデュアル ドメイン構成にするオプション
※D6020 デュアル I/O モジュール×2 個組</v>
          </cell>
        </row>
        <row r="10338">
          <cell r="A10338" t="str">
            <v>K2Q28A</v>
          </cell>
          <cell r="B10338" t="str">
            <v>D6020 Enclosure with Dual IO Mod</v>
          </cell>
          <cell r="C10338" t="str">
            <v>D6020 ディスクエンクロージャー
※ホットプラグ対応 LFF(3.5 インチ)SAS の HDD / SSD を最大 70 台搭載可能
※100/200V 対応リダンダント パワーサプライ×4 個標準搭載 (最大)
※リダンダント ファン×4 個標準搭載 (最大)</v>
          </cell>
        </row>
        <row r="10339">
          <cell r="A10339" t="str">
            <v>K2Q83A</v>
          </cell>
          <cell r="B10339" t="str">
            <v>Brocade 16Gb/12 FC Switch Module</v>
          </cell>
          <cell r="C10339" t="str">
            <v>Synergy フレーム専用の Brocade 16Gb FC スイッチ モジュール 12 ポート モデル
※内部コンピュート モジュール側ダウンリンク：16Gb FC×12 ポート
※外部アップリンク ポート：16Gb/s SFP+ポート×8、QSFP+ (4x16Gb) ポート×4、合計 24 リンク ポート
※4/8/16Gb FC 自動検知 (QSFP+ または SFP+トランシーバーが必要)
※内部/外部ポートを合わせて 12 リンク ポートまで使用可能
(12 リンク ポートのうち内部サーバー用/外部のポート割り当ては変更可能)</v>
          </cell>
        </row>
        <row r="10340">
          <cell r="A10340" t="str">
            <v>K2Q84A</v>
          </cell>
          <cell r="B10340" t="str">
            <v>Brocade 16Gb/24 FC Switch Module</v>
          </cell>
          <cell r="C10340" t="str">
            <v>Synergy フレーム専用の Brocade 16Gb FC スイッチ モジュール 24 ポート モデル
※内部コンピュート モジュール側ダウンリンク：16Gb FC×12 ポート
※外部アップリンク ポート：16Gb/s SFP+ポート×8、QSFP+ (4x16Gb) ポート×4、合計 24 リンク ポート
※4/8/16Gb FC 自動検知 (QSFP+ または SFP+トランシーバーが必要)
※内部/外部ポートを合わせて 24 リンク ポートまで使用可能
(24 リンク ポートのうち内部サーバー用/外部のポート割り当ては変更可能)</v>
          </cell>
        </row>
        <row r="10341">
          <cell r="A10341" t="str">
            <v>K2Q86A</v>
          </cell>
          <cell r="B10341" t="str">
            <v>Brocade 16Gb/24 FC Switch Module Pwr Pk</v>
          </cell>
          <cell r="C10341" t="str">
            <v>Synergy フレーム専用の Brocade 16Gb FC スイッチ モジュール 24 ポート モデル  Power Pack+モデル
※内部コンピュート モジュール側ダウンリンク：16Gb FC×12 ポート
※外部アップリンク ポート：16Gb/s SFP+ポート×8、QSFP+ (4x16Gb) ポート×4、合計 24 リンク ポート
※4/8/16Gb FC 自動検知 (QSFP+ または SFP+トランシーバーが必要)
※内部/外部ポートを合わせて 24 リンク ポートまで使用可能
(24 リンク ポートのうち内部サーバー用/外部のポート割り当ては変更可能)</v>
          </cell>
        </row>
        <row r="10342">
          <cell r="A10342" t="str">
            <v>P8Y54A</v>
          </cell>
          <cell r="B10342" t="str">
            <v>D6020 1.6TB 12G SAS 3.5型 MU SSD</v>
          </cell>
          <cell r="C10342" t="str">
            <v>RAID 実効容量約</v>
          </cell>
        </row>
        <row r="10343">
          <cell r="A10343" t="str">
            <v>P8Y55A</v>
          </cell>
          <cell r="B10343" t="str">
            <v>D6020 800GB 12G SAS 3.5型 MU SSD</v>
          </cell>
          <cell r="C10343" t="str">
            <v>RAID 実効容量約</v>
          </cell>
        </row>
        <row r="10344">
          <cell r="A10344" t="str">
            <v>P8Y58A</v>
          </cell>
          <cell r="B10344" t="str">
            <v>D6020 400GB 12G SAS 3.5型 MU SSD</v>
          </cell>
          <cell r="C10344" t="str">
            <v>RAID 実効容量約</v>
          </cell>
        </row>
        <row r="10345">
          <cell r="A10345" t="str">
            <v>QW917A</v>
          </cell>
          <cell r="B10345" t="str">
            <v>D2220sb</v>
          </cell>
          <cell r="C10345" t="str">
            <v>ストレージブレード
※内部に Smart アレイ P420i/2G FBWC コントローラーを搭載
※HDD / SSD を最大 12 台搭載可能</v>
          </cell>
        </row>
        <row r="10346">
          <cell r="A10346" t="str">
            <v>T5517A</v>
          </cell>
          <cell r="B10346" t="str">
            <v>BladeSystem SAN Switch 8/12 12pt Upg LTU</v>
          </cell>
          <cell r="C10346" t="str">
            <v>BladeSystem c-Class Brocade SAN スイッチ 8/12 を 12 ポートから 24 ポートにアップグレードする為のライセンス</v>
          </cell>
        </row>
        <row r="10347">
          <cell r="A10347" t="str">
            <v>B7B64A</v>
          </cell>
          <cell r="B10347" t="str">
            <v>RDX500 USB3.0 ディスクバックアップ(内蔵)</v>
          </cell>
          <cell r="C10347" t="str">
            <v>USB 3.0 対応
※500GB RDX カートリッジ１本標準添付</v>
          </cell>
        </row>
        <row r="10348">
          <cell r="A10348" t="str">
            <v>B7B66B</v>
          </cell>
          <cell r="B10348" t="str">
            <v>RDX+ 500 USB3.0 Disk Backup Sys (外付型)</v>
          </cell>
          <cell r="C10348" t="str">
            <v>※USB 3.0 対応、バスパワー方式
※RDX+ドッキング ステーション(外付型)
※500GB RDX カートリッジ１本標準添付
※USB Y ケーブル(1.5m)１本標準添付</v>
          </cell>
        </row>
        <row r="10349">
          <cell r="A10349" t="str">
            <v>B7B67A</v>
          </cell>
          <cell r="B10349" t="str">
            <v>RDX1TB USB3.0 ディスクバックアップ(内蔵)</v>
          </cell>
          <cell r="C10349" t="str">
            <v>USB 3.0 対応
※1TB RDX カートリッジ１本標準添付</v>
          </cell>
        </row>
        <row r="10350">
          <cell r="A10350" t="str">
            <v>B7B69B</v>
          </cell>
          <cell r="B10350" t="str">
            <v>RDX+ 1TB USB3.0 Disk Backup Sys (外付型)</v>
          </cell>
          <cell r="C10350" t="str">
            <v>※USB 3.0 対応、バスパワー方式
※RDX+ドッキング ステーション(外付型)
※1TB RDX カートリッジ１本標準添付
※USB Y ケーブル(1.5m)１本標準添付</v>
          </cell>
        </row>
        <row r="10351">
          <cell r="A10351" t="str">
            <v>C7973A</v>
          </cell>
          <cell r="B10351" t="str">
            <v>LTO3 Ultrium 800GB RW Cartridge</v>
          </cell>
          <cell r="C10351" t="str">
            <v>400GB / 800GB 対応カートリッジ、1 巻</v>
          </cell>
        </row>
        <row r="10352">
          <cell r="A10352" t="str">
            <v>C7973AN</v>
          </cell>
          <cell r="B10352" t="str">
            <v>LTO3 Ultrium 800GB 20 Pack (wBL)</v>
          </cell>
          <cell r="C10352" t="str">
            <v>バーコードラベル貼付済みの 400GB / 800GB 対応カートリッジ、20巻
※クリーニングカートリッジ用ラベル 5 枚添付</v>
          </cell>
        </row>
        <row r="10353">
          <cell r="A10353" t="str">
            <v>C7973W</v>
          </cell>
          <cell r="B10353" t="str">
            <v>LTO3 Ultrium 800GB WORM Cartridge</v>
          </cell>
          <cell r="C10353" t="str">
            <v>400GB / 800GB 対応カートリッジ、1 巻
※一度書き込んだデータの変更・削除不可</v>
          </cell>
        </row>
        <row r="10354">
          <cell r="A10354" t="str">
            <v>C7974A</v>
          </cell>
          <cell r="B10354" t="str">
            <v>LTO4 Ultrium 1.6TB RW Cartridge</v>
          </cell>
          <cell r="C10354" t="str">
            <v>800GB / 1.6TB 対応カートリッジ、1 巻</v>
          </cell>
        </row>
        <row r="10355">
          <cell r="A10355" t="str">
            <v>C7974AN</v>
          </cell>
          <cell r="B10355" t="str">
            <v>LTO4 Ultrium 1.6TB 20 Pack (wBL)</v>
          </cell>
          <cell r="C10355" t="str">
            <v>バーコードラベル貼付済みの 800GB / 1.6TB 対応カートリッジ、20巻
※クリーニングカートリッジ用ラベル 5 枚添付</v>
          </cell>
        </row>
        <row r="10356">
          <cell r="A10356" t="str">
            <v>C7974W</v>
          </cell>
          <cell r="B10356" t="str">
            <v>LTO4 Ultrium 1.6TB WORM Cartridge</v>
          </cell>
          <cell r="C10356" t="str">
            <v>800GB/1.6TB 対応カートリッジ、1 巻
※一度書き込んだデータの変更・削除不可</v>
          </cell>
        </row>
        <row r="10357">
          <cell r="A10357" t="str">
            <v>C7975A</v>
          </cell>
          <cell r="B10357" t="str">
            <v>LTO5 Ultrium 3TB RW データカートリッジ</v>
          </cell>
          <cell r="C10357" t="str">
            <v>1.5TB / 3TB 対応カートリッジ、1 巻</v>
          </cell>
        </row>
        <row r="10358">
          <cell r="A10358" t="str">
            <v>C7975AN</v>
          </cell>
          <cell r="B10358" t="str">
            <v>LTO5 Ultrium 3TB 20 Pack (wBL)</v>
          </cell>
          <cell r="C10358" t="str">
            <v>バーコードラベル貼付済みの 1.5TB / 3TB 対応カートリッジ、20巻
※クリーニングカートリッジ用ラベル 5 枚添付</v>
          </cell>
        </row>
        <row r="10359">
          <cell r="A10359" t="str">
            <v>C7975W</v>
          </cell>
          <cell r="B10359" t="str">
            <v>LTO5 Ultrium 3TB WORM Cartridge</v>
          </cell>
          <cell r="C10359" t="str">
            <v>1.5TB / 3TB 対応カートリッジ、1 巻
※一度書き込んだデータの変更・削除不可</v>
          </cell>
        </row>
        <row r="10360">
          <cell r="A10360" t="str">
            <v>C7976A</v>
          </cell>
          <cell r="B10360" t="str">
            <v>LTO6 Ultrium 6.25TB RW Data Cartridge</v>
          </cell>
          <cell r="C10360" t="str">
            <v>2.5TB / 6.25TB 対応カートリッジ、1 巻</v>
          </cell>
        </row>
        <row r="10361">
          <cell r="A10361" t="str">
            <v>C7976AN</v>
          </cell>
          <cell r="B10361" t="str">
            <v>LTO6 Ultrium 6.25TB RW 20 Pack (wBL)</v>
          </cell>
          <cell r="C10361" t="str">
            <v>バーコードラベル貼付済みの 2.5TB / 6.25TB 対応カートリッジ、20巻
※クリーニングカートリッジ用ラベル 5 枚添付</v>
          </cell>
        </row>
        <row r="10362">
          <cell r="A10362" t="str">
            <v>C7976W</v>
          </cell>
          <cell r="B10362" t="str">
            <v>LTO6 Ultrium 6.25TB WORM Data Cartridge</v>
          </cell>
          <cell r="C10362" t="str">
            <v>2.5TB / 6.25TB 対応カートリッジ、1 巻
※一度書き込んだデータの変更・削除不可</v>
          </cell>
        </row>
        <row r="10363">
          <cell r="A10363" t="str">
            <v>C7977A</v>
          </cell>
          <cell r="B10363" t="str">
            <v>LTO7 Ultrium 15TB RW データカートリッジ</v>
          </cell>
          <cell r="C10363" t="str">
            <v>6TB / 15TB 対応カートリッジ、1 巻</v>
          </cell>
        </row>
        <row r="10364">
          <cell r="A10364" t="str">
            <v>C7977AN</v>
          </cell>
          <cell r="B10364" t="str">
            <v>LTO7 15TB 20巻パック(バーコードラベル付)</v>
          </cell>
          <cell r="C10364" t="str">
            <v>バーコードラベル貼付済みの 6TB / 15TB 対応カートリッジ、20巻
※クリーニングカートリッジ用ラベル 5 枚添付</v>
          </cell>
        </row>
        <row r="10365">
          <cell r="A10365" t="str">
            <v>C7977W</v>
          </cell>
          <cell r="B10365" t="str">
            <v>LTO7 15TB WORM データカートリッジ</v>
          </cell>
          <cell r="C10365" t="str">
            <v>6TB / 15TB 対応カートリッジ、1 巻
※一度書き込んだデータの変更・削除不可</v>
          </cell>
        </row>
        <row r="10366">
          <cell r="A10366" t="str">
            <v>C7978A</v>
          </cell>
          <cell r="B10366" t="str">
            <v>LTO Universal Cleaning Cartridge</v>
          </cell>
          <cell r="C10366" t="str">
            <v>クリーニングカートリッジ、1 巻</v>
          </cell>
        </row>
        <row r="10367">
          <cell r="A10367" t="str">
            <v>C8S06A</v>
          </cell>
          <cell r="B10367" t="str">
            <v>RDX USB 3.0 Docking Station (内蔵型)</v>
          </cell>
          <cell r="C10367" t="str">
            <v>USB 3.0 対応
※カートリッジ未添付</v>
          </cell>
        </row>
        <row r="10368">
          <cell r="A10368" t="str">
            <v>C8S07B</v>
          </cell>
          <cell r="B10368" t="str">
            <v>RDX+ USB 3.0 Docking Station (外付型)</v>
          </cell>
          <cell r="C10368" t="str">
            <v>※USB 3.0 対応、バスパワー方式
※RDX+ドッキング ステーション(外付型)
※カートリッジ未添付
※USB Y ケーブル(1.5m)１本標準添付</v>
          </cell>
        </row>
        <row r="10369">
          <cell r="A10369" t="str">
            <v>E7X52A</v>
          </cell>
          <cell r="B10369" t="str">
            <v>RDX 2TB USB3.0 Disk Backup (内蔵型)</v>
          </cell>
          <cell r="C10369" t="str">
            <v>USB 3.0 対応
※2TB RDX カートリッジ１本標準添付</v>
          </cell>
        </row>
        <row r="10370">
          <cell r="A10370" t="str">
            <v>E7X53B</v>
          </cell>
          <cell r="B10370" t="str">
            <v>RDX+ 2TB USB3.0 Disk Backup Sys (外付型)</v>
          </cell>
          <cell r="C10370" t="str">
            <v>※USB 3.0 対応、バスパワー方式
※RDX+ドッキング ステーション(外付型)
※2TB RDX カートリッジ１本標準添付
※USB Y ケーブル(1.5m)１本標準添付</v>
          </cell>
        </row>
        <row r="10371">
          <cell r="A10371" t="str">
            <v>P9L71A</v>
          </cell>
          <cell r="B10371" t="str">
            <v>RDX 3TB USB 3.0 Disk Backup Sys (内蔵型)</v>
          </cell>
          <cell r="C10371" t="str">
            <v>USB 3.0 対応
※3TB RDX カートリッジ１本標準添付</v>
          </cell>
        </row>
        <row r="10372">
          <cell r="A10372" t="str">
            <v>P9L72A</v>
          </cell>
          <cell r="B10372" t="str">
            <v>RDX+ 3TB USB 3.0 Disk Backup Sys (外付型)</v>
          </cell>
          <cell r="C10372" t="str">
            <v>※USB 3.0 対応、バスパワー方式
※RDX+ドッキング ステーション(外付型)
※3TB RDX カートリッジ１本標準添付
※USB Y ケーブル(1.5m)１本標準添付</v>
          </cell>
        </row>
        <row r="10373">
          <cell r="A10373" t="str">
            <v>Q2007A</v>
          </cell>
          <cell r="B10373" t="str">
            <v>LTO3 Ultrium RW Barcode Label Pack</v>
          </cell>
          <cell r="C10373" t="str">
            <v>LTO3 Ultrium RW カートリッジ用バーコード ラベル 100 枚
クリーニング カートリッジ用バーコード ラベル 10 枚</v>
          </cell>
        </row>
        <row r="10374">
          <cell r="A10374" t="str">
            <v>Q2008A</v>
          </cell>
          <cell r="B10374" t="str">
            <v>LTO3 Ultrium WORM Barcode Label Pack</v>
          </cell>
          <cell r="C10374" t="str">
            <v>LTO3 Ultrium WORM カートリッジ用バーコード ラベル 100 枚
クリーニング カートリッジ用バーコード ラベル 10 枚</v>
          </cell>
        </row>
        <row r="10375">
          <cell r="A10375" t="str">
            <v>Q2009A</v>
          </cell>
          <cell r="B10375" t="str">
            <v>LTO4 Ultrium RW Barcode Label Pack</v>
          </cell>
          <cell r="C10375" t="str">
            <v>LTO4 Ultrium RW カートリッジ用バーコード ラベル 100 枚
クリーニング カートリッジ用バーコード ラベル 10 枚</v>
          </cell>
        </row>
        <row r="10376">
          <cell r="A10376" t="str">
            <v>Q2010A</v>
          </cell>
          <cell r="B10376" t="str">
            <v>LTO4 Ultrium WORM Barcode Label Pack</v>
          </cell>
          <cell r="C10376" t="str">
            <v>LTO4 Ultrium WORM カートリッジ用バーコード ラベル 100 枚
クリーニング カートリッジ用バーコード ラベル 10 枚</v>
          </cell>
        </row>
        <row r="10377">
          <cell r="A10377" t="str">
            <v>Q2011A</v>
          </cell>
          <cell r="B10377" t="str">
            <v>LTO5 Ultrium RW Barcode Label Pack</v>
          </cell>
          <cell r="C10377" t="str">
            <v>LTO5 Ultrium RW カートリッジ用バーコード ラベル 100 枚
クリーニング カートリッジ用バーコード ラベル 10 枚</v>
          </cell>
        </row>
        <row r="10378">
          <cell r="A10378" t="str">
            <v>Q2012A</v>
          </cell>
          <cell r="B10378" t="str">
            <v>LTO5 WORM Barcode Label Pack</v>
          </cell>
          <cell r="C10378" t="str">
            <v>LTO5 Ultrium WORM カートリッジ用バーコード ラベル 100 枚
クリーニング カートリッジ用バーコード ラベル 10 枚</v>
          </cell>
        </row>
        <row r="10379">
          <cell r="A10379" t="str">
            <v>Q2013A</v>
          </cell>
          <cell r="B10379" t="str">
            <v>LTO6 Ultrium RW Bar Code Label Pack</v>
          </cell>
          <cell r="C10379" t="str">
            <v>LTO6 Ultrium RW カートリッジ用バーコード ラベル 100 枚
クリーニング カートリッジ用バーコード ラベル 10 枚</v>
          </cell>
        </row>
        <row r="10380">
          <cell r="A10380" t="str">
            <v>Q2014A</v>
          </cell>
          <cell r="B10380" t="str">
            <v>LTO7 Ultrium RW バーコードラベルパック</v>
          </cell>
          <cell r="C10380" t="str">
            <v>LTO7 Ultrium RW カートリッジ用バーコード ラベル 100 枚
クリーニング カートリッジ用バーコード ラベル 10 枚</v>
          </cell>
        </row>
        <row r="10381">
          <cell r="A10381" t="str">
            <v>Q2015A</v>
          </cell>
          <cell r="B10381" t="str">
            <v>LTO8 Ultrium RW バーコードラベルパック</v>
          </cell>
          <cell r="C10381" t="str">
            <v>LTO8 Ultrium RW カートリッジ用バーコード ラベル 100 枚
クリーニング カートリッジ用バーコード ラベル 10 枚</v>
          </cell>
        </row>
        <row r="10382">
          <cell r="A10382" t="str">
            <v>Q2020A</v>
          </cell>
          <cell r="B10382" t="str">
            <v>SDLT II 600GB Cartridge</v>
          </cell>
          <cell r="C10382" t="str">
            <v>SDLT II 60 0ディスBB Cart
※ホットプラグ対応  60 0GSAS HDD / SAS SSD を最大 12 台搭載可能
※HDD ベイ用ブランクパネル 8 個標準添付</v>
          </cell>
        </row>
        <row r="10383">
          <cell r="A10383" t="str">
            <v>Q2042A</v>
          </cell>
          <cell r="B10383" t="str">
            <v>RDX500GBリムーバブルディスクカートリッジ</v>
          </cell>
          <cell r="C10383" t="str">
            <v>500GB RDX カートリッジ 1本</v>
          </cell>
        </row>
        <row r="10384">
          <cell r="A10384" t="str">
            <v>Q2044A</v>
          </cell>
          <cell r="B10384" t="str">
            <v>RDX1TB リムーバブルディスクカートリッジ</v>
          </cell>
          <cell r="C10384" t="str">
            <v>1TB RDX カートリッジ 1本</v>
          </cell>
        </row>
        <row r="10385">
          <cell r="A10385" t="str">
            <v>Q2046A</v>
          </cell>
          <cell r="B10385" t="str">
            <v>RDX 2TB リムーバブルディスクカートリッジ</v>
          </cell>
          <cell r="C10385" t="str">
            <v>2TB RDX カートリッジ 1本</v>
          </cell>
        </row>
        <row r="10386">
          <cell r="A10386" t="str">
            <v>Q2047A</v>
          </cell>
          <cell r="B10386" t="str">
            <v>RDX 3TB リムーバブルディスクカートリッジ</v>
          </cell>
          <cell r="C10386" t="str">
            <v>3TB RDX カートリッジ 1本</v>
          </cell>
        </row>
        <row r="10387">
          <cell r="A10387" t="str">
            <v>Q2048A</v>
          </cell>
          <cell r="B10387" t="str">
            <v>RDX 4TB リムーバブルディスクカートリッジ</v>
          </cell>
          <cell r="C10387" t="str">
            <v>4TB RDX カートリッジ 1本</v>
          </cell>
        </row>
        <row r="10388">
          <cell r="A10388" t="str">
            <v>Q2078A</v>
          </cell>
          <cell r="B10388" t="str">
            <v>LTO8 Ultrium 30TB RW データカートリッジ</v>
          </cell>
          <cell r="C10388" t="str">
            <v>12TB / 30TB 対応カートリッジ、1 巻</v>
          </cell>
        </row>
        <row r="10389">
          <cell r="A10389" t="str">
            <v>Q2078AN</v>
          </cell>
          <cell r="B10389" t="str">
            <v>LTO8 30TB 20巻パック(バーコードラベル付)</v>
          </cell>
          <cell r="C10389" t="str">
            <v>バーコードラベル貼付済みの 12TB / 30TB 対応カートリッジ、20巻
※クリーニングカートリッジ用ラベル 5 枚添付</v>
          </cell>
        </row>
        <row r="10390">
          <cell r="A10390" t="str">
            <v>Q2078W</v>
          </cell>
          <cell r="B10390" t="str">
            <v>LTO8 30TB WORM データカートリッジ</v>
          </cell>
          <cell r="C10390" t="str">
            <v>12TB / 30TB 対応カートリッジ、1 巻
※一度書き込んだデータの変更・削除不可</v>
          </cell>
        </row>
        <row r="10391">
          <cell r="A10391" t="str">
            <v>Q2R32A</v>
          </cell>
          <cell r="B10391" t="str">
            <v>RDX 4TB USB Disk Backup System (内蔵型)</v>
          </cell>
          <cell r="C10391" t="str">
            <v>USB 3.0 対応
※4TB RDX カートリッジ１本標準添付</v>
          </cell>
        </row>
        <row r="10392">
          <cell r="A10392" t="str">
            <v>Q2R33A</v>
          </cell>
          <cell r="B10392" t="str">
            <v>RDX 4TB USB Disk Backup System (外付型)</v>
          </cell>
          <cell r="C10392" t="str">
            <v>※USB 3.0 対応、バスパワー方式
※RDX+ドッキング ステーション(外付型)
※4TB RDX カートリッジ１本標準添付
※USB Y ケーブル(1.5m)１本標準添付</v>
          </cell>
        </row>
        <row r="10393">
          <cell r="A10393" t="str">
            <v>JW144A</v>
          </cell>
          <cell r="B10393" t="str">
            <v>LS-BT1-NEMA LS-BT1 Outdoor Kit</v>
          </cell>
          <cell r="C10393" t="str">
            <v>-</v>
          </cell>
        </row>
        <row r="10394">
          <cell r="A10394" t="str">
            <v>JW145A</v>
          </cell>
          <cell r="B10394" t="str">
            <v>LS-BT1-MNT-50 BLE 50pk Mnt Kit</v>
          </cell>
          <cell r="C10394" t="str">
            <v>-</v>
          </cell>
        </row>
        <row r="10395">
          <cell r="A10395" t="str">
            <v>JW315A</v>
          </cell>
          <cell r="B10395" t="str">
            <v>Aruba LS-BT1USB-5 Bluetooth 5pk USB</v>
          </cell>
          <cell r="C10395" t="str">
            <v>-</v>
          </cell>
        </row>
        <row r="10396">
          <cell r="A10396" t="str">
            <v>JW316A</v>
          </cell>
          <cell r="B10396" t="str">
            <v>Aruba LS-BT1USB-50 Bluetooth 50pk USB</v>
          </cell>
          <cell r="C10396" t="str">
            <v>-</v>
          </cell>
        </row>
        <row r="10397">
          <cell r="A10397" t="str">
            <v>JX984A</v>
          </cell>
          <cell r="B10397" t="str">
            <v>Aruba LS-BT20-5 BLE 5pk Batt Beacons</v>
          </cell>
          <cell r="C10397" t="str">
            <v>-</v>
          </cell>
        </row>
        <row r="10398">
          <cell r="A10398" t="str">
            <v>JX985A</v>
          </cell>
          <cell r="B10398" t="str">
            <v>Aruba LS-BT20-50 BLE 50pk Batt Beacons</v>
          </cell>
          <cell r="C10398" t="str">
            <v>-</v>
          </cell>
        </row>
        <row r="10399">
          <cell r="A10399" t="str">
            <v>JX986A</v>
          </cell>
          <cell r="B10399" t="str">
            <v>Aruba LS-BT10-50 BLE 50pk Event Beacons</v>
          </cell>
          <cell r="C10399" t="str">
            <v>-</v>
          </cell>
        </row>
        <row r="10400">
          <cell r="A10400" t="str">
            <v>JX987A</v>
          </cell>
          <cell r="B10400" t="str">
            <v>Aruba AT-BT10-50 BLE 50pk Asset Trk Bcn</v>
          </cell>
          <cell r="C10400" t="str">
            <v>-</v>
          </cell>
        </row>
        <row r="10401">
          <cell r="A10401" t="str">
            <v>JZ113A</v>
          </cell>
          <cell r="B10401" t="str">
            <v>Aruba Meridian AT-BT10 Snap Mount</v>
          </cell>
          <cell r="C10401" t="str">
            <v>-</v>
          </cell>
        </row>
        <row r="10402">
          <cell r="A10402" t="str">
            <v>JZ114A</v>
          </cell>
          <cell r="B10402" t="str">
            <v>Aruba Meridian AT-BT10 Zip Strap Mount</v>
          </cell>
          <cell r="C10402" t="str">
            <v>-</v>
          </cell>
        </row>
        <row r="10403">
          <cell r="A10403" t="str">
            <v>JX918A</v>
          </cell>
          <cell r="B10403" t="str">
            <v>Aruba AirWave DL360 Pro HW Appliance</v>
          </cell>
          <cell r="C10403" t="str">
            <v>-</v>
          </cell>
        </row>
        <row r="10404">
          <cell r="A10404" t="str">
            <v>JX919A</v>
          </cell>
          <cell r="B10404" t="str">
            <v>Aruba AirWave DL360 Ent HW Appliance</v>
          </cell>
          <cell r="C10404" t="str">
            <v>-</v>
          </cell>
        </row>
        <row r="10405">
          <cell r="A10405" t="str">
            <v>JX922A</v>
          </cell>
          <cell r="B10405" t="str">
            <v>Aruba ClearPass-Airwave DL360 Spare PSU</v>
          </cell>
          <cell r="C10405" t="str">
            <v>-</v>
          </cell>
        </row>
        <row r="10406">
          <cell r="A10406" t="str">
            <v>JZ075A</v>
          </cell>
          <cell r="B10406" t="str">
            <v>Aruba AW-HW-GLASS Hardware Appliance</v>
          </cell>
          <cell r="C10406" t="str">
            <v>-</v>
          </cell>
        </row>
        <row r="10407">
          <cell r="A10407" t="str">
            <v>JW770A</v>
          </cell>
          <cell r="B10407" t="str">
            <v>Aruba ClearPass 500 HW v2 Appliance</v>
          </cell>
          <cell r="C10407" t="str">
            <v>-</v>
          </cell>
        </row>
        <row r="10408">
          <cell r="A10408" t="str">
            <v>JX920A</v>
          </cell>
          <cell r="B10408" t="str">
            <v>Aruba ClearPass 25K DL360 HW Appliance</v>
          </cell>
          <cell r="C10408" t="str">
            <v>-</v>
          </cell>
        </row>
        <row r="10409">
          <cell r="A10409" t="str">
            <v>JX921A</v>
          </cell>
          <cell r="B10409" t="str">
            <v>Aruba ClearPass 5K DL20 HW Appliance</v>
          </cell>
          <cell r="C10409" t="str">
            <v>-</v>
          </cell>
        </row>
        <row r="10410">
          <cell r="A10410" t="str">
            <v>JX923A</v>
          </cell>
          <cell r="B10410" t="str">
            <v>Aruba ClearPass DL20 Spare PSU</v>
          </cell>
          <cell r="C10410" t="str">
            <v>-</v>
          </cell>
        </row>
        <row r="10411">
          <cell r="A10411" t="str">
            <v>JZ508A</v>
          </cell>
          <cell r="B10411" t="str">
            <v>Aruba ClearPass C1000 S-1200 R4 HW Appl</v>
          </cell>
          <cell r="C10411" t="str">
            <v xml:space="preserve">Atom C2758 2.4GHz 1P/8C MEM：8GB HDD：1TB SATA x1 </v>
          </cell>
        </row>
        <row r="10412">
          <cell r="A10412" t="str">
            <v>JZ509A</v>
          </cell>
          <cell r="B10412" t="str">
            <v>Aruba ClearPass C2000 DL20 Gen9 HW Appl</v>
          </cell>
          <cell r="C10412" t="str">
            <v>Xeon E3-1240v5 3.5GHz 1P/4C MEM：16G HDD：1TB SATA x2 1GbE x2</v>
          </cell>
        </row>
        <row r="10413">
          <cell r="A10413" t="str">
            <v>JZ510A</v>
          </cell>
          <cell r="B10413" t="str">
            <v>Aruba ClearPass C3000 DL360 Gen9 HW Appl</v>
          </cell>
          <cell r="C10413" t="str">
            <v>Xeon E5-2620v3 2.4GHz 2P/12C MEM：64G HDD：600GB SAS x6 1GbE x4</v>
          </cell>
        </row>
        <row r="10414">
          <cell r="A10414" t="str">
            <v>J9835A</v>
          </cell>
          <cell r="B10414" t="str">
            <v>Aruba 501 Wireless Client Bridge</v>
          </cell>
          <cell r="C10414" t="str">
            <v>-</v>
          </cell>
        </row>
        <row r="10415">
          <cell r="A10415" t="str">
            <v>JW001A</v>
          </cell>
          <cell r="B10415" t="str">
            <v>AP-ANT-13B 2.4/5G 4/3dBi Omni</v>
          </cell>
          <cell r="C10415" t="str">
            <v>-</v>
          </cell>
        </row>
        <row r="10416">
          <cell r="A10416" t="str">
            <v>JW003A</v>
          </cell>
          <cell r="B10416" t="str">
            <v>AP-ANT-16 2.4/5G 4/5dBi 3x3 Omni</v>
          </cell>
          <cell r="C10416" t="str">
            <v>-</v>
          </cell>
        </row>
        <row r="10417">
          <cell r="A10417" t="str">
            <v>JW004A</v>
          </cell>
          <cell r="B10417" t="str">
            <v>AP-ANT-19 2.4/5G 3/6dBi Omni</v>
          </cell>
          <cell r="C10417" t="str">
            <v>-</v>
          </cell>
        </row>
        <row r="10418">
          <cell r="A10418" t="str">
            <v>JW009A</v>
          </cell>
          <cell r="B10418" t="str">
            <v>AP-ANT-1W 2.4/5G 4/6dBi Omni</v>
          </cell>
          <cell r="C10418" t="str">
            <v>-</v>
          </cell>
        </row>
        <row r="10419">
          <cell r="A10419" t="str">
            <v>JW011A</v>
          </cell>
          <cell r="B10419" t="str">
            <v>AP-ANT-20W 2.4/5G 2/2dBi Omni</v>
          </cell>
          <cell r="C10419" t="str">
            <v>-</v>
          </cell>
        </row>
        <row r="10420">
          <cell r="A10420" t="str">
            <v>JW012A</v>
          </cell>
          <cell r="B10420" t="str">
            <v>AP-ANT-25A 2.4/5G 5dBi 2x2 Panel</v>
          </cell>
          <cell r="C10420" t="str">
            <v>-</v>
          </cell>
        </row>
        <row r="10421">
          <cell r="A10421" t="str">
            <v>JW013A</v>
          </cell>
          <cell r="B10421" t="str">
            <v>AP-ANT-28 2.4/5G 8dBi 2x2 Panel</v>
          </cell>
          <cell r="C10421" t="str">
            <v>-</v>
          </cell>
        </row>
        <row r="10422">
          <cell r="A10422" t="str">
            <v>JW014A</v>
          </cell>
          <cell r="B10422" t="str">
            <v>AP-ANT-32 2.4/5G 2/4dBi Omni</v>
          </cell>
          <cell r="C10422" t="str">
            <v>-</v>
          </cell>
        </row>
        <row r="10423">
          <cell r="A10423" t="str">
            <v>JW015A</v>
          </cell>
          <cell r="B10423" t="str">
            <v>AP-ANT-35A 2.4/5G 5dBi 3x3 Panel</v>
          </cell>
          <cell r="C10423" t="str">
            <v>-</v>
          </cell>
        </row>
        <row r="10424">
          <cell r="A10424" t="str">
            <v>JW016A</v>
          </cell>
          <cell r="B10424" t="str">
            <v>AP-ANT-38 2.4/5G 8dBi 3x3 Panel</v>
          </cell>
          <cell r="C10424" t="str">
            <v>-</v>
          </cell>
        </row>
        <row r="10425">
          <cell r="A10425" t="str">
            <v>JW017A</v>
          </cell>
          <cell r="B10425" t="str">
            <v>AP-ANT-40 2.4/5G 4/4dBi 4x4 Omni</v>
          </cell>
          <cell r="C10425" t="str">
            <v>-</v>
          </cell>
        </row>
        <row r="10426">
          <cell r="A10426" t="str">
            <v>JW018A</v>
          </cell>
          <cell r="B10426" t="str">
            <v>AP-ANT-45 2.4/5G 5dBi 4x4 Panel</v>
          </cell>
          <cell r="C10426" t="str">
            <v>-</v>
          </cell>
        </row>
        <row r="10427">
          <cell r="A10427" t="str">
            <v>JW019A</v>
          </cell>
          <cell r="B10427" t="str">
            <v>AP-ANT-48 2.4/5G 8dBi 4x4 Panel</v>
          </cell>
          <cell r="C10427" t="str">
            <v>-</v>
          </cell>
        </row>
        <row r="10428">
          <cell r="A10428" t="str">
            <v>JW020A</v>
          </cell>
          <cell r="B10428" t="str">
            <v>AP-ANT-MNT-3 Antenna Mount</v>
          </cell>
          <cell r="C10428" t="str">
            <v>-</v>
          </cell>
        </row>
        <row r="10429">
          <cell r="A10429" t="str">
            <v>JW021A</v>
          </cell>
          <cell r="B10429" t="str">
            <v>AP-ANT-MNT-4 Antenna Mount</v>
          </cell>
          <cell r="C10429" t="str">
            <v>-</v>
          </cell>
        </row>
        <row r="10430">
          <cell r="A10430" t="str">
            <v>JW022A</v>
          </cell>
          <cell r="B10430" t="str">
            <v>AP-ANT-MNT-5 Antenna Mount</v>
          </cell>
          <cell r="C10430" t="str">
            <v>-</v>
          </cell>
        </row>
        <row r="10431">
          <cell r="A10431" t="str">
            <v>JW024A</v>
          </cell>
          <cell r="B10431" t="str">
            <v>ANT-2x2-2314 2.4G 14dBi Panel</v>
          </cell>
          <cell r="C10431" t="str">
            <v>-</v>
          </cell>
        </row>
        <row r="10432">
          <cell r="A10432" t="str">
            <v>JW025A</v>
          </cell>
          <cell r="B10432" t="str">
            <v>ANT-2x2-2714 2.4G 14dBi Sector</v>
          </cell>
          <cell r="C10432" t="str">
            <v>-</v>
          </cell>
        </row>
        <row r="10433">
          <cell r="A10433" t="str">
            <v>JW028A</v>
          </cell>
          <cell r="B10433" t="str">
            <v>ANT-2x2-5314 5G 14dBi Panel</v>
          </cell>
          <cell r="C10433" t="str">
            <v>-</v>
          </cell>
        </row>
        <row r="10434">
          <cell r="A10434" t="str">
            <v>JW029A</v>
          </cell>
          <cell r="B10434" t="str">
            <v>ANT-2x2-STAGE 2.4/5G 2/2dBi Omni</v>
          </cell>
          <cell r="C10434" t="str">
            <v>-</v>
          </cell>
        </row>
        <row r="10435">
          <cell r="A10435" t="str">
            <v>JW030A</v>
          </cell>
          <cell r="B10435" t="str">
            <v>ANT-3x3-2005 3pk 2.4G 5.0dBi Omni</v>
          </cell>
          <cell r="C10435" t="str">
            <v>-</v>
          </cell>
        </row>
        <row r="10436">
          <cell r="A10436" t="str">
            <v>JW031A</v>
          </cell>
          <cell r="B10436" t="str">
            <v>ANT-3x3-5005 3pk 5G 5.0dBi Omni</v>
          </cell>
          <cell r="C10436" t="str">
            <v>-</v>
          </cell>
        </row>
        <row r="10437">
          <cell r="A10437" t="str">
            <v>JW032A</v>
          </cell>
          <cell r="B10437" t="str">
            <v>ANT-3x3-5010 3pk 5G 10dBi Omni</v>
          </cell>
          <cell r="C10437" t="str">
            <v>-</v>
          </cell>
        </row>
        <row r="10438">
          <cell r="A10438" t="str">
            <v>JW033A</v>
          </cell>
          <cell r="B10438" t="str">
            <v>ANT-3x3-5712 5G 12dBi Sector</v>
          </cell>
          <cell r="C10438" t="str">
            <v>-</v>
          </cell>
        </row>
        <row r="10439">
          <cell r="A10439" t="str">
            <v>JW034A</v>
          </cell>
          <cell r="B10439" t="str">
            <v>ANT-3x3-D100 2.4/5G 5dBi Panel</v>
          </cell>
          <cell r="C10439" t="str">
            <v>-</v>
          </cell>
        </row>
        <row r="10440">
          <cell r="A10440" t="str">
            <v>JW035A</v>
          </cell>
          <cell r="B10440" t="str">
            <v>ANT-3x3-D608 2.4/5G 8dBi Panel</v>
          </cell>
          <cell r="C10440" t="str">
            <v>-</v>
          </cell>
        </row>
        <row r="10441">
          <cell r="A10441" t="str">
            <v>JW040A</v>
          </cell>
          <cell r="B10441" t="str">
            <v>AP-205H-MNT1 Spare Single Mt Kit</v>
          </cell>
          <cell r="C10441" t="str">
            <v>-</v>
          </cell>
        </row>
        <row r="10442">
          <cell r="A10442" t="str">
            <v>JW041A</v>
          </cell>
          <cell r="B10442" t="str">
            <v>AP-205H-MNT2 Dual Mount Kit</v>
          </cell>
          <cell r="C10442" t="str">
            <v>-</v>
          </cell>
        </row>
        <row r="10443">
          <cell r="A10443" t="str">
            <v>JW042A</v>
          </cell>
          <cell r="B10443" t="str">
            <v>AP-205H-MNTR Desk Mount Conv Kit</v>
          </cell>
          <cell r="C10443" t="str">
            <v>-</v>
          </cell>
        </row>
        <row r="10444">
          <cell r="A10444" t="str">
            <v>JW044A</v>
          </cell>
          <cell r="B10444" t="str">
            <v>AP-220-MNT-C1 Ceiling Rail Mt Kit</v>
          </cell>
          <cell r="C10444" t="str">
            <v>-</v>
          </cell>
        </row>
        <row r="10445">
          <cell r="A10445" t="str">
            <v>JW045A</v>
          </cell>
          <cell r="B10445" t="str">
            <v>AP-220-MNT-C2 Ceiling Rail Mt Kit</v>
          </cell>
          <cell r="C10445" t="str">
            <v>-</v>
          </cell>
        </row>
        <row r="10446">
          <cell r="A10446" t="str">
            <v>JW046A</v>
          </cell>
          <cell r="B10446" t="str">
            <v>AP-220-MNT-W1 Basic Mount Kit</v>
          </cell>
          <cell r="C10446" t="str">
            <v>-</v>
          </cell>
        </row>
        <row r="10447">
          <cell r="A10447" t="str">
            <v>JW047A</v>
          </cell>
          <cell r="B10447" t="str">
            <v>AP-220-MNT-W1W Mt Basic White Kit</v>
          </cell>
          <cell r="C10447" t="str">
            <v>-</v>
          </cell>
        </row>
        <row r="10448">
          <cell r="A10448" t="str">
            <v>JW052A</v>
          </cell>
          <cell r="B10448" t="str">
            <v>AP-270-MNT-V1 270 Series Mt Kit</v>
          </cell>
          <cell r="C10448" t="str">
            <v>-</v>
          </cell>
        </row>
        <row r="10449">
          <cell r="A10449" t="str">
            <v>JW053A</v>
          </cell>
          <cell r="B10449" t="str">
            <v>AP-270-MNT-V2 270 Series Mt Kit</v>
          </cell>
          <cell r="C10449" t="str">
            <v>-</v>
          </cell>
        </row>
        <row r="10450">
          <cell r="A10450" t="str">
            <v>JW054A</v>
          </cell>
          <cell r="B10450" t="str">
            <v>AP-270-MNT-H1 270 Series Mt Kit</v>
          </cell>
          <cell r="C10450" t="str">
            <v>-</v>
          </cell>
        </row>
        <row r="10451">
          <cell r="A10451" t="str">
            <v>JW055A</v>
          </cell>
          <cell r="B10451" t="str">
            <v>AP-270-MNT-H2 270 Series Mt Kit</v>
          </cell>
          <cell r="C10451" t="str">
            <v>-</v>
          </cell>
        </row>
        <row r="10452">
          <cell r="A10452" t="str">
            <v>JW056A</v>
          </cell>
          <cell r="B10452" t="str">
            <v>AP-270-MNT-ADP 228 Otdr Mt Adapter</v>
          </cell>
          <cell r="C10452" t="str">
            <v>-</v>
          </cell>
        </row>
        <row r="10453">
          <cell r="A10453" t="str">
            <v>JW057A</v>
          </cell>
          <cell r="B10453" t="str">
            <v>RAP-100-MNT 100 Series Mount Kit</v>
          </cell>
          <cell r="C10453" t="str">
            <v>-</v>
          </cell>
        </row>
        <row r="10454">
          <cell r="A10454" t="str">
            <v>JW058A</v>
          </cell>
          <cell r="B10454" t="str">
            <v>RAP-3WN-MNT RAP-3 Wall Mount Kit</v>
          </cell>
          <cell r="C10454" t="str">
            <v>-</v>
          </cell>
        </row>
        <row r="10455">
          <cell r="A10455" t="str">
            <v>JW060A</v>
          </cell>
          <cell r="B10455" t="str">
            <v>AP-LAR-24 2.4 GHz Fltrd Ltng Arstr</v>
          </cell>
          <cell r="C10455" t="str">
            <v>-</v>
          </cell>
        </row>
        <row r="10456">
          <cell r="A10456" t="str">
            <v>JW061A</v>
          </cell>
          <cell r="B10456" t="str">
            <v>AP-LAR-1 N-Type Lightning Arstr</v>
          </cell>
          <cell r="C10456" t="str">
            <v>-</v>
          </cell>
        </row>
        <row r="10457">
          <cell r="A10457" t="str">
            <v>JW064A</v>
          </cell>
          <cell r="B10457" t="str">
            <v>AFC7DL03-00 3M 7D Antenna Cable</v>
          </cell>
          <cell r="C10457" t="str">
            <v>-</v>
          </cell>
        </row>
        <row r="10458">
          <cell r="A10458" t="str">
            <v>JW065A</v>
          </cell>
          <cell r="B10458" t="str">
            <v>AFC7DL04-00 4M 7D Antenna Cable</v>
          </cell>
          <cell r="C10458" t="str">
            <v>-</v>
          </cell>
        </row>
        <row r="10459">
          <cell r="A10459" t="str">
            <v>JW066A</v>
          </cell>
          <cell r="B10459" t="str">
            <v>AFC2DL60-00 Soft Jumper</v>
          </cell>
          <cell r="C10459" t="str">
            <v>-</v>
          </cell>
        </row>
        <row r="10460">
          <cell r="A10460" t="str">
            <v>JW067A</v>
          </cell>
          <cell r="B10460" t="str">
            <v>AFCSJMTM-00 Soft Jumper</v>
          </cell>
          <cell r="C10460" t="str">
            <v>-</v>
          </cell>
        </row>
        <row r="10461">
          <cell r="A10461" t="str">
            <v>JW068A</v>
          </cell>
          <cell r="B10461" t="str">
            <v>ANT-CBL-1 1m Outdoor RF Cable</v>
          </cell>
          <cell r="C10461" t="str">
            <v>-</v>
          </cell>
        </row>
        <row r="10462">
          <cell r="A10462" t="str">
            <v>JW069A</v>
          </cell>
          <cell r="B10462" t="str">
            <v>ANT-CBL-2 2m Outdoor RF Cable</v>
          </cell>
          <cell r="C10462" t="str">
            <v>-</v>
          </cell>
        </row>
        <row r="10463">
          <cell r="A10463" t="str">
            <v>JW070A</v>
          </cell>
          <cell r="B10463" t="str">
            <v>AP-CBL-1 3m Outdr N-Type Ext Cable</v>
          </cell>
          <cell r="C10463" t="str">
            <v>-</v>
          </cell>
        </row>
        <row r="10464">
          <cell r="A10464" t="str">
            <v>JW071A</v>
          </cell>
          <cell r="B10464" t="str">
            <v>AP-CBL-SER RAP-3 Serial Cable</v>
          </cell>
          <cell r="C10464" t="str">
            <v>-</v>
          </cell>
        </row>
        <row r="10465">
          <cell r="A10465" t="str">
            <v>JW072A</v>
          </cell>
          <cell r="B10465" t="str">
            <v>AP-CBL-ETH10 10pk Short Eth Cable</v>
          </cell>
          <cell r="C10465" t="str">
            <v>-</v>
          </cell>
        </row>
        <row r="10466">
          <cell r="A10466" t="str">
            <v>JW073A</v>
          </cell>
          <cell r="B10466" t="str">
            <v>AP-205-CVR-20 20pk Snap-on Cover</v>
          </cell>
          <cell r="C10466" t="str">
            <v>-</v>
          </cell>
        </row>
        <row r="10467">
          <cell r="A10467" t="str">
            <v>JW074A</v>
          </cell>
          <cell r="B10467" t="str">
            <v>AP-215-CVR-20 20pk Snap-on Cover</v>
          </cell>
          <cell r="C10467" t="str">
            <v>-</v>
          </cell>
        </row>
        <row r="10468">
          <cell r="A10468" t="str">
            <v>JW075A</v>
          </cell>
          <cell r="B10468" t="str">
            <v>AP-225-CVR-20 20pk Snap-on Cover</v>
          </cell>
          <cell r="C10468" t="str">
            <v>-</v>
          </cell>
        </row>
        <row r="10469">
          <cell r="A10469" t="str">
            <v>JW076A</v>
          </cell>
          <cell r="B10469" t="str">
            <v>AP-325-CVR-20 20pk Snap-on Cover</v>
          </cell>
          <cell r="C10469" t="str">
            <v>-</v>
          </cell>
        </row>
        <row r="10470">
          <cell r="A10470" t="str">
            <v>JW079A</v>
          </cell>
          <cell r="B10470" t="str">
            <v>CKIT-OD-AC-P Otdr AC Pwr Cnctr Kit</v>
          </cell>
          <cell r="C10470" t="str">
            <v>-</v>
          </cell>
        </row>
        <row r="10471">
          <cell r="A10471" t="str">
            <v>JW080A</v>
          </cell>
          <cell r="B10471" t="str">
            <v>PC-OD-AC-P-INT Intl Otdr AC Cable</v>
          </cell>
          <cell r="C10471" t="str">
            <v>-</v>
          </cell>
        </row>
        <row r="10472">
          <cell r="A10472" t="str">
            <v>JW081A</v>
          </cell>
          <cell r="B10472" t="str">
            <v>PC-OD-AC-P-NA NA Otdr AC Cable</v>
          </cell>
          <cell r="C10472" t="str">
            <v>-</v>
          </cell>
        </row>
        <row r="10473">
          <cell r="A10473" t="str">
            <v>JW082A</v>
          </cell>
          <cell r="B10473" t="str">
            <v>Aruba SPR-RK3-MNT S2500 7205 7024 Rk Mnt</v>
          </cell>
          <cell r="C10473" t="str">
            <v>-</v>
          </cell>
        </row>
        <row r="10474">
          <cell r="A10474" t="str">
            <v>JW084A</v>
          </cell>
          <cell r="B10474" t="str">
            <v>Aruba 7005-MNT-19 7005 Rack Mnt</v>
          </cell>
          <cell r="C10474" t="str">
            <v>-</v>
          </cell>
        </row>
        <row r="10475">
          <cell r="A10475" t="str">
            <v>JW085A</v>
          </cell>
          <cell r="B10475" t="str">
            <v>Aruba 7010-MNT-19 7010 Rack Mnt</v>
          </cell>
          <cell r="C10475" t="str">
            <v>-</v>
          </cell>
        </row>
        <row r="10476">
          <cell r="A10476" t="str">
            <v>JW086A</v>
          </cell>
          <cell r="B10476" t="str">
            <v>Aruba 7030-MNT-19 7030 Rack Mnt</v>
          </cell>
          <cell r="C10476" t="str">
            <v>-</v>
          </cell>
        </row>
        <row r="10477">
          <cell r="A10477" t="str">
            <v>JW087A</v>
          </cell>
          <cell r="B10477" t="str">
            <v>Aruba 1000BASE-LX LC Connector SFP XCVR</v>
          </cell>
          <cell r="C10477" t="str">
            <v>-</v>
          </cell>
        </row>
        <row r="10478">
          <cell r="A10478" t="str">
            <v>JW088A</v>
          </cell>
          <cell r="B10478" t="str">
            <v>Aruba 1000BASE-SX LC Connector SFP XCVR</v>
          </cell>
          <cell r="C10478" t="str">
            <v>-</v>
          </cell>
        </row>
        <row r="10479">
          <cell r="A10479" t="str">
            <v>JW089A</v>
          </cell>
          <cell r="B10479" t="str">
            <v>Aruba 1000BASE-T RJ45 Connector SFP XCVR</v>
          </cell>
          <cell r="C10479" t="str">
            <v>-</v>
          </cell>
        </row>
        <row r="10480">
          <cell r="A10480" t="str">
            <v>JW090A</v>
          </cell>
          <cell r="B10480" t="str">
            <v>Aruba 10GBASE-LRM LC Connector SFP+ XCVR</v>
          </cell>
          <cell r="C10480" t="str">
            <v>-</v>
          </cell>
        </row>
        <row r="10481">
          <cell r="A10481" t="str">
            <v>JW091A</v>
          </cell>
          <cell r="B10481" t="str">
            <v>Aruba 10GBASE-SR LC Connector SFP+ XCVR</v>
          </cell>
          <cell r="C10481" t="str">
            <v>-</v>
          </cell>
        </row>
        <row r="10482">
          <cell r="A10482" t="str">
            <v>JW092A</v>
          </cell>
          <cell r="B10482" t="str">
            <v>Aruba 10GBASE-LR LC Connector SFP+ XCVR</v>
          </cell>
          <cell r="C10482" t="str">
            <v>-</v>
          </cell>
        </row>
        <row r="10483">
          <cell r="A10483" t="str">
            <v>JW100A</v>
          </cell>
          <cell r="B10483" t="str">
            <v>SFP+ Direct Attach 0.5M Cable</v>
          </cell>
          <cell r="C10483" t="str">
            <v>SFP+ DACケーブル 0.5m</v>
          </cell>
        </row>
        <row r="10484">
          <cell r="A10484" t="str">
            <v>JW101A</v>
          </cell>
          <cell r="B10484" t="str">
            <v>SFP+ Direct Attach 1M Cable</v>
          </cell>
          <cell r="C10484" t="str">
            <v>SFP+ DACケーブル 1m</v>
          </cell>
        </row>
        <row r="10485">
          <cell r="A10485" t="str">
            <v>JW102A</v>
          </cell>
          <cell r="B10485" t="str">
            <v>SFP+ Direct Attach 3M Cable</v>
          </cell>
          <cell r="C10485" t="str">
            <v>SFP+ DACケーブル 3m</v>
          </cell>
        </row>
        <row r="10486">
          <cell r="A10486" t="str">
            <v>JW103A</v>
          </cell>
          <cell r="B10486" t="str">
            <v>SFP+ Direct Attach 5M Cable</v>
          </cell>
          <cell r="C10486" t="str">
            <v>SFP+ DACケーブル 5m</v>
          </cell>
        </row>
        <row r="10487">
          <cell r="A10487" t="str">
            <v>JW104A</v>
          </cell>
          <cell r="B10487" t="str">
            <v>SFP+ Direct Attach 7M Cable</v>
          </cell>
          <cell r="C10487" t="str">
            <v>SFP+ DACケーブル 7m</v>
          </cell>
        </row>
        <row r="10488">
          <cell r="A10488" t="str">
            <v>JW107A</v>
          </cell>
          <cell r="B10488" t="str">
            <v>Aruba SPR-RK-MNT 7200/S3500 Rk Mount</v>
          </cell>
          <cell r="C10488" t="str">
            <v>-</v>
          </cell>
        </row>
        <row r="10489">
          <cell r="A10489" t="str">
            <v>JW108A</v>
          </cell>
          <cell r="B10489" t="str">
            <v>Aruba SPR-4RK-MNT S3500 4 Corner Rk Mnt</v>
          </cell>
          <cell r="C10489" t="str">
            <v>-</v>
          </cell>
        </row>
        <row r="10490">
          <cell r="A10490" t="str">
            <v>JW109A</v>
          </cell>
          <cell r="B10490" t="str">
            <v>Aruba SPR-WL-MNT S3500 Wall Rk Mount</v>
          </cell>
          <cell r="C10490" t="str">
            <v>-</v>
          </cell>
        </row>
        <row r="10491">
          <cell r="A10491" t="str">
            <v>JW110A</v>
          </cell>
          <cell r="B10491" t="str">
            <v>Aruba PSU-PWBLNK PSU 1RU Blank</v>
          </cell>
          <cell r="C10491" t="str">
            <v>-</v>
          </cell>
        </row>
        <row r="10492">
          <cell r="A10492" t="str">
            <v>JW111A</v>
          </cell>
          <cell r="B10492" t="str">
            <v>Aruba HW-7200-FT 7200 Series Fan Tray</v>
          </cell>
          <cell r="C10492" t="str">
            <v>-</v>
          </cell>
        </row>
        <row r="10493">
          <cell r="A10493" t="str">
            <v>JW112A</v>
          </cell>
          <cell r="B10493" t="str">
            <v>Aruba SPR-ESBLNK 7200 Expnsn Slt Blk Pnl</v>
          </cell>
          <cell r="C10493" t="str">
            <v>-</v>
          </cell>
        </row>
        <row r="10494">
          <cell r="A10494" t="str">
            <v>JW122A</v>
          </cell>
          <cell r="B10494" t="str">
            <v>PC-AC-JPN (JP) AC Power Cord</v>
          </cell>
          <cell r="C10494" t="str">
            <v>-</v>
          </cell>
        </row>
        <row r="10495">
          <cell r="A10495" t="str">
            <v>JW138A</v>
          </cell>
          <cell r="B10495" t="str">
            <v>PC-AC-H-JPN (JP) AC 15A Power Cord</v>
          </cell>
          <cell r="C10495" t="str">
            <v>-</v>
          </cell>
        </row>
        <row r="10496">
          <cell r="A10496" t="str">
            <v>JW147A</v>
          </cell>
          <cell r="B10496" t="str">
            <v>SFP-10GE-ER 10G LC Cnctr SFP+ XCVR</v>
          </cell>
          <cell r="C10496" t="str">
            <v>10Gbase-ER SFP+ トランシーバー</v>
          </cell>
        </row>
        <row r="10497">
          <cell r="A10497" t="str">
            <v>JW148A</v>
          </cell>
          <cell r="B10497" t="str">
            <v>SFP-10GE-ZR 10G LC Cnctr SFP+ XCVR</v>
          </cell>
          <cell r="C10497" t="str">
            <v>10Gbase-ZR SFP+ トランシーバー</v>
          </cell>
        </row>
        <row r="10498">
          <cell r="A10498" t="str">
            <v>JW149A</v>
          </cell>
          <cell r="B10498" t="str">
            <v>SFP-EX 1000BASE-EX LC SFP XCVR</v>
          </cell>
          <cell r="C10498" t="str">
            <v>1000base-EX SFP トランシーバー</v>
          </cell>
        </row>
        <row r="10499">
          <cell r="A10499" t="str">
            <v>JW150A</v>
          </cell>
          <cell r="B10499" t="str">
            <v>SFP-ZX 1000BASE-ZX LC SFP XCVR</v>
          </cell>
          <cell r="C10499" t="str">
            <v>1000base-ZX SFP トランシーバー</v>
          </cell>
        </row>
        <row r="10500">
          <cell r="A10500" t="str">
            <v>JW176A</v>
          </cell>
          <cell r="B10500" t="str">
            <v>Aruba AP-274 Otdr Dual 3x3:3 802.11ac AP</v>
          </cell>
          <cell r="C10500" t="str">
            <v>-</v>
          </cell>
        </row>
        <row r="10501">
          <cell r="A10501" t="str">
            <v>JW178A</v>
          </cell>
          <cell r="B10501" t="str">
            <v>Aruba AP-275 Otdr Dual 3x3:3 802.11ac AP</v>
          </cell>
          <cell r="C10501" t="str">
            <v>-</v>
          </cell>
        </row>
        <row r="10502">
          <cell r="A10502" t="str">
            <v>JW180A</v>
          </cell>
          <cell r="B10502" t="str">
            <v>Aruba AP-277 Otdr Dual 3x3:3 802.11ac AP</v>
          </cell>
          <cell r="C10502" t="str">
            <v>-</v>
          </cell>
        </row>
        <row r="10503">
          <cell r="A10503" t="str">
            <v>JW182A</v>
          </cell>
          <cell r="B10503" t="str">
            <v>Aruba AP-228 Indr Hrdnd Dual 802.11ac AP</v>
          </cell>
          <cell r="C10503" t="str">
            <v>-</v>
          </cell>
        </row>
        <row r="10504">
          <cell r="A10504" t="str">
            <v>JW184A</v>
          </cell>
          <cell r="B10504" t="str">
            <v>Aruba AP-324 Dual 4x4:4 802.11ac AP</v>
          </cell>
          <cell r="C10504" t="str">
            <v>-</v>
          </cell>
        </row>
        <row r="10505">
          <cell r="A10505" t="str">
            <v>JW186A</v>
          </cell>
          <cell r="B10505" t="str">
            <v>Aruba AP-325 Dual 4x4:4 802.11ac AP</v>
          </cell>
          <cell r="C10505" t="str">
            <v>-</v>
          </cell>
        </row>
        <row r="10506">
          <cell r="A10506" t="str">
            <v>JW246A</v>
          </cell>
          <cell r="B10506" t="str">
            <v>Aruba IAP-228 (JP) Hardened Instant AP</v>
          </cell>
          <cell r="C10506" t="str">
            <v>-</v>
          </cell>
        </row>
        <row r="10507">
          <cell r="A10507" t="str">
            <v>JW253A</v>
          </cell>
          <cell r="B10507" t="str">
            <v>Aruba IAP-274 (JP) Outdoor Instant AP</v>
          </cell>
          <cell r="C10507" t="str">
            <v>-</v>
          </cell>
        </row>
        <row r="10508">
          <cell r="A10508" t="str">
            <v>JW258A</v>
          </cell>
          <cell r="B10508" t="str">
            <v>Aruba IAP-275 (JP) Outdoor Instant AP</v>
          </cell>
          <cell r="C10508" t="str">
            <v>-</v>
          </cell>
        </row>
        <row r="10509">
          <cell r="A10509" t="str">
            <v>JW261A</v>
          </cell>
          <cell r="B10509" t="str">
            <v>Aruba IAP-277 (JP) Outdoor Instant AP</v>
          </cell>
          <cell r="C10509" t="str">
            <v>-</v>
          </cell>
        </row>
        <row r="10510">
          <cell r="A10510" t="str">
            <v>JW318A</v>
          </cell>
          <cell r="B10510" t="str">
            <v>Aruba IAP-324 (JP) Instant 4x4:4 11ac AP</v>
          </cell>
          <cell r="C10510" t="str">
            <v>-</v>
          </cell>
        </row>
        <row r="10511">
          <cell r="A10511" t="str">
            <v>JW324A</v>
          </cell>
          <cell r="B10511" t="str">
            <v>Aruba IAP-325 (JP) Instant 4x4:4 11ac AP</v>
          </cell>
          <cell r="C10511" t="str">
            <v>-</v>
          </cell>
        </row>
        <row r="10512">
          <cell r="A10512" t="str">
            <v>JW620A</v>
          </cell>
          <cell r="B10512" t="str">
            <v>PD-MOUNT-OD Otdr Midspan Mount Kit</v>
          </cell>
          <cell r="C10512" t="str">
            <v>-</v>
          </cell>
        </row>
        <row r="10513">
          <cell r="A10513" t="str">
            <v>JW627A</v>
          </cell>
          <cell r="B10513" t="str">
            <v>PD-3501G-AC 1p GE 802.3af Midspan</v>
          </cell>
          <cell r="C10513" t="str">
            <v>-</v>
          </cell>
        </row>
        <row r="10514">
          <cell r="A10514" t="str">
            <v>JW629A</v>
          </cell>
          <cell r="B10514" t="str">
            <v>PD-9001GR-AC 1p GE 802.3at Midspan</v>
          </cell>
          <cell r="C10514" t="str">
            <v>-</v>
          </cell>
        </row>
        <row r="10515">
          <cell r="A10515" t="str">
            <v>JW631A</v>
          </cell>
          <cell r="B10515" t="str">
            <v>AP-DC-CAR 12VDC Car Pwr Adapter</v>
          </cell>
          <cell r="C10515" t="str">
            <v>-</v>
          </cell>
        </row>
        <row r="10516">
          <cell r="A10516" t="str">
            <v>JW639A</v>
          </cell>
          <cell r="B10516" t="str">
            <v>Aruba 7005 (JP) 16 AP Branch Cntlr</v>
          </cell>
          <cell r="C10516" t="str">
            <v>-</v>
          </cell>
        </row>
        <row r="10517">
          <cell r="A10517" t="str">
            <v>JW648A</v>
          </cell>
          <cell r="B10517" t="str">
            <v>Aruba 7210DC (JP) Controller</v>
          </cell>
          <cell r="C10517" t="str">
            <v>-</v>
          </cell>
        </row>
        <row r="10518">
          <cell r="A10518" t="str">
            <v>JW652A</v>
          </cell>
          <cell r="B10518" t="str">
            <v>Aruba 7220DC (JP) Controller</v>
          </cell>
          <cell r="C10518" t="str">
            <v>-</v>
          </cell>
        </row>
        <row r="10519">
          <cell r="A10519" t="str">
            <v>JW657A</v>
          </cell>
          <cell r="B10519" t="str">
            <v>Aruba PSU-350-AC 350W AC Power Supply</v>
          </cell>
          <cell r="C10519" t="str">
            <v>-</v>
          </cell>
        </row>
        <row r="10520">
          <cell r="A10520" t="str">
            <v>JW658A</v>
          </cell>
          <cell r="B10520" t="str">
            <v>Aruba PSU-350-DC 350W DC Power Supply</v>
          </cell>
          <cell r="C10520" t="str">
            <v>-</v>
          </cell>
        </row>
        <row r="10521">
          <cell r="A10521" t="str">
            <v>JW676A</v>
          </cell>
          <cell r="B10521" t="str">
            <v>Aruba 7240XMDC (JP) Controller</v>
          </cell>
          <cell r="C10521" t="str">
            <v>-</v>
          </cell>
        </row>
        <row r="10522">
          <cell r="A10522" t="str">
            <v>JW681A</v>
          </cell>
          <cell r="B10522" t="str">
            <v>Aruba 7010 (JP) 32 AP Branch Cntlr</v>
          </cell>
          <cell r="C10522" t="str">
            <v>-</v>
          </cell>
        </row>
        <row r="10523">
          <cell r="A10523" t="str">
            <v>JW685A</v>
          </cell>
          <cell r="B10523" t="str">
            <v>Aruba 7024 (JP) 32 AP Branch Cntlr</v>
          </cell>
          <cell r="C10523" t="str">
            <v>-</v>
          </cell>
        </row>
        <row r="10524">
          <cell r="A10524" t="str">
            <v>JW689A</v>
          </cell>
          <cell r="B10524" t="str">
            <v>Aruba 7030 (JP) 64 AP Branch Cntlr</v>
          </cell>
          <cell r="C10524" t="str">
            <v>-</v>
          </cell>
        </row>
        <row r="10525">
          <cell r="A10525" t="str">
            <v>JW737A</v>
          </cell>
          <cell r="B10525" t="str">
            <v>Aruba 7205 (JP) Controller</v>
          </cell>
          <cell r="C10525" t="str">
            <v>-</v>
          </cell>
        </row>
        <row r="10526">
          <cell r="A10526" t="str">
            <v>JW749A</v>
          </cell>
          <cell r="B10526" t="str">
            <v>Aruba 7210 (JP) Controller</v>
          </cell>
          <cell r="C10526" t="str">
            <v>-</v>
          </cell>
        </row>
        <row r="10527">
          <cell r="A10527" t="str">
            <v>JW757A</v>
          </cell>
          <cell r="B10527" t="str">
            <v>Aruba 7220 (JP) Controller</v>
          </cell>
          <cell r="C10527" t="str">
            <v>-</v>
          </cell>
        </row>
        <row r="10528">
          <cell r="A10528" t="str">
            <v>JW785A</v>
          </cell>
          <cell r="B10528" t="str">
            <v>Aruba 7240XM (JP) Controller</v>
          </cell>
          <cell r="C10528" t="str">
            <v>-</v>
          </cell>
        </row>
        <row r="10529">
          <cell r="A10529" t="str">
            <v>JW795A</v>
          </cell>
          <cell r="B10529" t="str">
            <v>Aruba AP-314 Dual 2x2/4x4 802.11ac AP</v>
          </cell>
          <cell r="C10529" t="str">
            <v>-</v>
          </cell>
        </row>
        <row r="10530">
          <cell r="A10530" t="str">
            <v>JW797A</v>
          </cell>
          <cell r="B10530" t="str">
            <v>Aruba AP-315 Dual 2x2/4x4 802.11ac AP</v>
          </cell>
          <cell r="C10530" t="str">
            <v>-</v>
          </cell>
        </row>
        <row r="10531">
          <cell r="A10531" t="str">
            <v>JW799A</v>
          </cell>
          <cell r="B10531" t="str">
            <v>Aruba AP-334 Dual 4x4:4 11ac 2.5GbE AP</v>
          </cell>
          <cell r="C10531" t="str">
            <v>-</v>
          </cell>
        </row>
        <row r="10532">
          <cell r="A10532" t="str">
            <v>JW801A</v>
          </cell>
          <cell r="B10532" t="str">
            <v>Aruba AP-335 Dual 4x4:4 11ac 2.5GbE AP</v>
          </cell>
          <cell r="C10532" t="str">
            <v>-</v>
          </cell>
        </row>
        <row r="10533">
          <cell r="A10533" t="str">
            <v>JW804A</v>
          </cell>
          <cell r="B10533" t="str">
            <v>Aruba IAP-314 (JP) Instant 2x/4x 11ac AP</v>
          </cell>
          <cell r="C10533" t="str">
            <v>-</v>
          </cell>
        </row>
        <row r="10534">
          <cell r="A10534" t="str">
            <v>JW810A</v>
          </cell>
          <cell r="B10534" t="str">
            <v>Aruba IAP-315 (JP) Instant 2x/4x 11ac AP</v>
          </cell>
          <cell r="C10534" t="str">
            <v>-</v>
          </cell>
        </row>
        <row r="10535">
          <cell r="A10535" t="str">
            <v>JW816A</v>
          </cell>
          <cell r="B10535" t="str">
            <v>Aruba IAP-334 (JP) Instant 4x4:4 11ac AP</v>
          </cell>
          <cell r="C10535" t="str">
            <v>-</v>
          </cell>
        </row>
        <row r="10536">
          <cell r="A10536" t="str">
            <v>JW822A</v>
          </cell>
          <cell r="B10536" t="str">
            <v>Aruba IAP-335 (JP) Instant 4x4:4 11ac AP</v>
          </cell>
          <cell r="C10536" t="str">
            <v>-</v>
          </cell>
        </row>
        <row r="10537">
          <cell r="A10537" t="str">
            <v>JW827A</v>
          </cell>
          <cell r="B10537" t="str">
            <v>Aruba AP-315-CVR-20 20pk Snap-on Cover</v>
          </cell>
          <cell r="C10537" t="str">
            <v>-</v>
          </cell>
        </row>
        <row r="10538">
          <cell r="A10538" t="str">
            <v>JW828A</v>
          </cell>
          <cell r="B10538" t="str">
            <v>Aruba AP-335-CVR-20 20pk Snap-on Cover</v>
          </cell>
          <cell r="C10538" t="str">
            <v>-</v>
          </cell>
        </row>
        <row r="10539">
          <cell r="A10539" t="str">
            <v>JW835A</v>
          </cell>
          <cell r="B10539" t="str">
            <v>Aruba 7240XM (JP) Cntrlr Memory Upgrade</v>
          </cell>
          <cell r="C10539" t="str">
            <v>-</v>
          </cell>
        </row>
        <row r="10540">
          <cell r="A10540" t="str">
            <v>JW843A</v>
          </cell>
          <cell r="B10540" t="str">
            <v>Aruba 7240XMDC (JP) Cntrlr Mem Upgrade</v>
          </cell>
          <cell r="C10540" t="str">
            <v>-</v>
          </cell>
        </row>
        <row r="10541">
          <cell r="A10541" t="str">
            <v>JX912A</v>
          </cell>
          <cell r="B10541" t="str">
            <v>Aruba 7280 (JP) Controller</v>
          </cell>
          <cell r="C10541" t="str">
            <v>-</v>
          </cell>
        </row>
        <row r="10542">
          <cell r="A10542" t="str">
            <v>JX926A</v>
          </cell>
          <cell r="B10542" t="str">
            <v>Aruba 7008 (JP) 16 AP Branch Cntlr</v>
          </cell>
          <cell r="C10542" t="str">
            <v>-</v>
          </cell>
        </row>
        <row r="10543">
          <cell r="A10543" t="str">
            <v>JX933A</v>
          </cell>
          <cell r="B10543" t="str">
            <v>Aruba PSU-150-AC 150W AC Power Supply</v>
          </cell>
          <cell r="C10543" t="str">
            <v>-</v>
          </cell>
        </row>
        <row r="10544">
          <cell r="A10544" t="str">
            <v>JX934A</v>
          </cell>
          <cell r="B10544" t="str">
            <v>Aruba 7008-MNT-19 7008 Rack Mnt</v>
          </cell>
          <cell r="C10544" t="str">
            <v>-</v>
          </cell>
        </row>
        <row r="10545">
          <cell r="A10545" t="str">
            <v>JX935A</v>
          </cell>
          <cell r="B10545" t="str">
            <v>Aruba AP-304 Dual 2x2/3x3 802.11ac AP</v>
          </cell>
          <cell r="C10545" t="str">
            <v>-</v>
          </cell>
        </row>
        <row r="10546">
          <cell r="A10546" t="str">
            <v>JX936A</v>
          </cell>
          <cell r="B10546" t="str">
            <v>Aruba AP-305 Dual 2x2/3x3 802.11ac AP</v>
          </cell>
          <cell r="C10546" t="str">
            <v>-</v>
          </cell>
        </row>
        <row r="10547">
          <cell r="A10547" t="str">
            <v>JX942A</v>
          </cell>
          <cell r="B10547" t="str">
            <v>Aruba IAP-304 (JP) Instant 2x/3x 11ac AP</v>
          </cell>
          <cell r="C10547" t="str">
            <v>-</v>
          </cell>
        </row>
        <row r="10548">
          <cell r="A10548" t="str">
            <v>JX948A</v>
          </cell>
          <cell r="B10548" t="str">
            <v>Aruba IAP-305 (JP) Instant 2x/3x 11ac AP</v>
          </cell>
          <cell r="C10548" t="str">
            <v>-</v>
          </cell>
        </row>
        <row r="10549">
          <cell r="A10549" t="str">
            <v>JX951A</v>
          </cell>
          <cell r="B10549" t="str">
            <v>AP-305-CVR-20 20pk Snap-on Cover</v>
          </cell>
          <cell r="C10549" t="str">
            <v>-</v>
          </cell>
        </row>
        <row r="10550">
          <cell r="A10550" t="str">
            <v>JX952A</v>
          </cell>
          <cell r="B10550" t="str">
            <v>Aruba AP-207 Dual 2x2:2 802.11ac AP</v>
          </cell>
          <cell r="C10550" t="str">
            <v>-</v>
          </cell>
        </row>
        <row r="10551">
          <cell r="A10551" t="str">
            <v>JX957A</v>
          </cell>
          <cell r="B10551" t="str">
            <v>Aruba IAP-207 (JP) Instant 2x2:2 11ac AP</v>
          </cell>
          <cell r="C10551" t="str">
            <v>-</v>
          </cell>
        </row>
        <row r="10552">
          <cell r="A10552" t="str">
            <v>JX960A</v>
          </cell>
          <cell r="B10552" t="str">
            <v>AP-207-CVR-20 20pk Snap-on Cover</v>
          </cell>
          <cell r="C10552" t="str">
            <v>-</v>
          </cell>
        </row>
        <row r="10553">
          <cell r="A10553" t="str">
            <v>JX961A</v>
          </cell>
          <cell r="B10553" t="str">
            <v>AP-MNT-CM1 Metal AP Ceiling Rail Mnt Kit</v>
          </cell>
          <cell r="C10553" t="str">
            <v>-</v>
          </cell>
        </row>
        <row r="10554">
          <cell r="A10554" t="str">
            <v>JX965A</v>
          </cell>
          <cell r="B10554" t="str">
            <v>Aruba AP-365 (JP) Outdoor AP</v>
          </cell>
          <cell r="C10554" t="str">
            <v>-</v>
          </cell>
        </row>
        <row r="10555">
          <cell r="A10555" t="str">
            <v>JX972A</v>
          </cell>
          <cell r="B10555" t="str">
            <v>Aruba AP-367 (JP) Outdoor AP</v>
          </cell>
          <cell r="C10555" t="str">
            <v>-</v>
          </cell>
        </row>
        <row r="10556">
          <cell r="A10556" t="str">
            <v>JX988A</v>
          </cell>
          <cell r="B10556" t="str">
            <v>ANT-4x4-5314 5G 14dBi Panel</v>
          </cell>
          <cell r="C10556" t="str">
            <v>-</v>
          </cell>
        </row>
        <row r="10557">
          <cell r="A10557" t="str">
            <v>JX989A</v>
          </cell>
          <cell r="B10557" t="str">
            <v>AP-AC-12V30A 12V 30W Power Adapter</v>
          </cell>
          <cell r="C10557" t="str">
            <v>-</v>
          </cell>
        </row>
        <row r="10558">
          <cell r="A10558" t="str">
            <v>JX990A</v>
          </cell>
          <cell r="B10558" t="str">
            <v>AP-AC-12V30B 12V 30W Power Adapter</v>
          </cell>
          <cell r="C10558" t="str">
            <v>-</v>
          </cell>
        </row>
        <row r="10559">
          <cell r="A10559" t="str">
            <v>JX991A</v>
          </cell>
          <cell r="B10559" t="str">
            <v>AP-AC-48V36C 48V 36W Power Adapter</v>
          </cell>
          <cell r="C10559" t="str">
            <v>-</v>
          </cell>
        </row>
        <row r="10560">
          <cell r="A10560" t="str">
            <v>JY682A</v>
          </cell>
          <cell r="B10560" t="str">
            <v>Aruba AP-303H (JP) Unified AP</v>
          </cell>
          <cell r="C10560" t="str">
            <v>-</v>
          </cell>
        </row>
        <row r="10561">
          <cell r="A10561" t="str">
            <v>JY686A</v>
          </cell>
          <cell r="B10561" t="str">
            <v>AP-303H-MNT1 Single-gang Mount Kit</v>
          </cell>
          <cell r="C10561" t="str">
            <v>-</v>
          </cell>
        </row>
        <row r="10562">
          <cell r="A10562" t="str">
            <v>JY687A</v>
          </cell>
          <cell r="B10562" t="str">
            <v>AP-303H-MNT2 Dual-gang Mount Kit</v>
          </cell>
          <cell r="C10562" t="str">
            <v>-</v>
          </cell>
        </row>
        <row r="10563">
          <cell r="A10563" t="str">
            <v>JY688A</v>
          </cell>
          <cell r="B10563" t="str">
            <v>AP-303H-MNTW Wall Mount Kit</v>
          </cell>
          <cell r="C10563" t="str">
            <v>-</v>
          </cell>
        </row>
        <row r="10564">
          <cell r="A10564" t="str">
            <v>JY689A</v>
          </cell>
          <cell r="B10564" t="str">
            <v>AP-303H-MNTD Desk Mount Kit</v>
          </cell>
          <cell r="C10564" t="str">
            <v>-</v>
          </cell>
        </row>
        <row r="10565">
          <cell r="A10565" t="str">
            <v>JY697A</v>
          </cell>
          <cell r="B10565" t="str">
            <v>Aruba AP-203H (JP) Unified AP</v>
          </cell>
          <cell r="C10565" t="str">
            <v>-</v>
          </cell>
        </row>
        <row r="10566">
          <cell r="A10566" t="str">
            <v>JY701A</v>
          </cell>
          <cell r="B10566" t="str">
            <v>AP-203H-MNT1 Single-gang Mount Kit</v>
          </cell>
          <cell r="C10566" t="str">
            <v>-</v>
          </cell>
        </row>
        <row r="10567">
          <cell r="A10567" t="str">
            <v>JY703A</v>
          </cell>
          <cell r="B10567" t="str">
            <v>AP-203H-MNTW Wall/2G Mount Kit</v>
          </cell>
          <cell r="C10567" t="str">
            <v>-</v>
          </cell>
        </row>
        <row r="10568">
          <cell r="A10568" t="str">
            <v>JY704A</v>
          </cell>
          <cell r="B10568" t="str">
            <v>AP-203H-MNTD Desk Mount Kit</v>
          </cell>
          <cell r="C10568" t="str">
            <v>-</v>
          </cell>
        </row>
        <row r="10569">
          <cell r="A10569" t="str">
            <v>JY705A</v>
          </cell>
          <cell r="B10569" t="str">
            <v>AP-200-MNT-W3 Low Prof Secure AP Mnt Kit</v>
          </cell>
          <cell r="C10569" t="str">
            <v>-</v>
          </cell>
        </row>
        <row r="10570">
          <cell r="A10570" t="str">
            <v>JY706A</v>
          </cell>
          <cell r="B10570" t="str">
            <v>AP-220-MNT-W3 Low Prof Secure AP Mnt Kit</v>
          </cell>
          <cell r="C10570" t="str">
            <v>-</v>
          </cell>
        </row>
        <row r="10571">
          <cell r="A10571" t="str">
            <v>JY716A</v>
          </cell>
          <cell r="B10571" t="str">
            <v>Aruba AP-203R (JP) Unified Remote AP</v>
          </cell>
          <cell r="C10571" t="str">
            <v>-</v>
          </cell>
        </row>
        <row r="10572">
          <cell r="A10572" t="str">
            <v>JY724A</v>
          </cell>
          <cell r="B10572" t="str">
            <v>Aruba AP-203RP (JP) PoE Unified RAP</v>
          </cell>
          <cell r="C10572" t="str">
            <v>-</v>
          </cell>
        </row>
        <row r="10573">
          <cell r="A10573" t="str">
            <v>JY728A</v>
          </cell>
          <cell r="B10573" t="str">
            <v>AP-CBL-SERU Console Adapter Cable</v>
          </cell>
          <cell r="C10573" t="str">
            <v>-</v>
          </cell>
        </row>
        <row r="10574">
          <cell r="A10574" t="str">
            <v>JY791A</v>
          </cell>
          <cell r="B10574" t="str">
            <v>Aruba MM-HW-1K Mob Mstr 1000 Devices</v>
          </cell>
          <cell r="C10574" t="str">
            <v>-</v>
          </cell>
        </row>
        <row r="10575">
          <cell r="A10575" t="str">
            <v>JY792A</v>
          </cell>
          <cell r="B10575" t="str">
            <v>Aruba MM-HW-5K Mob Mstr 5000 Devices</v>
          </cell>
          <cell r="C10575" t="str">
            <v>-</v>
          </cell>
        </row>
        <row r="10576">
          <cell r="A10576" t="str">
            <v>JY793A</v>
          </cell>
          <cell r="B10576" t="str">
            <v>Aruba MM-HW-10K Mob Mstr 10000 Devices</v>
          </cell>
          <cell r="C10576" t="str">
            <v>-</v>
          </cell>
        </row>
        <row r="10577">
          <cell r="A10577" t="str">
            <v>JY973A</v>
          </cell>
          <cell r="B10577" t="str">
            <v>AP-303H-CVR-20 20pk Snap-on Cover</v>
          </cell>
          <cell r="C10577" t="str">
            <v>-</v>
          </cell>
        </row>
        <row r="10578">
          <cell r="A10578" t="str">
            <v>JY986A</v>
          </cell>
          <cell r="B10578" t="str">
            <v>MMPSU-400-AC 400W AC Spare PSU</v>
          </cell>
          <cell r="C10578" t="str">
            <v>-</v>
          </cell>
        </row>
        <row r="10579">
          <cell r="A10579" t="str">
            <v>JZ012A</v>
          </cell>
          <cell r="B10579" t="str">
            <v>PSU-550-AC 550W AC Power Supply</v>
          </cell>
          <cell r="C10579" t="str">
            <v>-</v>
          </cell>
        </row>
        <row r="10580">
          <cell r="A10580" t="str">
            <v>JZ013A</v>
          </cell>
          <cell r="B10580" t="str">
            <v>Aruba HW-7280-FT 7280 Series Fan Tray</v>
          </cell>
          <cell r="C10580" t="str">
            <v>-</v>
          </cell>
        </row>
        <row r="10581">
          <cell r="A10581" t="str">
            <v>JZ072A</v>
          </cell>
          <cell r="B10581" t="str">
            <v>MM-FT Spare Fan Tray</v>
          </cell>
          <cell r="C10581" t="str">
            <v>-</v>
          </cell>
        </row>
        <row r="10582">
          <cell r="A10582" t="str">
            <v>J4858D</v>
          </cell>
          <cell r="B10582" t="str">
            <v>Aruba 1G SFP LC SX 500m MMF XCVR</v>
          </cell>
          <cell r="C10582" t="str">
            <v>Aruba 1000base-SX SFP トランシーバー</v>
          </cell>
        </row>
        <row r="10583">
          <cell r="A10583" t="str">
            <v>J4859D</v>
          </cell>
          <cell r="B10583" t="str">
            <v>Aruba 1G SFP LC LX 10km SMF XCVR</v>
          </cell>
          <cell r="C10583" t="str">
            <v>Aruba 1000base-LX SFP トランシーバー</v>
          </cell>
        </row>
        <row r="10584">
          <cell r="A10584" t="str">
            <v>J4860D</v>
          </cell>
          <cell r="B10584" t="str">
            <v>Aruba 1G SFP LC LH 70km SMF XCVR</v>
          </cell>
          <cell r="C10584" t="str">
            <v>Aruba 1000base-LH SFP トランシーバー</v>
          </cell>
        </row>
        <row r="10585">
          <cell r="A10585" t="str">
            <v>J8177D</v>
          </cell>
          <cell r="B10585" t="str">
            <v>Aruba 1G SFP RJ45 T 100m Cat5e XCVR</v>
          </cell>
          <cell r="C10585" t="str">
            <v>Aruba 1000base-T SFP トランシーバー</v>
          </cell>
        </row>
        <row r="10586">
          <cell r="A10586" t="str">
            <v>J9054D</v>
          </cell>
          <cell r="B10586" t="str">
            <v>Aruba 100M SFP LC FX 2km MMF XCVR</v>
          </cell>
          <cell r="C10586" t="str">
            <v>Aruba 100base-FX SFP トランシーバー</v>
          </cell>
        </row>
        <row r="10587">
          <cell r="A10587" t="str">
            <v>J9150D</v>
          </cell>
          <cell r="B10587" t="str">
            <v>Aruba 10G SFP+ LC SR 300m MMF XCVR</v>
          </cell>
          <cell r="C10587" t="str">
            <v>Aruba 10Gbase-SR SFP+ トランシーバー</v>
          </cell>
        </row>
        <row r="10588">
          <cell r="A10588" t="str">
            <v>J9151D</v>
          </cell>
          <cell r="B10588" t="str">
            <v>Aruba 10G SFP+ LC LR 10km SMF XCVR</v>
          </cell>
          <cell r="C10588" t="str">
            <v>Aruba 10Gbase-LR SFP+ トランシーバー</v>
          </cell>
        </row>
        <row r="10589">
          <cell r="A10589" t="str">
            <v>J9152D</v>
          </cell>
          <cell r="B10589" t="str">
            <v>Aruba 10G SFP+ LC LRM 220m MMF XCVR</v>
          </cell>
          <cell r="C10589" t="str">
            <v>Aruba 10Gbase-LRM SFP+ トランシーバー</v>
          </cell>
        </row>
        <row r="10590">
          <cell r="A10590" t="str">
            <v>J9153D</v>
          </cell>
          <cell r="B10590" t="str">
            <v>Aruba 10G SFP+ LC ER 40km SMF XCVR</v>
          </cell>
          <cell r="C10590" t="str">
            <v>Aruba 10Gbase-ER SFP+ トランシーバー</v>
          </cell>
        </row>
        <row r="10591">
          <cell r="A10591" t="str">
            <v>J9281D</v>
          </cell>
          <cell r="B10591" t="str">
            <v>Aruba 10G SFP+ to SFP+ 1m DAC Cable</v>
          </cell>
          <cell r="C10591" t="str">
            <v>Aruba SFP+ DACケーブル 1m</v>
          </cell>
        </row>
        <row r="10592">
          <cell r="A10592" t="str">
            <v>J9283D</v>
          </cell>
          <cell r="B10592" t="str">
            <v>Aruba 10G SFP+ to SFP+ 3m DAC Cable</v>
          </cell>
          <cell r="C10592" t="str">
            <v>Aruba SFP+ DACケーブル 3m</v>
          </cell>
        </row>
        <row r="10593">
          <cell r="A10593" t="str">
            <v>J9285D</v>
          </cell>
          <cell r="B10593" t="str">
            <v>Aruba 10G SFP+ to SFP+ 7m DAC Cable</v>
          </cell>
          <cell r="C10593" t="str">
            <v>Aruba SFP+ DACケーブル 7m</v>
          </cell>
        </row>
        <row r="10594">
          <cell r="A10594" t="str">
            <v>J9578A</v>
          </cell>
          <cell r="B10594" t="str">
            <v>HP 3800 0.5m Stacking Cable</v>
          </cell>
          <cell r="C10594" t="str">
            <v>スタック用ケーブル 0.5m</v>
          </cell>
        </row>
        <row r="10595">
          <cell r="A10595" t="str">
            <v>J9579A</v>
          </cell>
          <cell r="B10595" t="str">
            <v>HP 3800 3m Stacking Cable</v>
          </cell>
          <cell r="C10595" t="str">
            <v>スタック用ケーブル 3m</v>
          </cell>
        </row>
        <row r="10596">
          <cell r="A10596" t="str">
            <v>J9583A</v>
          </cell>
          <cell r="B10596" t="str">
            <v>HP X410 1U Univ 4-post Rack Mnt Kit</v>
          </cell>
          <cell r="C10596" t="str">
            <v>4 ポストラック用 ラックマウントキット</v>
          </cell>
        </row>
        <row r="10597">
          <cell r="A10597" t="str">
            <v>J9665A</v>
          </cell>
          <cell r="B10597" t="str">
            <v>HP 3800 1m Stacking Cable</v>
          </cell>
          <cell r="C10597" t="str">
            <v>スタック用ケーブル 1m</v>
          </cell>
        </row>
        <row r="10598">
          <cell r="A10598" t="str">
            <v>J9731A</v>
          </cell>
          <cell r="B10598" t="str">
            <v>Aruba 2920 2-port 10GbE SFP+ Module</v>
          </cell>
          <cell r="C10598" t="str">
            <v>10GbE SFP+ x2ポート拡張モジュール</v>
          </cell>
        </row>
        <row r="10599">
          <cell r="A10599" t="str">
            <v>J9732A</v>
          </cell>
          <cell r="B10599" t="str">
            <v>Aruba 2920 2-port 10GBASE-T Module</v>
          </cell>
          <cell r="C10599" t="str">
            <v>10Gbase-T x2ポート拡張モジュール</v>
          </cell>
        </row>
        <row r="10600">
          <cell r="A10600" t="str">
            <v>J9733A</v>
          </cell>
          <cell r="B10600" t="str">
            <v>Aruba 2920 2-port Stacking Module</v>
          </cell>
          <cell r="C10600" t="str">
            <v>スタック用モジュールオプション</v>
          </cell>
        </row>
        <row r="10601">
          <cell r="A10601" t="str">
            <v>J9734A</v>
          </cell>
          <cell r="B10601" t="str">
            <v>Aruba 2920 0.5m Stacking Cable</v>
          </cell>
          <cell r="C10601" t="str">
            <v>スタック用ケーブル 0.5m</v>
          </cell>
        </row>
        <row r="10602">
          <cell r="A10602" t="str">
            <v>J9735A</v>
          </cell>
          <cell r="B10602" t="str">
            <v>Aruba 2920 1m Stacking Cable</v>
          </cell>
          <cell r="C10602" t="str">
            <v>スタック用ケーブル 1m</v>
          </cell>
        </row>
        <row r="10603">
          <cell r="A10603" t="str">
            <v>J9736A</v>
          </cell>
          <cell r="B10603" t="str">
            <v>Aruba 2920 3m Stacking Cable</v>
          </cell>
          <cell r="C10603" t="str">
            <v>スタック用ケーブル 3m</v>
          </cell>
        </row>
        <row r="10604">
          <cell r="A10604" t="str">
            <v>J9738A#ACF</v>
          </cell>
          <cell r="B10604" t="str">
            <v>HP X332 575W 100-240VAC to 54VDC PS</v>
          </cell>
          <cell r="C10604" t="str">
            <v>外部電源冗長用パワーサプライキット</v>
          </cell>
        </row>
        <row r="10605">
          <cell r="A10605" t="str">
            <v>J9739A#ACF</v>
          </cell>
          <cell r="B10605" t="str">
            <v>HP X331 165W 100-240VAC to 12VDC PS</v>
          </cell>
          <cell r="C10605" t="str">
            <v>外部電源冗長用パワーサプライキット</v>
          </cell>
        </row>
        <row r="10606">
          <cell r="A10606" t="str">
            <v>J9772A#ACF</v>
          </cell>
          <cell r="B10606" t="str">
            <v>Aruba 2530 48G PoE+ Switch</v>
          </cell>
          <cell r="C10606" t="str">
            <v>PoE+対応 1000base-T x48 ポート、1GbE SFP x4 ポート L2スイッチ
※SFP ポートでは PoE+非サポート</v>
          </cell>
        </row>
        <row r="10607">
          <cell r="A10607" t="str">
            <v>J9773A#ACF</v>
          </cell>
          <cell r="B10607" t="str">
            <v>Aruba 2530 24G PoE+ Switch</v>
          </cell>
          <cell r="C10607" t="str">
            <v>PoE+対応 1000base-T x24 ポート、1GbE SFP x4 ポート L2スイッチ
※SFP ポートでは PoE+非サポート</v>
          </cell>
        </row>
        <row r="10608">
          <cell r="A10608" t="str">
            <v>J9774A#ACF</v>
          </cell>
          <cell r="B10608" t="str">
            <v>Aruba 2530 8G PoE+ Switch</v>
          </cell>
          <cell r="C10608" t="str">
            <v>PoE+対応 1000base-T x8 ポート、1000base-T or 1GbE SFP x2 ポート L2スイッチ
※SFP ポートでは PoE+非サポート</v>
          </cell>
        </row>
        <row r="10609">
          <cell r="A10609" t="str">
            <v>J9775A#ACF</v>
          </cell>
          <cell r="B10609" t="str">
            <v>Aruba 2530 48G Switch</v>
          </cell>
          <cell r="C10609" t="str">
            <v>1000base-T x48 ポート、1GbE SFP x4 ポート L2スイッチ</v>
          </cell>
        </row>
        <row r="10610">
          <cell r="A10610" t="str">
            <v>J9776A#ACF</v>
          </cell>
          <cell r="B10610" t="str">
            <v>Aruba 2530 24G Switch</v>
          </cell>
          <cell r="C10610" t="str">
            <v>1000base-T x24 ポート、1GbE SFP x4 ポート L2スイッチ</v>
          </cell>
        </row>
        <row r="10611">
          <cell r="A10611" t="str">
            <v>J9777A#ACF</v>
          </cell>
          <cell r="B10611" t="str">
            <v>Aruba 2530 8G Switch</v>
          </cell>
          <cell r="C10611" t="str">
            <v>1000base-T x8 ポート、1000base-T or 1GbE SFP x2 ポート L2スイッチ</v>
          </cell>
        </row>
        <row r="10612">
          <cell r="A10612" t="str">
            <v>J9778A#ACF</v>
          </cell>
          <cell r="B10612" t="str">
            <v>Aruba 2530 48 PoE+ Switch</v>
          </cell>
          <cell r="C10612" t="str">
            <v>PoE+対応 100base-T x48 ポート、1000base-T x2 ポート、1000base-T or 1GbE SFP x2 ポート  L2スイッチ
※SFP ポートでは PoE+非サポート</v>
          </cell>
        </row>
        <row r="10613">
          <cell r="A10613" t="str">
            <v>J9779A#ACF</v>
          </cell>
          <cell r="B10613" t="str">
            <v>Aruba 2530 24 PoE+ Switch</v>
          </cell>
          <cell r="C10613" t="str">
            <v>PoE+対応 100base-T x24 ポート、1000base-T x2 ポート、1000base-T or 1GbE SFP x2 ポート  L2スイッチ
※SFP ポートでは PoE+非サポート</v>
          </cell>
        </row>
        <row r="10614">
          <cell r="A10614" t="str">
            <v>J9780A#ACF</v>
          </cell>
          <cell r="B10614" t="str">
            <v>Aruba 2530 8 PoE+ Switch</v>
          </cell>
          <cell r="C10614" t="str">
            <v>PoE+対応 100base-T x8 ポート、1000base-T or 1GbE SFP x2 ポート  L2スイッチ
※SFP ポートでは PoE+非サポート</v>
          </cell>
        </row>
        <row r="10615">
          <cell r="A10615" t="str">
            <v>J9781A#ACF</v>
          </cell>
          <cell r="B10615" t="str">
            <v>Aruba 2530 48 Switch</v>
          </cell>
          <cell r="C10615" t="str">
            <v>100base-TX x48 ポート、1000base-T x2 ポート、1GbE SFP x2 ポート L2スイッチ</v>
          </cell>
        </row>
        <row r="10616">
          <cell r="A10616" t="str">
            <v>J9782A#ACF</v>
          </cell>
          <cell r="B10616" t="str">
            <v>Aruba 2530 24 Switch</v>
          </cell>
          <cell r="C10616" t="str">
            <v>100base-TX x24 ポート、1000base-T x2 ポート、1GbE SFP x2 ポート L2スイッチ</v>
          </cell>
        </row>
        <row r="10617">
          <cell r="A10617" t="str">
            <v>J9783A#ACF</v>
          </cell>
          <cell r="B10617" t="str">
            <v>Aruba 2530 8 Switch</v>
          </cell>
          <cell r="C10617" t="str">
            <v>100base-TX x8 ポート、1000base-T or 1GbE SFP x2 ポート L2スイッチ</v>
          </cell>
        </row>
        <row r="10618">
          <cell r="A10618" t="str">
            <v>J9805A</v>
          </cell>
          <cell r="B10618" t="str">
            <v>HP 640 Redundant/External PS Shelf</v>
          </cell>
          <cell r="C10618" t="str">
            <v>外部電源冗長用シェルフキット
※外部電源冗長用パワーサプライキットを最大 3 個まで搭載可能</v>
          </cell>
        </row>
        <row r="10619">
          <cell r="A10619" t="str">
            <v>J9806A</v>
          </cell>
          <cell r="B10619" t="str">
            <v>HP 640 EPS/RPS 1m Cable</v>
          </cell>
          <cell r="C10619" t="str">
            <v>外部電源冗長用ケーブルオプション 1m
※ネットワークスイッチと外部電源冗長用パワーサプライキット間の接続用ケーブル</v>
          </cell>
        </row>
        <row r="10620">
          <cell r="A10620" t="str">
            <v>J9820A</v>
          </cell>
          <cell r="B10620" t="str">
            <v>Aruba 2530 8-port Switch Pwr Adptr Shelf</v>
          </cell>
          <cell r="C10620" t="str">
            <v>-</v>
          </cell>
        </row>
        <row r="10621">
          <cell r="A10621" t="str">
            <v>J9821A</v>
          </cell>
          <cell r="B10621" t="str">
            <v>Aruba 5406R zl2 Switch</v>
          </cell>
          <cell r="C10621" t="str">
            <v>Aruba 5412R zl2 スイッチシャーシ
※電源モジュール(パワーサプライ)、インターフェイス モジュールの追加が必要
※マネジメントモジュール ×1 (最大 2)、ファントレイ ×1 (最大) 標準搭載</v>
          </cell>
        </row>
        <row r="10622">
          <cell r="A10622" t="str">
            <v>J9822A</v>
          </cell>
          <cell r="B10622" t="str">
            <v>Aruba 5412R zl2 Switch</v>
          </cell>
          <cell r="C10622" t="str">
            <v>Aruba 5406R zl2 スイッチシャーシ
※電源モジュール(パワーサプライ)、インターフェイス モジュールの追加が必要
※マネジメントモジュール ×1 (最大 2)、ファントレイ ×1 (最大) 標準搭載</v>
          </cell>
        </row>
        <row r="10623">
          <cell r="A10623" t="str">
            <v>J9827A</v>
          </cell>
          <cell r="B10623" t="str">
            <v>Aruba 5400R zl2 Management Module</v>
          </cell>
          <cell r="C10623" t="str">
            <v>マネージメント モジュール
※最大 2 枚で冗長構成</v>
          </cell>
        </row>
        <row r="10624">
          <cell r="A10624" t="str">
            <v>J9828A#ACF</v>
          </cell>
          <cell r="B10624" t="str">
            <v>Aruba 5400R 700W PoE+ zl2 Power Supply</v>
          </cell>
          <cell r="C10624" t="str">
            <v>パワーサプライオプション (AC電源用)
※最大出力：700 W (内 PoE 給電用 275W)</v>
          </cell>
        </row>
        <row r="10625">
          <cell r="A10625" t="str">
            <v>J9829A#ACF</v>
          </cell>
          <cell r="B10625" t="str">
            <v>Aruba 5400R 1100W PoE+ zl2 Power Supply</v>
          </cell>
          <cell r="C10625" t="str">
            <v>パワーサプライオプション (AC 200V電源用)
※最大出力：1100 W (内 PoE 給電用 900W)</v>
          </cell>
        </row>
        <row r="10626">
          <cell r="A10626" t="str">
            <v>J9831A</v>
          </cell>
          <cell r="B10626" t="str">
            <v>Aruba 5406R zl2 Switch Fan Tray</v>
          </cell>
          <cell r="C10626" t="str">
            <v>ファントレイオプション (予備用)</v>
          </cell>
        </row>
        <row r="10627">
          <cell r="A10627" t="str">
            <v>J9832A</v>
          </cell>
          <cell r="B10627" t="str">
            <v>Aruba 5412R zl2 Switch Fan Tray</v>
          </cell>
          <cell r="C10627" t="str">
            <v>ファントレイオプション (予備用)</v>
          </cell>
        </row>
        <row r="10628">
          <cell r="A10628" t="str">
            <v>J9852A</v>
          </cell>
          <cell r="B10628" t="str">
            <v>HPE X450 4U/7U Univ 4-post Rackmount Kit</v>
          </cell>
          <cell r="C10628" t="str">
            <v>4 ポストラック用 ラックマウントキット</v>
          </cell>
        </row>
        <row r="10629">
          <cell r="A10629" t="str">
            <v>J9877A</v>
          </cell>
          <cell r="B10629" t="str">
            <v>HP 1.8M C7 to JIS C 8303 Pwr Cord</v>
          </cell>
          <cell r="C10629" t="str">
            <v>-</v>
          </cell>
        </row>
        <row r="10630">
          <cell r="A10630" t="str">
            <v>J9893A</v>
          </cell>
          <cell r="B10630" t="str">
            <v>HP 1.9M C13 to JIS C 8303 Pwr Cord</v>
          </cell>
          <cell r="C10630" t="str">
            <v>-</v>
          </cell>
        </row>
        <row r="10631">
          <cell r="A10631" t="str">
            <v>J9950A</v>
          </cell>
          <cell r="B10631" t="str">
            <v>HP 2.5M C15 to JIS C 8303 Pwr Cord</v>
          </cell>
          <cell r="C10631" t="str">
            <v>-</v>
          </cell>
        </row>
        <row r="10632">
          <cell r="A10632" t="str">
            <v>J9955A</v>
          </cell>
          <cell r="B10632" t="str">
            <v>HP 2.5M C15 to NEMA L6-20P Pwr Cord</v>
          </cell>
          <cell r="C10632" t="str">
            <v>-</v>
          </cell>
        </row>
        <row r="10633">
          <cell r="A10633" t="str">
            <v>J9986A</v>
          </cell>
          <cell r="B10633" t="str">
            <v>Aruba 24p 1000BASE-T PoE+ v3 zl2 Mod</v>
          </cell>
          <cell r="C10633" t="str">
            <v>PoE+対応 1000Base-T x12 ポートモジュール</v>
          </cell>
        </row>
        <row r="10634">
          <cell r="A10634" t="str">
            <v>J9987A</v>
          </cell>
          <cell r="B10634" t="str">
            <v>Aruba 24p 1000BASE-T v3 zl2 Mod</v>
          </cell>
          <cell r="C10634" t="str">
            <v>1000Base-T x24 ポートモジュール
※PoE+非サポート</v>
          </cell>
        </row>
        <row r="10635">
          <cell r="A10635" t="str">
            <v>J9988A</v>
          </cell>
          <cell r="B10635" t="str">
            <v>Aruba 24p 1GbE SFP v3 zl2 Mod</v>
          </cell>
          <cell r="C10635" t="str">
            <v>1GbE SFP ポート x24 ポートモジュール</v>
          </cell>
        </row>
        <row r="10636">
          <cell r="A10636" t="str">
            <v>J9989A</v>
          </cell>
          <cell r="B10636" t="str">
            <v>Aruba 12p PoE+ / 12p 1GbE SFP v3 zl2 Mod</v>
          </cell>
          <cell r="C10636" t="str">
            <v>PoE+対応 1GbE RJ-45 x12 ポート、1GbE SFP x12 ポートモジュール
※SFP ポートでは PoE+非サポート</v>
          </cell>
        </row>
        <row r="10637">
          <cell r="A10637" t="str">
            <v>J9990A</v>
          </cell>
          <cell r="B10637" t="str">
            <v>Aruba 20p PoE+ / 4p SFP+ v3 zl2 Mod</v>
          </cell>
          <cell r="C10637" t="str">
            <v>PoE+対応 1GbE RJ-45 x20 ポート、10GbE SFP+ x4 ポートモジュール
※SFP+ ポートでは PoE+非サポート</v>
          </cell>
        </row>
        <row r="10638">
          <cell r="A10638" t="str">
            <v>J9991A</v>
          </cell>
          <cell r="B10638" t="str">
            <v>Aruba 20p PoE+ 4p 1/2.5/5/XGT v3 zl2 Mod</v>
          </cell>
          <cell r="C10638" t="str">
            <v>PoE+ / HPE Smart Rate 対応 1/2.5/5/10 Gbase-T x4 ポート、PoE+対応 1000Base-T x20 ポートモジュール</v>
          </cell>
        </row>
        <row r="10639">
          <cell r="A10639" t="str">
            <v>J9992A</v>
          </cell>
          <cell r="B10639" t="str">
            <v>Aruba 20p PoE+ 1p 40GbE QSFP+ v3 zl2 Mod</v>
          </cell>
          <cell r="C10639" t="str">
            <v>PoE+対応 1GbE RJ-45 x20 ポート、40GbE QSFP+ x1 ポートモジュール
※QSFP+ ポートでは PoE+非サポート</v>
          </cell>
        </row>
        <row r="10640">
          <cell r="A10640" t="str">
            <v>J9993A</v>
          </cell>
          <cell r="B10640" t="str">
            <v>Aruba 8p 1G/10GbE SFP+ v3 zl2 Mod</v>
          </cell>
          <cell r="C10640" t="str">
            <v>1/10GbE SFP+ x8 ポートモジュール
※PoE+非サポート</v>
          </cell>
        </row>
        <row r="10641">
          <cell r="A10641" t="str">
            <v>J9995A</v>
          </cell>
          <cell r="B10641" t="str">
            <v>Aruba 8p 1/2.5/5/XGT PoE+ v3 zl2 Mod</v>
          </cell>
          <cell r="C10641" t="str">
            <v>PoE+ / HPE Smart Rate 対応 1/2.5/5/10 Gbase-T x8 ポート</v>
          </cell>
        </row>
        <row r="10642">
          <cell r="A10642" t="str">
            <v>J9996A</v>
          </cell>
          <cell r="B10642" t="str">
            <v>Aruba 2p 40GbE QSFP+ v3 zl2 Mod</v>
          </cell>
          <cell r="C10642" t="str">
            <v>40GbE QSFP+ x2 ポートモジュール
※PoE+非サポート</v>
          </cell>
        </row>
        <row r="10643">
          <cell r="A10643" t="str">
            <v>JH231A</v>
          </cell>
          <cell r="B10643" t="str">
            <v>HP X142 40G QSFP+ MPO SR4 Transceiver</v>
          </cell>
          <cell r="C10643" t="str">
            <v>X142 40Gbase-SR4 QSFP+ トランシーバー</v>
          </cell>
        </row>
        <row r="10644">
          <cell r="A10644" t="str">
            <v>JH232A</v>
          </cell>
          <cell r="B10644" t="str">
            <v>HP X142 40G QSFP+ LC LR4 SM Transceiver</v>
          </cell>
          <cell r="C10644" t="str">
            <v>X142 40Gbase-LR4 SFP+ トランシーバー</v>
          </cell>
        </row>
        <row r="10645">
          <cell r="A10645" t="str">
            <v>JH233A</v>
          </cell>
          <cell r="B10645" t="str">
            <v>HP X142 40G QSFP+ MPO eSR4 300M XCVR</v>
          </cell>
          <cell r="C10645" t="str">
            <v>X142 40Gbase-eSR4 QSFP+ トランシーバー</v>
          </cell>
        </row>
        <row r="10646">
          <cell r="A10646" t="str">
            <v>JH234A</v>
          </cell>
          <cell r="B10646" t="str">
            <v>HP X242 40G QSFP+ to QSFP+ 1m DAC Cable</v>
          </cell>
          <cell r="C10646" t="str">
            <v>X242 40G QSFP+ DACケーブル 1m</v>
          </cell>
        </row>
        <row r="10647">
          <cell r="A10647" t="str">
            <v>JH235A</v>
          </cell>
          <cell r="B10647" t="str">
            <v>HP X242 40G QSFP+ to QSFP+ 3m DAC Cable</v>
          </cell>
          <cell r="C10647" t="str">
            <v>X242 40G QSFP+ DACケーブル 3m</v>
          </cell>
        </row>
        <row r="10648">
          <cell r="A10648" t="str">
            <v>JH236A</v>
          </cell>
          <cell r="B10648" t="str">
            <v>HP X242 40G QSFP+ to QSFP+ 5m DAC Cable</v>
          </cell>
          <cell r="C10648" t="str">
            <v>X242 40G QSFP+ DACケーブル 5m</v>
          </cell>
        </row>
        <row r="10649">
          <cell r="A10649" t="str">
            <v>JL071A</v>
          </cell>
          <cell r="B10649" t="str">
            <v>Aruba 3810M 24G 1-slot Swch</v>
          </cell>
          <cell r="C10649" t="str">
            <v>1000Base-T x24 ポート L3スイッチ
※モジュール拡張スロット x2、スタックモジュール用スロット x1
※電源モジュール別売り(最大2個：冗長可)</v>
          </cell>
        </row>
        <row r="10650">
          <cell r="A10650" t="str">
            <v>JL072A</v>
          </cell>
          <cell r="B10650" t="str">
            <v>Aruba 3810M 48G 1-slot Swch</v>
          </cell>
          <cell r="C10650" t="str">
            <v>1000Base-T x48 ポート L3スイッチ
※モジュール拡張スロット x2、スタックモジュール用スロット x1
※電源モジュール別売り(最大2個：冗長可)</v>
          </cell>
        </row>
        <row r="10651">
          <cell r="A10651" t="str">
            <v>JL073A</v>
          </cell>
          <cell r="B10651" t="str">
            <v>Aruba 3810M 24G PoE+ 1-slot Swch</v>
          </cell>
          <cell r="C10651" t="str">
            <v>PoE+対応 1000Base-T x24 ポート L3スイッチ
※モジュール拡張スロット x2、スタックモジュール用スロット x1
※電源モジュール別売り(最大2個：冗長可)</v>
          </cell>
        </row>
        <row r="10652">
          <cell r="A10652" t="str">
            <v>JL074A</v>
          </cell>
          <cell r="B10652" t="str">
            <v>Aruba 3810M 48G PoE+ 1-slot Swch</v>
          </cell>
          <cell r="C10652" t="str">
            <v>PoE+対応 1000Base-T x48 ポート L3スイッチ
※モジュール拡張スロット x2、スタックモジュール用スロット x1
※電源モジュール別売り(最大2個：冗長可)</v>
          </cell>
        </row>
        <row r="10653">
          <cell r="A10653" t="str">
            <v>JL075A</v>
          </cell>
          <cell r="B10653" t="str">
            <v>Aruba 3810M 16SFP+ 2-slot Swch</v>
          </cell>
          <cell r="C10653" t="str">
            <v>1/10GbE SFP+ x16 ポート L3スイッチ
※モジュール拡張スロット x2、スタックモジュール用スロット x1
※電源モジュール別売り(最大2個：冗長可)</v>
          </cell>
        </row>
        <row r="10654">
          <cell r="A10654" t="str">
            <v>JL076A</v>
          </cell>
          <cell r="B10654" t="str">
            <v>Aruba 3810M 40G 8SR PoE+ 1-slot Swch</v>
          </cell>
          <cell r="C10654" t="str">
            <v>PoE+対応 1000Base-T x40 ポート、Smart Rate(1000Base-T) x8 ポート L3スイッチ
※モジュール拡張スロット x2、スタックモジュール用スロット x1
※電源モジュール別売り(最大2個：冗長可)</v>
          </cell>
        </row>
        <row r="10655">
          <cell r="A10655" t="str">
            <v>JL078A</v>
          </cell>
          <cell r="B10655" t="str">
            <v>Aruba 3810M 1QSFP+ 40GbE Module</v>
          </cell>
          <cell r="C10655" t="str">
            <v>40GbE QSFP+ x1 ポートモジュール</v>
          </cell>
        </row>
        <row r="10656">
          <cell r="A10656" t="str">
            <v>JL079A</v>
          </cell>
          <cell r="B10656" t="str">
            <v>Aruba 3810M 2QSFP+ 40GbE Module</v>
          </cell>
          <cell r="C10656" t="str">
            <v>40GbE QSFP+ x2 ポートモジュール</v>
          </cell>
        </row>
        <row r="10657">
          <cell r="A10657" t="str">
            <v>JL081A</v>
          </cell>
          <cell r="B10657" t="str">
            <v>Aruba 3810M/2930M 4 Smrt Rte PoE+ Module</v>
          </cell>
          <cell r="C10657" t="str">
            <v>PoE+対応 Smart Rate(1000Base-T) x4 ポート モジュール</v>
          </cell>
        </row>
        <row r="10658">
          <cell r="A10658" t="str">
            <v>JL083A</v>
          </cell>
          <cell r="B10658" t="str">
            <v>Aruba 3810M 4SFP+ Module</v>
          </cell>
          <cell r="C10658" t="str">
            <v>1/10GbE SFP+ x4 ポートモジュール</v>
          </cell>
        </row>
        <row r="10659">
          <cell r="A10659" t="str">
            <v>JL084A</v>
          </cell>
          <cell r="B10659" t="str">
            <v>Aruba 3810M 4-port Stacking Module</v>
          </cell>
          <cell r="C10659" t="str">
            <v>スタック用モジュールオプション</v>
          </cell>
        </row>
        <row r="10660">
          <cell r="A10660" t="str">
            <v>JL085A#ACF</v>
          </cell>
          <cell r="B10660" t="str">
            <v>Aruba X371 12VDC 250W PS JP en</v>
          </cell>
          <cell r="C10660" t="str">
            <v>パワーサプライオプション</v>
          </cell>
        </row>
        <row r="10661">
          <cell r="A10661" t="str">
            <v>JL086A#ACF</v>
          </cell>
          <cell r="B10661" t="str">
            <v>Aruba X372 54VDC 680W PS JP en</v>
          </cell>
          <cell r="C10661" t="str">
            <v>パワーサプライオプション</v>
          </cell>
        </row>
        <row r="10662">
          <cell r="A10662" t="str">
            <v>JL087A#ACF</v>
          </cell>
          <cell r="B10662" t="str">
            <v>Aruba X372 54VDC 1050W PS JP en</v>
          </cell>
          <cell r="C10662" t="str">
            <v>パワーサプライオプション</v>
          </cell>
        </row>
        <row r="10663">
          <cell r="A10663" t="str">
            <v>JL088A</v>
          </cell>
          <cell r="B10663" t="str">
            <v>Aruba 3810 Switch Fan Tray</v>
          </cell>
          <cell r="C10663" t="str">
            <v>ファントレイオプション</v>
          </cell>
        </row>
        <row r="10664">
          <cell r="A10664" t="str">
            <v>JL253A#ACF</v>
          </cell>
          <cell r="B10664" t="str">
            <v>Aruba 2930F 24G 4SFP+ Swch JP en</v>
          </cell>
          <cell r="C10664" t="str">
            <v>1000base-T x24 ポート、1/10GbE SFP+ x4 ポート L3スイッチ
※スタック可</v>
          </cell>
        </row>
        <row r="10665">
          <cell r="A10665" t="str">
            <v>JL254A#ACF</v>
          </cell>
          <cell r="B10665" t="str">
            <v>Aruba 2930F 48G 4SFP+ Swch JP en</v>
          </cell>
          <cell r="C10665" t="str">
            <v>1000base-T x48 ポート、1/10GbE SFP+ x4 ポート L3スイッチ
※スタック可</v>
          </cell>
        </row>
        <row r="10666">
          <cell r="A10666" t="str">
            <v>JL255A#ACF</v>
          </cell>
          <cell r="B10666" t="str">
            <v>Aruba 2930F 24G PoE+ 4SFP+ Swch JP en</v>
          </cell>
          <cell r="C10666" t="str">
            <v>1000base-T x24 ポート、1/10GbE SFP+ x4 ポート L3スイッチ
※スタック可
※PoE+対応</v>
          </cell>
        </row>
        <row r="10667">
          <cell r="A10667" t="str">
            <v>JL256A#ACF</v>
          </cell>
          <cell r="B10667" t="str">
            <v>Aruba 2930F 48G PoE+ 4SFP+ Swch JP en</v>
          </cell>
          <cell r="C10667" t="str">
            <v>1000base-T x48 ポート、1/10GbE SFP+ x4 ポート L3スイッチ
※スタック可
※PoE+対応</v>
          </cell>
        </row>
        <row r="10668">
          <cell r="A10668" t="str">
            <v>JL258A#ACF</v>
          </cell>
          <cell r="B10668" t="str">
            <v>Aruba 2930F 8G PoE+ 2SFP+ Swch JP en</v>
          </cell>
          <cell r="C10668" t="str">
            <v>1000base-T x8 ポート、1/10GbE SFP+ x2 ポート L3スイッチ
※スタック可
※PoE+対応</v>
          </cell>
        </row>
        <row r="10669">
          <cell r="A10669" t="str">
            <v>JL259A#ACF</v>
          </cell>
          <cell r="B10669" t="str">
            <v>Aruba 2930F 24G 4SFP Swch JP en</v>
          </cell>
          <cell r="C10669" t="str">
            <v>1000base-T x24 ポート、1GbE SFP x4 ポート L3スイッチ
※スタック可</v>
          </cell>
        </row>
        <row r="10670">
          <cell r="A10670" t="str">
            <v>JL260A#ACF</v>
          </cell>
          <cell r="B10670" t="str">
            <v>Aruba 2930F 48G 4SFP Swch JP en</v>
          </cell>
          <cell r="C10670" t="str">
            <v>1000base-T x48 ポート、1GbE SFP x4 ポート L3スイッチ
※スタック可</v>
          </cell>
        </row>
        <row r="10671">
          <cell r="A10671" t="str">
            <v>JL261A#ACF</v>
          </cell>
          <cell r="B10671" t="str">
            <v>Aruba 2930F 24G PoE+ 4SFP Swch JP en</v>
          </cell>
          <cell r="C10671" t="str">
            <v>1000base-T x24 ポート、1GbE SFP x4 ポート L3スイッチ
※スタック可
※PoE+対応</v>
          </cell>
        </row>
        <row r="10672">
          <cell r="A10672" t="str">
            <v>JL262A#ACF</v>
          </cell>
          <cell r="B10672" t="str">
            <v>Aruba 2930F 48G PoE+ 4SFP Swch JP en</v>
          </cell>
          <cell r="C10672" t="str">
            <v>1000base-T x48 ポート、1GbE SFP x4 ポート L3スイッチ
※スタック可
※PoE+対応</v>
          </cell>
        </row>
        <row r="10673">
          <cell r="A10673" t="str">
            <v>JL307A</v>
          </cell>
          <cell r="B10673" t="str">
            <v>Aruba 100G QSFP28-QSFP28 3m DAC Cable</v>
          </cell>
          <cell r="C10673" t="str">
            <v>100GbE QSFP28 DACケーブル 5m</v>
          </cell>
        </row>
        <row r="10674">
          <cell r="A10674" t="str">
            <v>JL308A</v>
          </cell>
          <cell r="B10674" t="str">
            <v>Aruba 40G QSFP+ LC BiDi 150m MMF XCVR</v>
          </cell>
          <cell r="C10674" t="str">
            <v>40Gbase-BiDi QSFP+ トランシーバー</v>
          </cell>
        </row>
        <row r="10675">
          <cell r="A10675" t="str">
            <v>JL309A</v>
          </cell>
          <cell r="B10675" t="str">
            <v>Aruba 100G QSFP28 MPO SR4 MMF XCVR</v>
          </cell>
          <cell r="C10675" t="str">
            <v>100Gbase-SR4 QSFP28 トランシーバー</v>
          </cell>
        </row>
        <row r="10676">
          <cell r="A10676" t="str">
            <v>JL310A</v>
          </cell>
          <cell r="B10676" t="str">
            <v>Aruba 100G QSFP28 LC LR4 SMF XCVR</v>
          </cell>
          <cell r="C10676" t="str">
            <v>100Gbase-LR4 QSFP28 トランシーバー</v>
          </cell>
        </row>
        <row r="10677">
          <cell r="A10677" t="str">
            <v>JL311A</v>
          </cell>
          <cell r="B10677" t="str">
            <v>Aruba 2930F 8-port Cable Guard</v>
          </cell>
          <cell r="C10677" t="str">
            <v>-</v>
          </cell>
        </row>
        <row r="10678">
          <cell r="A10678" t="str">
            <v>JL312A</v>
          </cell>
          <cell r="B10678" t="str">
            <v>Aruba 2930F 8-port Power Shelf</v>
          </cell>
          <cell r="C10678" t="str">
            <v>-</v>
          </cell>
        </row>
        <row r="10679">
          <cell r="A10679" t="str">
            <v>JL319A</v>
          </cell>
          <cell r="B10679" t="str">
            <v>Aruba 2930M 24G 1-slot Switch</v>
          </cell>
          <cell r="C10679" t="str">
            <v>1000base-T x20 ポート、1000base-T or 1GbE SFP x4 ポート L3スイッチ
※モジュール拡張スロット x1、スタックモジュール用スロット x1
※電源モジュール別売り(最大2個：冗長可)</v>
          </cell>
        </row>
        <row r="10680">
          <cell r="A10680" t="str">
            <v>JL320A</v>
          </cell>
          <cell r="B10680" t="str">
            <v>Aruba 2930M 24G PoE+ 1-slot Switch</v>
          </cell>
          <cell r="C10680" t="str">
            <v>PoE+対応 1000base-T x20 ポート、1000base-T or 1GbE SFP x4 ポート L3スイッチ
※モジュール拡張スロット x1、スタックモジュール用スロット x1
※電源モジュール別売り(最大2個：冗長可)
※SFP ポートでは PoE+非サポート</v>
          </cell>
        </row>
        <row r="10681">
          <cell r="A10681" t="str">
            <v>JL321A</v>
          </cell>
          <cell r="B10681" t="str">
            <v>Aruba 2930M 48G 1-slot Switch</v>
          </cell>
          <cell r="C10681" t="str">
            <v>1000base-T x44 ポート、1000base-T or 1GbE SFP x4 ポート L3スイッチ
※モジュール拡張スロット x1、スタックモジュール用スロット x1
※電源モジュール別売り(最大2個：冗長可)</v>
          </cell>
        </row>
        <row r="10682">
          <cell r="A10682" t="str">
            <v>JL322A</v>
          </cell>
          <cell r="B10682" t="str">
            <v>Aruba 2930M 48G PoE+ 1-slot Switch</v>
          </cell>
          <cell r="C10682" t="str">
            <v>PoE+対応 1000base-T x44 ポート、1000base-T or 1GbE SFP x4 ポート L3スイッチ
※モジュール拡張スロット x1、スタックモジュール用スロット x1
※電源モジュール別売り(最大2個：冗長可)
※SFP ポートでは PoE+非サポート</v>
          </cell>
        </row>
        <row r="10683">
          <cell r="A10683" t="str">
            <v>JL323A</v>
          </cell>
          <cell r="B10683" t="str">
            <v>Aruba 2930M 40G 8 Smrt Rte PoE+ 1s Swch</v>
          </cell>
          <cell r="C10683" t="str">
            <v>PoE+対応 1000base-T x36 ポート、1000base-T or 1GbE SFP x4 ポート、10Gbase-T x8ポート L3スイッチ
※モジュール拡張スロット x1、スタックモジュール用スロット x1
※電源モジュール別売り(最大2個：冗長可)
※SFP ポートでは PoE+非サポート</v>
          </cell>
        </row>
        <row r="10684">
          <cell r="A10684" t="str">
            <v>JL324A</v>
          </cell>
          <cell r="B10684" t="str">
            <v>Aruba 2930M 24 Smrt Rte PoE+ 1s Swch</v>
          </cell>
          <cell r="C10684" t="str">
            <v>PoE+対応 1000base-T x24 ポート L3スイッチ
※モジュール拡張スロット x1、スタックモジュール用スロット x1
※電源モジュール別売り(最大2個：冗長可)</v>
          </cell>
        </row>
        <row r="10685">
          <cell r="A10685" t="str">
            <v>JL325A</v>
          </cell>
          <cell r="B10685" t="str">
            <v>Aruba 2930 2-port Stacking Module</v>
          </cell>
          <cell r="C10685" t="str">
            <v>スタック用モジュールオプション</v>
          </cell>
        </row>
        <row r="10686">
          <cell r="A10686" t="str">
            <v>JL354A#ACF</v>
          </cell>
          <cell r="B10686" t="str">
            <v>Aruba 2540 24G 4SFP+ Switch JP en</v>
          </cell>
          <cell r="C10686" t="str">
            <v>1000base-T x24 ポート、1/10GbE SFP+ x4 ポート L2スイッチ</v>
          </cell>
        </row>
        <row r="10687">
          <cell r="A10687" t="str">
            <v>JL355A#ACF</v>
          </cell>
          <cell r="B10687" t="str">
            <v>Aruba 2540 48G 4SFP+ Switch JP en</v>
          </cell>
          <cell r="C10687" t="str">
            <v>1000base-T x48 ポート、1/10GbE SFP+ x4 ポート L2スイッチ</v>
          </cell>
        </row>
        <row r="10688">
          <cell r="A10688" t="str">
            <v>JL356A#ACF</v>
          </cell>
          <cell r="B10688" t="str">
            <v>Aruba 2540 24G PoE+ 4SFP+ Switch JP en</v>
          </cell>
          <cell r="C10688" t="str">
            <v>1000base-T x24 ポート、1/10GbE SFP+ x4 ポート L2スイッチ
※PoE+対応</v>
          </cell>
        </row>
        <row r="10689">
          <cell r="A10689" t="str">
            <v>JL357A#ACF</v>
          </cell>
          <cell r="B10689" t="str">
            <v>Aruba 2540 48G PoE+ 4SFP+ Switch JP en</v>
          </cell>
          <cell r="C10689" t="str">
            <v>1000base-T x48 ポート、1/10GbE SFP+ x4 ポート L2スイッチ
※PoE+対応</v>
          </cell>
        </row>
        <row r="10690">
          <cell r="A10690" t="str">
            <v>JL363A</v>
          </cell>
          <cell r="B10690" t="str">
            <v>Aruba 8400X 32p 10G SFP/SFP+ Msec Mod</v>
          </cell>
          <cell r="C10690" t="str">
            <v>-</v>
          </cell>
        </row>
        <row r="10691">
          <cell r="A10691" t="str">
            <v>JL365A</v>
          </cell>
          <cell r="B10691" t="str">
            <v>Aruba 8400X 8p 40G QSFP+ Adv Mod</v>
          </cell>
          <cell r="C10691" t="str">
            <v>-</v>
          </cell>
        </row>
        <row r="10692">
          <cell r="A10692" t="str">
            <v>JL366A</v>
          </cell>
          <cell r="B10692" t="str">
            <v>Aruba 8400X 6p 40G/100G QSFP28 Adv Mod</v>
          </cell>
          <cell r="C10692" t="str">
            <v>-</v>
          </cell>
        </row>
        <row r="10693">
          <cell r="A10693" t="str">
            <v>JL367A</v>
          </cell>
          <cell r="B10693" t="str">
            <v>Aruba 8400X 7.2Tbps Fab Mod</v>
          </cell>
          <cell r="C10693" t="str">
            <v>-</v>
          </cell>
        </row>
        <row r="10694">
          <cell r="A10694" t="str">
            <v>JL368A</v>
          </cell>
          <cell r="B10694" t="str">
            <v>Aruba 8400 Mgmt Mod</v>
          </cell>
          <cell r="C10694" t="str">
            <v>-</v>
          </cell>
        </row>
        <row r="10695">
          <cell r="A10695" t="str">
            <v>JL369A</v>
          </cell>
          <cell r="B10695" t="str">
            <v>Aruba X731 Fan Tray</v>
          </cell>
          <cell r="C10695" t="str">
            <v>-</v>
          </cell>
        </row>
        <row r="10696">
          <cell r="A10696" t="str">
            <v>JL370A</v>
          </cell>
          <cell r="B10696" t="str">
            <v>Aruba 8400 Fan for X731 Fan Tray</v>
          </cell>
          <cell r="C10696" t="str">
            <v>-</v>
          </cell>
        </row>
        <row r="10697">
          <cell r="A10697" t="str">
            <v>JL371A</v>
          </cell>
          <cell r="B10697" t="str">
            <v>Aruba 8400 1 Fan Tray and 6 Fans Bundle</v>
          </cell>
          <cell r="C10697" t="str">
            <v>-</v>
          </cell>
        </row>
        <row r="10698">
          <cell r="A10698" t="str">
            <v>JL372A#ACF</v>
          </cell>
          <cell r="B10698" t="str">
            <v>Aruba X382 54VDC 2750W AC PS JP en</v>
          </cell>
          <cell r="C10698" t="str">
            <v>-</v>
          </cell>
        </row>
        <row r="10699">
          <cell r="A10699" t="str">
            <v>JL373A</v>
          </cell>
          <cell r="B10699" t="str">
            <v>Aruba X464 4-post Rack Kit</v>
          </cell>
          <cell r="C10699" t="str">
            <v>-</v>
          </cell>
        </row>
        <row r="10700">
          <cell r="A10700" t="str">
            <v>JL374A</v>
          </cell>
          <cell r="B10700" t="str">
            <v>Aruba X462 2-post Rack Kit</v>
          </cell>
          <cell r="C10700" t="str">
            <v>-</v>
          </cell>
        </row>
        <row r="10701">
          <cell r="A10701" t="str">
            <v>JL375A</v>
          </cell>
          <cell r="B10701" t="str">
            <v>Aruba 8400 Base Cbl Mgr X462 Bndl</v>
          </cell>
          <cell r="C10701" t="str">
            <v>-</v>
          </cell>
        </row>
        <row r="10702">
          <cell r="A10702" t="str">
            <v>JL376A#ACF</v>
          </cell>
          <cell r="B10702" t="str">
            <v>Aruba 8400 1 MM 3 PS 2 FM 32/8 Bdl JP en</v>
          </cell>
          <cell r="C10702" t="str">
            <v>-</v>
          </cell>
        </row>
        <row r="10703">
          <cell r="A10703" t="str">
            <v>JL428A#ACF</v>
          </cell>
          <cell r="B10703" t="str">
            <v>Aruba 3810M 48GPoE+4SFP+680W Swch JP en</v>
          </cell>
          <cell r="C10703" t="str">
            <v>1/10GbE SFP+ x48 ポート、1/10GbE SFP+ x4 ポート L3スイッチ
※スタックモジュール用スロット x1
※電源モジュール1個標準搭載(最大2個：冗長可)</v>
          </cell>
        </row>
        <row r="10704">
          <cell r="A10704" t="str">
            <v>JL430A#ACF</v>
          </cell>
          <cell r="B10704" t="str">
            <v>Aruba 3810M 24SFP+250W Swch JP en</v>
          </cell>
          <cell r="C10704" t="str">
            <v>1/10GbE SFP+ x24 ポート L3スイッチ
※スタックモジュール用スロット x1
※電源モジュール1個標準搭載(最大2個：冗長可)</v>
          </cell>
        </row>
        <row r="10705">
          <cell r="A10705" t="str">
            <v>JL448A</v>
          </cell>
          <cell r="B10705" t="str">
            <v>Aruba X2C2 RJ45 to DB9 Console Cable</v>
          </cell>
          <cell r="C10705" t="str">
            <v>コンソールモニタ接続用ケーブルオプション</v>
          </cell>
        </row>
        <row r="10706">
          <cell r="A10706" t="str">
            <v>JL479A#ACF</v>
          </cell>
          <cell r="B10706" t="str">
            <v>Aruba 8320 48 10/6 40 X472 5 2 Bdl JP en</v>
          </cell>
          <cell r="C10706" t="str">
            <v>1/10GbE SFP+ x48 ポート、40GbE QSFP+ x6ポート L3スイッチ
※ファン x5個標準搭載
※電源モジュール x2個標準搭載</v>
          </cell>
        </row>
        <row r="10707">
          <cell r="A10707" t="str">
            <v>JL480A#ACF</v>
          </cell>
          <cell r="B10707" t="str">
            <v>Aruba X371 400W AC Power Supply JP en</v>
          </cell>
          <cell r="C10707" t="str">
            <v>パワーサプライオプション</v>
          </cell>
        </row>
        <row r="10708">
          <cell r="A10708" t="str">
            <v>JL481A</v>
          </cell>
          <cell r="B10708" t="str">
            <v>Aruba X721 Front-to-Back Fan</v>
          </cell>
          <cell r="C10708" t="str">
            <v>ファントレイオプション</v>
          </cell>
        </row>
        <row r="10709">
          <cell r="A10709" t="str">
            <v>JL482A</v>
          </cell>
          <cell r="B10709" t="str">
            <v>Aruba X472 2-post Rack Kit</v>
          </cell>
          <cell r="C10709" t="str">
            <v>ラックレールキット</v>
          </cell>
        </row>
        <row r="10710">
          <cell r="A10710" t="str">
            <v>JL483A</v>
          </cell>
          <cell r="B10710" t="str">
            <v>Aruba X474 4-post Rack Kit</v>
          </cell>
          <cell r="C10710" t="str">
            <v>ラックレールキット</v>
          </cell>
        </row>
        <row r="10711">
          <cell r="A10711" t="str">
            <v>JC087A#ACF</v>
          </cell>
          <cell r="B10711" t="str">
            <v>HP 5800 300W AC Power Supply</v>
          </cell>
          <cell r="C10711" t="str">
            <v>パワーサプライオプション</v>
          </cell>
        </row>
        <row r="10712">
          <cell r="A10712" t="str">
            <v>JC090A</v>
          </cell>
          <cell r="B10712" t="str">
            <v>HP 5800 300W DC Power Supply</v>
          </cell>
          <cell r="C10712" t="str">
            <v>パワーサプライオプション</v>
          </cell>
        </row>
        <row r="10713">
          <cell r="A10713" t="str">
            <v>JC091A</v>
          </cell>
          <cell r="B10713" t="str">
            <v>HP 5800 4-port 10GbE SFP+ Module</v>
          </cell>
          <cell r="C10713" t="str">
            <v>1/10GbE SFP+ x4 ポートモジュール</v>
          </cell>
        </row>
        <row r="10714">
          <cell r="A10714" t="str">
            <v>JC092B</v>
          </cell>
          <cell r="B10714" t="str">
            <v>HP 5800 2-port 10GbE SFP+ Module</v>
          </cell>
          <cell r="C10714" t="str">
            <v>1/10GbE SFP+ x2 ポートモジュール</v>
          </cell>
        </row>
        <row r="10715">
          <cell r="A10715" t="str">
            <v>JC094A</v>
          </cell>
          <cell r="B10715" t="str">
            <v>HP 5800 16-port Gig-T Module</v>
          </cell>
          <cell r="C10715" t="str">
            <v>1000Base-T x16 ポートモジュール</v>
          </cell>
        </row>
        <row r="10716">
          <cell r="A10716" t="str">
            <v>JC095A</v>
          </cell>
          <cell r="B10716" t="str">
            <v>HP 5800 16-port SFP Module</v>
          </cell>
          <cell r="C10716" t="str">
            <v>1GbE SFP x16 ポートモジュール</v>
          </cell>
        </row>
        <row r="10717">
          <cell r="A10717" t="str">
            <v>JC100B#ACF</v>
          </cell>
          <cell r="B10717" t="str">
            <v>HP 5800-24G Switch JP en</v>
          </cell>
          <cell r="C10717" t="str">
            <v>1000Base-T x24 ポート、1/10GbE SFP+ x4 ポート L3スイッチ
※モジュール拡張スロット x1、スタック可
※電源モジュール 1個搭載 (外部電源冗長可能)</v>
          </cell>
        </row>
        <row r="10718">
          <cell r="A10718" t="str">
            <v>JC102B</v>
          </cell>
          <cell r="B10718" t="str">
            <v>HP 5820X-24XG-SFP+ Switch</v>
          </cell>
          <cell r="C10718" t="str">
            <v>1/10GbE SFP+ x24 ポート、1000base-T x4 ポート L3スイッチ
※スタック可
※電源モジュール別売り(最大2個：冗長可)</v>
          </cell>
        </row>
        <row r="10719">
          <cell r="A10719" t="str">
            <v>JC103B</v>
          </cell>
          <cell r="B10719" t="str">
            <v>HP 5800-24G-SFP Switch w 1 Intf Slt</v>
          </cell>
          <cell r="C10719" t="str">
            <v>1GbE SFP x24 ポート、1/10GbE SFP+ x4 ポート L3スイッチ
※スタック可
※電源モジュール別売り(最大2個：冗長可)</v>
          </cell>
        </row>
        <row r="10720">
          <cell r="A10720" t="str">
            <v>JC105B#ACF</v>
          </cell>
          <cell r="B10720" t="str">
            <v>HP 5800-48G Switch w 1 Intf Slot JP en</v>
          </cell>
          <cell r="C10720" t="str">
            <v>1000Base-T x48 ポート、1/10GbE SFP+ x4 ポート L3スイッチ
※モジュール拡張スロット x1、スタック可
※電源モジュール 1個搭載 (外部電源冗長可能)</v>
          </cell>
        </row>
        <row r="10721">
          <cell r="A10721" t="str">
            <v>JC680A#ACF</v>
          </cell>
          <cell r="B10721" t="str">
            <v>HP 58x0AF 650W AC Power Supply</v>
          </cell>
          <cell r="C10721" t="str">
            <v>パワーサプライオプション</v>
          </cell>
        </row>
        <row r="10722">
          <cell r="A10722" t="str">
            <v>JC682A</v>
          </cell>
          <cell r="B10722" t="str">
            <v>HP 58x0AF Bck(pwr)-Frt(ports) Fan Tray</v>
          </cell>
          <cell r="C10722" t="str">
            <v>ファントレイオプション
※スイッチの電源面から吸気し、ポート面側に排気する通気方式
※スイッチのポート面をサーバー機器などと同様にラックの背面側にしてマウントするのに最適</v>
          </cell>
        </row>
        <row r="10723">
          <cell r="A10723" t="str">
            <v>JC683A</v>
          </cell>
          <cell r="B10723" t="str">
            <v>HP 58x0AF Frt(ports)-Bck(pwr) Fan Tray</v>
          </cell>
          <cell r="C10723" t="str">
            <v>ファントレイオプション
※スイッチのポート面から吸気し、電源面側に排気する通気方式
※スイッチのポート面をラックの前面側にしてマウントするのに最適</v>
          </cell>
        </row>
        <row r="10724">
          <cell r="A10724" t="str">
            <v>JC772A</v>
          </cell>
          <cell r="B10724" t="str">
            <v>HP 5900AF-48XG-4QSFP+ Switch</v>
          </cell>
          <cell r="C10724" t="str">
            <v>1/10GbE SFP+ x48 ポート、40GbE QSFP+ x4 ポート L3スイッチ
※スタック可
※電源モジュール別売り(最大2個：冗長可)
※ファンモジュール別売り(2台必須：非冗長)</v>
          </cell>
        </row>
        <row r="10725">
          <cell r="A10725" t="str">
            <v>JD186A</v>
          </cell>
          <cell r="B10725" t="str">
            <v>HP X290 500 V 1m RPS Cable</v>
          </cell>
          <cell r="C10725" t="str">
            <v>X242 40G QSFP+ DACケーブル 5m</v>
          </cell>
        </row>
        <row r="10726">
          <cell r="A10726" t="str">
            <v>JG081C</v>
          </cell>
          <cell r="B10726" t="str">
            <v>HP X240 10G SFP+ SFP+ 5m DAC Cable</v>
          </cell>
          <cell r="C10726" t="str">
            <v>X240 10G SFP+ DACケーブル 5m</v>
          </cell>
        </row>
        <row r="10727">
          <cell r="A10727" t="str">
            <v>JG219B</v>
          </cell>
          <cell r="B10727" t="str">
            <v>HP 5820AF-24XG Switch</v>
          </cell>
          <cell r="C10727" t="str">
            <v>1/10GbE SFP+ x24 ポート、1000base-T x2 ポート L3スイッチ
※スタック可
※電源モジュール別売り(最大2個：冗長可)
※ファンモジュール別売り(2台必須：非冗長)</v>
          </cell>
        </row>
        <row r="10728">
          <cell r="A10728" t="str">
            <v>JG225B</v>
          </cell>
          <cell r="B10728" t="str">
            <v>HP 5800AF-48G Switch</v>
          </cell>
          <cell r="C10728" t="str">
            <v>1000Base-T x48 ポート、1/10GbE SFP+ x6 ポート L3スイッチ
※スタック可
※電源モジュール別売り(最大2個：冗長可)
※ファンモジュール別売り(2台必須：非冗長)</v>
          </cell>
        </row>
        <row r="10729">
          <cell r="A10729" t="str">
            <v>JG296A</v>
          </cell>
          <cell r="B10729" t="str">
            <v>HP 5920AF-24XG Switch</v>
          </cell>
          <cell r="C10729" t="str">
            <v>1/10GbE SFP+ x24 ポート L3スイッチ
※スタック可
※電源モジュール別売り(最大2個：冗長可)
※ファンモジュール別売り(2台必須：非冗長)</v>
          </cell>
        </row>
        <row r="10730">
          <cell r="A10730" t="str">
            <v>JG297A</v>
          </cell>
          <cell r="B10730" t="str">
            <v>HP 5920AF-24XG Bk(pwr)-Frt(prt) Fn Tray</v>
          </cell>
          <cell r="C10730" t="str">
            <v>ファントレイオプション
※スイッチの電源面から吸気し、ポート面側に排気する通気方式
※スイッチのポート面をサーバー機器などと同様にラックの背面側にしてマウントするのに最適</v>
          </cell>
        </row>
        <row r="10731">
          <cell r="A10731" t="str">
            <v>JG298A</v>
          </cell>
          <cell r="B10731" t="str">
            <v>HP 5920AF-24XG Frt(prt)-Bk(pwr) Fn Tray</v>
          </cell>
          <cell r="C10731" t="str">
            <v>ファントレイオプション
※スイッチのポート面から吸気し、電源面側に排気する通気方式
※スイッチのポート面をラックの前面側にしてマウントするのに最適</v>
          </cell>
        </row>
        <row r="10732">
          <cell r="A10732" t="str">
            <v>JG325B</v>
          </cell>
          <cell r="B10732" t="str">
            <v>HP X140 40G QSFP+ MPO SR4 XCVR</v>
          </cell>
          <cell r="C10732" t="str">
            <v>X140 40Gbase-SR4 QSFP+ トランシーバー</v>
          </cell>
        </row>
        <row r="10733">
          <cell r="A10733" t="str">
            <v>JG326A</v>
          </cell>
          <cell r="B10733" t="str">
            <v>HP X240 40G QSFP+ QSFP+ 1m DAC Cable</v>
          </cell>
          <cell r="C10733" t="str">
            <v>X240 40G QSFP+ DACケーブル 1m</v>
          </cell>
        </row>
        <row r="10734">
          <cell r="A10734" t="str">
            <v>JG327A</v>
          </cell>
          <cell r="B10734" t="str">
            <v>HP X240 40G QSFP+ QSFP+ 3m DAC Cable</v>
          </cell>
          <cell r="C10734" t="str">
            <v>X240 40G QSFP+ DACケーブル 3m</v>
          </cell>
        </row>
        <row r="10735">
          <cell r="A10735" t="str">
            <v>JG328A</v>
          </cell>
          <cell r="B10735" t="str">
            <v>HP X240 40G QSFP+ QSFP+ 5m DAC Cable</v>
          </cell>
          <cell r="C10735" t="str">
            <v>X240 40G QSFP+ DACケーブル 5m</v>
          </cell>
        </row>
        <row r="10736">
          <cell r="A10736" t="str">
            <v>JG329A</v>
          </cell>
          <cell r="B10736" t="str">
            <v>HP X240 QSFP+ 4x10G SFP+ 1m DAC Cable</v>
          </cell>
          <cell r="C10736" t="str">
            <v>X240 40G QSFP+ to 10G SFP+ DACケーブル 1m x4本</v>
          </cell>
        </row>
        <row r="10737">
          <cell r="A10737" t="str">
            <v>JG330A</v>
          </cell>
          <cell r="B10737" t="str">
            <v>HP X240 QSFP+ 4x10G SFP+ 3m DAC Cable</v>
          </cell>
          <cell r="C10737" t="str">
            <v>X240 40G QSFP+ to 10G SFP+ DACケーブル 3m x4本</v>
          </cell>
        </row>
        <row r="10738">
          <cell r="A10738" t="str">
            <v>JG331A</v>
          </cell>
          <cell r="B10738" t="str">
            <v>HP X240 QSFP+ 4x10G SFP+ 5m DAC Cable</v>
          </cell>
          <cell r="C10738" t="str">
            <v>X240 40G QSFP+ to 10G SFP+ DACケーブル 5m x4本</v>
          </cell>
        </row>
        <row r="10739">
          <cell r="A10739" t="str">
            <v>JG336A</v>
          </cell>
          <cell r="B10739" t="str">
            <v>HP 5900AF-48XGT-4QSFP+ Switch</v>
          </cell>
          <cell r="C10739" t="str">
            <v>10Gbase-T x48 ポート、40GbE QSFP+ x4 ポート L3スイッチ
※スタック可
※電源モジュール別売り(最大2個：冗長可)
※ファンモジュール別売り(2台必須：非冗長)</v>
          </cell>
        </row>
        <row r="10740">
          <cell r="A10740" t="str">
            <v>JG510A</v>
          </cell>
          <cell r="B10740" t="str">
            <v>HP 5900AF-48G-4XG-2QSFP+ Switch</v>
          </cell>
          <cell r="C10740" t="str">
            <v>1000base-T x48 ポート、10GbE SFP+ x4 ポート、40GbE QSFP+ x2 ポート L3スイッチ
※スタック可
※電源モジュール別売り(最大2個：冗長可)
※ファンモジュール別売り(2台必須：非冗長)</v>
          </cell>
        </row>
        <row r="10741">
          <cell r="A10741" t="str">
            <v>JG552A</v>
          </cell>
          <cell r="B10741" t="str">
            <v>HP X711 Frt(prt)-Bck(pwr) HV Fan Tray</v>
          </cell>
          <cell r="C10741" t="str">
            <v>ファントレイオプション
※スイッチのポート面から吸気し、電源面側に排気する通気方式
※スイッチのポート面をラックの前面側にしてマウントするのに最適</v>
          </cell>
        </row>
        <row r="10742">
          <cell r="A10742" t="str">
            <v>JG553A</v>
          </cell>
          <cell r="B10742" t="str">
            <v>HP X712 Bck(pwr)-Frt(prt) HV Fan Tray</v>
          </cell>
          <cell r="C10742" t="str">
            <v>ファントレイオプション
※スイッチの電源面から吸気し、ポート面側に排気する通気方式
※スイッチのポート面をサーバー機器などと同様にラックの背面側にしてマウントするのに最適</v>
          </cell>
        </row>
        <row r="10743">
          <cell r="A10743" t="str">
            <v>JG661A</v>
          </cell>
          <cell r="B10743" t="str">
            <v>HP X140 40G QSFP+ LC LR4 SM XCVR</v>
          </cell>
          <cell r="C10743" t="str">
            <v>X140 40Gbase-LR4 QSFP+ トランシーバー</v>
          </cell>
        </row>
        <row r="10744">
          <cell r="A10744" t="str">
            <v>JG709A</v>
          </cell>
          <cell r="B10744" t="str">
            <v>HP X140 40G QSFP+ CSR4 300m XCVR</v>
          </cell>
          <cell r="C10744" t="str">
            <v>X140 40Gbase-CSR4 SFP+ トランシーバー</v>
          </cell>
        </row>
        <row r="10745">
          <cell r="A10745" t="str">
            <v>JG894A</v>
          </cell>
          <cell r="B10745" t="str">
            <v>HP 5700-48G-4XG-2QSFP+ Switch</v>
          </cell>
          <cell r="C10745" t="str">
            <v>1000base-T x48 ポート、10GbE SFP+ x4 ポート、40GbE QSFP+ x2 ポート L3スイッチ
※スタック可
※電源モジュール別売り(最大2個：冗長可)
※ファンモジュール別売り(2台必須：非冗長)</v>
          </cell>
        </row>
        <row r="10746">
          <cell r="A10746" t="str">
            <v>JG896A</v>
          </cell>
          <cell r="B10746" t="str">
            <v>HP 5700-40XG-2QSFP+ Switch</v>
          </cell>
          <cell r="C10746" t="str">
            <v>1/10GbE SFP+ x40 ポート、40GbE QSFP+ x2 ポート L3スイッチ
※スタック可
※電源モジュール別売り(最大2個：冗長可)
※ファンモジュール別売り(2台必須：非冗長)</v>
          </cell>
        </row>
        <row r="10747">
          <cell r="A10747" t="str">
            <v>JG898A</v>
          </cell>
          <cell r="B10747" t="str">
            <v>HP 5700-32XGT-8XG-2QSFP+ Switch</v>
          </cell>
          <cell r="C10747" t="str">
            <v>10Gbase-T x32 ポート、10GbE SFP+ x8、40GbE QSFP+ x2 ポート L3スイッチ
※スタック可
※電源モジュール別売り(最大2個：冗長可)
※ファンモジュール別売り(2台必須：非冗長)</v>
          </cell>
        </row>
        <row r="10748">
          <cell r="A10748" t="str">
            <v>JG900A#ACF</v>
          </cell>
          <cell r="B10748" t="str">
            <v>HP A58x0AF 300W AC Power Supply JP en</v>
          </cell>
          <cell r="C10748" t="str">
            <v>パワーサプライオプション</v>
          </cell>
        </row>
        <row r="10749">
          <cell r="A10749" t="str">
            <v>JH180A</v>
          </cell>
          <cell r="B10749" t="str">
            <v>HP 5930 24p SFP+ and 2p QSFP+ Mod</v>
          </cell>
          <cell r="C10749" t="str">
            <v>1/10GbE SFP+ x24 ポート、40GbE QSFP+ x2 ポートモジュール</v>
          </cell>
        </row>
        <row r="10750">
          <cell r="A10750" t="str">
            <v>JH181A</v>
          </cell>
          <cell r="B10750" t="str">
            <v>HP 5930 24p SFP+ and 2p QSFP+ Mod w Msec</v>
          </cell>
          <cell r="C10750" t="str">
            <v>1/10GbE SFP+ x24 ポート、40GbE QSFP+ x2 ポートモジュール
※IEEE 802.1AE MAC security (Ethernet 通信の暗号化) に対応</v>
          </cell>
        </row>
        <row r="10751">
          <cell r="A10751" t="str">
            <v>JH182A</v>
          </cell>
          <cell r="B10751" t="str">
            <v>HP 5930 24p 10GBASE-T and 2p QSFP+ Mod</v>
          </cell>
          <cell r="C10751" t="str">
            <v>10Gbase-T x24 ポート、40GbE QSFP+ x2 ポートモジュール</v>
          </cell>
        </row>
        <row r="10752">
          <cell r="A10752" t="str">
            <v>JH183A</v>
          </cell>
          <cell r="B10752" t="str">
            <v>HP 5930 8-port QSFP+ Module</v>
          </cell>
          <cell r="C10752" t="str">
            <v>40GbE QSFP+ x8 ポートモジュール</v>
          </cell>
        </row>
        <row r="10753">
          <cell r="A10753" t="str">
            <v>JH185A</v>
          </cell>
          <cell r="B10753" t="str">
            <v>HP 5930-4Slt Back-to-Front Fan Tray</v>
          </cell>
          <cell r="C10753" t="str">
            <v>ファントレイオプション
※スイッチの電源面から吸気し、ポート面側に排気する通気方式
※スイッチのポート面をサーバー機器などと同様にラックの背面側にしてマウントするのに最適</v>
          </cell>
        </row>
        <row r="10754">
          <cell r="A10754" t="str">
            <v>JH186A</v>
          </cell>
          <cell r="B10754" t="str">
            <v>HP 5930-4Slt Front-to-Back Fan Tray</v>
          </cell>
          <cell r="C10754" t="str">
            <v>ファントレイオプション
※スイッチのポート面から吸気し、電源面側に排気する通気方式
※スイッチのポート面をラックの前面側にしてマウントするのに最適</v>
          </cell>
        </row>
        <row r="10755">
          <cell r="A10755" t="str">
            <v>JH289A</v>
          </cell>
          <cell r="B10755" t="str">
            <v>HP X150 100G CFP2 LC LR4 10km SM XCVR</v>
          </cell>
          <cell r="C10755" t="str">
            <v>X150 100G Base- LR4 CFP2 トランシーバー</v>
          </cell>
        </row>
        <row r="10756">
          <cell r="A10756" t="str">
            <v>JH321A</v>
          </cell>
          <cell r="B10756" t="str">
            <v>HPE FF 5950 32Q28 Swch</v>
          </cell>
          <cell r="C10756" t="str">
            <v>100G QSFP28 / 40G QSFP+ ポート×32、1/10GbE SFP+ポート×2 L3スイッチ
※スタック可
※電源モジュール別売り(最大2個：冗長可)
※ファンモジュール別売り(6台必須：非冗長)</v>
          </cell>
        </row>
        <row r="10757">
          <cell r="A10757" t="str">
            <v>JH388A</v>
          </cell>
          <cell r="B10757" t="str">
            <v>HPE X711 Frt(prt)-Bck(pwr) HV2 Fan Tray</v>
          </cell>
          <cell r="C10757" t="str">
            <v>ファントレイオプション
※スイッチのポート面から吸気し、電源面側に排気する通気方式
※スイッチのポート面をラックの前面側にしてマウントするのに最適</v>
          </cell>
        </row>
        <row r="10758">
          <cell r="A10758" t="str">
            <v>JH389A</v>
          </cell>
          <cell r="B10758" t="str">
            <v>HPE X712 Bck(pwr)-Frt(prt) HV2 Fan Tray</v>
          </cell>
          <cell r="C10758" t="str">
            <v>ファントレイオプション
※スイッチの電源面から吸気し、ポート面側に排気する通気方式
※スイッチのポート面をサーバー機器などと同様にラックの背面側にしてマウントするのに最適</v>
          </cell>
        </row>
        <row r="10759">
          <cell r="A10759" t="str">
            <v>JH390A</v>
          </cell>
          <cell r="B10759" t="str">
            <v>HPE 5940 48SFP+ 6QSFP28 Switch</v>
          </cell>
          <cell r="C10759" t="str">
            <v>1/10GbE SFP+ x48 ポート、100GbE QSFP28 x6 ポート L3スイッチ
※スタック可
※電源モジュール別売り(最大2個：冗長可)
※ファンモジュール別売り(2台必須：非冗長)</v>
          </cell>
        </row>
        <row r="10760">
          <cell r="A10760" t="str">
            <v>JH391A</v>
          </cell>
          <cell r="B10760" t="str">
            <v>HPE 5940 48XGT 6QSFP28 Switch</v>
          </cell>
          <cell r="C10760" t="str">
            <v>10Gbase-T x48 ポート、100GbE QSFP28 x6 ポート L3スイッチ
※スタック可
※電源モジュール別売り(最大2個：冗長可)
※ファンモジュール別売り(2台必須：非冗長)</v>
          </cell>
        </row>
        <row r="10761">
          <cell r="A10761" t="str">
            <v>JH394A</v>
          </cell>
          <cell r="B10761" t="str">
            <v>HPE 5940 48XGT 6QSFP+ Switch</v>
          </cell>
          <cell r="C10761" t="str">
            <v>10GBase-T x48 ポート、40GbE QSFP+ x6 ポート L3スイッチ
※スタック可
※電源モジュール別売り(最大2個：冗長可)
※ファンモジュール別売り(2台必須：非冗長)</v>
          </cell>
        </row>
        <row r="10762">
          <cell r="A10762" t="str">
            <v>JH395A</v>
          </cell>
          <cell r="B10762" t="str">
            <v>HPE 5940 48SFP+ 6QSFP+ Switch</v>
          </cell>
          <cell r="C10762" t="str">
            <v>1/10GbE SFP+ x48 ポート、40GbE QSFP+ x6 ポート L3スイッチ
※スタック可
※電源モジュール別売り(最大2個：冗長可)
※ファンモジュール別売り(2台必須：非冗長)</v>
          </cell>
        </row>
        <row r="10763">
          <cell r="A10763" t="str">
            <v>JH396A</v>
          </cell>
          <cell r="B10763" t="str">
            <v>HPE 5940 32QSFP+ Switch</v>
          </cell>
          <cell r="C10763" t="str">
            <v>40GbE QSFP+ x32 ポート L3スイッチ
※スタック可
※電源モジュール別売り(最大2個：冗長可)
※ファンモジュール別売り(2台必須：非冗長)</v>
          </cell>
        </row>
        <row r="10764">
          <cell r="A10764" t="str">
            <v>JH397A</v>
          </cell>
          <cell r="B10764" t="str">
            <v>HPE 5940 2-slot Switch</v>
          </cell>
          <cell r="C10764" t="str">
            <v>40GbE QSFP+ x2 ポート L3スイッチ
※拡張モジュール x2スロット
※スタック可
※電源モジュール別売り(最大2個：冗長可)
※ファンモジュール別売り(2台必須：非冗長)</v>
          </cell>
        </row>
        <row r="10765">
          <cell r="A10765" t="str">
            <v>JH398A</v>
          </cell>
          <cell r="B10765" t="str">
            <v>HPE 5940 4-slot Switch</v>
          </cell>
          <cell r="C10765" t="str">
            <v>ポートモジュールレス L3スイッチ
※拡張モジュール x4スロット
※スタック可
※電源モジュール別売り(最大4個：冗長可)
※ファンモジュール別売り(2台必須：非冗長)</v>
          </cell>
        </row>
        <row r="10766">
          <cell r="A10766" t="str">
            <v>JH402A</v>
          </cell>
          <cell r="B10766" t="str">
            <v>HPE 5950 48SFP28 8QSFP28 Switch</v>
          </cell>
          <cell r="C10766" t="str">
            <v>25G SFP28 ポート×48、100G QSFP28 ポート×8、1GbE SFP ポート×3 L3スイッチ
※スタック可
※電源モジュール別売り(最大2個：冗長可)
※ファンモジュール別売り(5台必須：非冗長)</v>
          </cell>
        </row>
        <row r="10767">
          <cell r="A10767" t="str">
            <v>JH404A</v>
          </cell>
          <cell r="B10767" t="str">
            <v>HPE 5950 4-slot Switch</v>
          </cell>
          <cell r="C10767" t="str">
            <v>1GbE SFP ポート×3 L3スイッチ
※拡張モジュール×4スロット
※スタック可
※電源モジュール別売り(最大4個：冗長可)
※ファンモジュール別売り(2台必須：非冗長)</v>
          </cell>
        </row>
        <row r="10768">
          <cell r="A10768" t="str">
            <v>JH405A</v>
          </cell>
          <cell r="B10768" t="str">
            <v>HPE 5950 16-port QSFP+ Mod</v>
          </cell>
          <cell r="C10768" t="str">
            <v>40G QSFP+ ×16ポートモジュール</v>
          </cell>
        </row>
        <row r="10769">
          <cell r="A10769" t="str">
            <v>JH406A</v>
          </cell>
          <cell r="B10769" t="str">
            <v>HPE 5950 8-port QSFP28 Mod</v>
          </cell>
          <cell r="C10769" t="str">
            <v>100G QSFP28 ×8ポートモジュール</v>
          </cell>
        </row>
        <row r="10770">
          <cell r="A10770" t="str">
            <v>JH409A</v>
          </cell>
          <cell r="B10770" t="str">
            <v>HPE 5940 2p QSFP+ and 2p QSFP28 Mod</v>
          </cell>
          <cell r="C10770" t="str">
            <v>40GbE QSFP+ x2 ポート、100GbE QSFP28 x2 ポートモジュール</v>
          </cell>
        </row>
        <row r="10771">
          <cell r="A10771" t="str">
            <v>JH420A</v>
          </cell>
          <cell r="B10771" t="str">
            <v>HPE X150 100G QSFP28 PSM4 500m SM XCVR</v>
          </cell>
          <cell r="C10771" t="str">
            <v>X150 100Gbase-PSM4 QSFP28 トランシーバー</v>
          </cell>
        </row>
        <row r="10772">
          <cell r="A10772" t="str">
            <v>JH450A</v>
          </cell>
          <cell r="B10772" t="str">
            <v>HPE 5950 24p SFP28 and 2p QSFP28 Mod</v>
          </cell>
          <cell r="C10772" t="str">
            <v>25G SFP28 ×24ポート、100G QSFP28 ×2ポートモジュール</v>
          </cell>
        </row>
        <row r="10773">
          <cell r="A10773" t="str">
            <v>JH673A</v>
          </cell>
          <cell r="B10773" t="str">
            <v>HPE X150 100G QSFP28 CWDM4 2km SM XCVR</v>
          </cell>
          <cell r="C10773" t="str">
            <v>X150 100Gbase-CWDM4 QSFP28 トランシーバー</v>
          </cell>
        </row>
        <row r="10774">
          <cell r="A10774" t="str">
            <v>JH957A</v>
          </cell>
          <cell r="B10774" t="str">
            <v>HPE 5950 8-port QSFP28 MACsec Mod</v>
          </cell>
          <cell r="C10774" t="str">
            <v>100G QSFP28 ×8ポートモジュール</v>
          </cell>
        </row>
        <row r="10775">
          <cell r="A10775" t="str">
            <v>JL271A</v>
          </cell>
          <cell r="B10775" t="str">
            <v>HPE X240 100G QSFP28 1m DAC Cable</v>
          </cell>
          <cell r="C10775" t="str">
            <v>X240 100G QSFP28 DACケーブル 1m</v>
          </cell>
        </row>
        <row r="10776">
          <cell r="A10776" t="str">
            <v>JL272A</v>
          </cell>
          <cell r="B10776" t="str">
            <v>HPE X240 100G QSFP28 3m DAC Cable</v>
          </cell>
          <cell r="C10776" t="str">
            <v>X240 100G QSFP28 DACケーブル 3m</v>
          </cell>
        </row>
        <row r="10777">
          <cell r="A10777" t="str">
            <v>JL273A</v>
          </cell>
          <cell r="B10777" t="str">
            <v>HPE X240 100G QSFP28 5m DAC Cable</v>
          </cell>
          <cell r="C10777" t="str">
            <v>X240 100G QSFP28 DACケーブル 5m</v>
          </cell>
        </row>
        <row r="10778">
          <cell r="A10778" t="str">
            <v>JL274A</v>
          </cell>
          <cell r="B10778" t="str">
            <v>HPE X150 100G QSFP28 SR4 100m MM XCVR</v>
          </cell>
          <cell r="C10778" t="str">
            <v>X150 100Gbase-SR4 QSFP28 トランシーバー</v>
          </cell>
        </row>
        <row r="10779">
          <cell r="A10779" t="str">
            <v>JL275A</v>
          </cell>
          <cell r="B10779" t="str">
            <v>HPE X150 100G QSFP28 LC LR4 10km SM XCVR</v>
          </cell>
          <cell r="C10779" t="str">
            <v>X150 100Gbase-LR4 QSFP28 トランシーバー</v>
          </cell>
        </row>
        <row r="10780">
          <cell r="A10780" t="str">
            <v>JL276A</v>
          </cell>
          <cell r="B10780" t="str">
            <v>HPE X2A0 100G QSFP28 7m AOC Cable</v>
          </cell>
          <cell r="C10780" t="str">
            <v>X2A0 100G QSFP28 AOCケーブル 7m</v>
          </cell>
        </row>
        <row r="10781">
          <cell r="A10781" t="str">
            <v>JL277A</v>
          </cell>
          <cell r="B10781" t="str">
            <v>HPE X2A0 100G QSFP28 10m AOC Cable</v>
          </cell>
          <cell r="C10781" t="str">
            <v>X2A0 100G QSFP28 AOCケーブル 10m</v>
          </cell>
        </row>
        <row r="10782">
          <cell r="A10782" t="str">
            <v>JL278A</v>
          </cell>
          <cell r="B10782" t="str">
            <v>HPE X2A0 100G QSFP28 20m AOC Cable</v>
          </cell>
          <cell r="C10782" t="str">
            <v>X2A0 100G QSFP28 AOCケーブル 20m</v>
          </cell>
        </row>
        <row r="10783">
          <cell r="A10783" t="str">
            <v>JL282A</v>
          </cell>
          <cell r="B10783" t="str">
            <v>HPE X240 QSFP28 4xSFP28 1m DAC Cable</v>
          </cell>
          <cell r="C10783" t="str">
            <v>X240 QSFP28 to SFP28 x4 DACケーブル 1m</v>
          </cell>
        </row>
        <row r="10784">
          <cell r="A10784" t="str">
            <v>JL283A</v>
          </cell>
          <cell r="B10784" t="str">
            <v>HPE X240 QSFP28 4xSFP28 3m DAC Cable</v>
          </cell>
          <cell r="C10784" t="str">
            <v>X240 QSFP28 to SFP28 x4 DACケーブル 3m</v>
          </cell>
        </row>
        <row r="10785">
          <cell r="A10785" t="str">
            <v>JL284A</v>
          </cell>
          <cell r="B10785" t="str">
            <v>HPE X240 QSFP28 4xSFP28 5m DAC Cable</v>
          </cell>
          <cell r="C10785" t="str">
            <v>X240 QSFP28 to SFP28 x4 DACケーブル 5m</v>
          </cell>
        </row>
        <row r="10786">
          <cell r="A10786" t="str">
            <v>JL286A</v>
          </cell>
          <cell r="B10786" t="str">
            <v>HPE X140 40G QSFP+ LC LR4L 2km SM XCVR</v>
          </cell>
          <cell r="C10786" t="str">
            <v>X140 40Gbase-LR4L QSFP+ トランシーバー</v>
          </cell>
        </row>
        <row r="10787">
          <cell r="A10787" t="str">
            <v>JL287A</v>
          </cell>
          <cell r="B10787" t="str">
            <v>HPE X2A0 40G QSFP+ 7m AOC Cable</v>
          </cell>
          <cell r="C10787" t="str">
            <v>X2A0 40G QSFP+ AOCケーブル 7m</v>
          </cell>
        </row>
        <row r="10788">
          <cell r="A10788" t="str">
            <v>JL288A</v>
          </cell>
          <cell r="B10788" t="str">
            <v>HPE X2A0 40G QSFP+ 10m AOC Cable</v>
          </cell>
          <cell r="C10788" t="str">
            <v>X2A0 40G QSFP+ AOCケーブル 10m</v>
          </cell>
        </row>
        <row r="10789">
          <cell r="A10789" t="str">
            <v>JL289A</v>
          </cell>
          <cell r="B10789" t="str">
            <v>HPE X2A0 40G QSFP+ 20m AOC Cable</v>
          </cell>
          <cell r="C10789" t="str">
            <v>X2A0 40G QSFP+ AOCケーブル 20m</v>
          </cell>
        </row>
        <row r="10790">
          <cell r="A10790" t="str">
            <v>JL290A</v>
          </cell>
          <cell r="B10790" t="str">
            <v>HPE X2A0 10G SFP+ 7m AOC Cable</v>
          </cell>
          <cell r="C10790" t="str">
            <v>X2A0 10G SFP+ AOCケーブル 7m</v>
          </cell>
        </row>
        <row r="10791">
          <cell r="A10791" t="str">
            <v>JL291A</v>
          </cell>
          <cell r="B10791" t="str">
            <v>HPE X2A0 10G SFP+ 10m AOC Cable</v>
          </cell>
          <cell r="C10791" t="str">
            <v>X2A0 10G SFP+ AOCケーブル 10m</v>
          </cell>
        </row>
        <row r="10792">
          <cell r="A10792" t="str">
            <v>JL292A</v>
          </cell>
          <cell r="B10792" t="str">
            <v>HPE X2A0 10G SFP+ 20m AOC Cable</v>
          </cell>
          <cell r="C10792" t="str">
            <v>X2A0 10G SFP+ AOCケーブル 20m</v>
          </cell>
        </row>
        <row r="10793">
          <cell r="A10793" t="str">
            <v>JL293A</v>
          </cell>
          <cell r="B10793" t="str">
            <v>HPE X190 25G SFP28 LC SR 100m MM XCVR</v>
          </cell>
          <cell r="C10793" t="str">
            <v>X190 25Gbase-SR SFP28 トランシーバー</v>
          </cell>
        </row>
        <row r="10794">
          <cell r="A10794" t="str">
            <v>JL294A</v>
          </cell>
          <cell r="B10794" t="str">
            <v>HPE X240 25G SFP28 to SFP28 1m DAC</v>
          </cell>
          <cell r="C10794" t="str">
            <v>X240 25G SFP28 DACケーブル 1m</v>
          </cell>
        </row>
        <row r="10795">
          <cell r="A10795" t="str">
            <v>JL295A</v>
          </cell>
          <cell r="B10795" t="str">
            <v>HPE X240 25G SFP28 to SFP28 3m DAC</v>
          </cell>
          <cell r="C10795" t="str">
            <v>X240 25G SFP28 DACケーブル 3m</v>
          </cell>
        </row>
        <row r="10796">
          <cell r="A10796" t="str">
            <v>JL306A</v>
          </cell>
          <cell r="B10796" t="str">
            <v>HPE X140 40G QSFP+ LC ER4 40km SM XCVR</v>
          </cell>
          <cell r="C10796" t="str">
            <v>X140 40Gbase-ER4 QSFP+ トランシーバー</v>
          </cell>
        </row>
        <row r="10797">
          <cell r="A10797" t="str">
            <v>JL437A</v>
          </cell>
          <cell r="B10797" t="str">
            <v>HPE X130 10G SFP+ LC SR DC XCVR</v>
          </cell>
          <cell r="C10797" t="str">
            <v>X130 10Gbase-SR SFP+ トランシーバー</v>
          </cell>
        </row>
        <row r="10798">
          <cell r="A10798" t="str">
            <v>JL439A</v>
          </cell>
          <cell r="B10798" t="str">
            <v>HPE X130 10G SFP+ LC LR DC XCVR</v>
          </cell>
          <cell r="C10798" t="str">
            <v>X130 10Gbase-LR SFP+ トランシーバー</v>
          </cell>
        </row>
        <row r="10799">
          <cell r="A10799" t="str">
            <v>JQ026A</v>
          </cell>
          <cell r="B10799" t="str">
            <v>HPE 5980 48SFP+ 6QSFP28 Switch</v>
          </cell>
          <cell r="C10799" t="str">
            <v>1/10GbE SFP+ x48 ポート、100GbE QSFP28 x6 ポート L3スイッチ
※スタック可
※電源モジュール別売り(最大2個：冗長可)
※ファンモジュール別売り(2台必須：非冗長)</v>
          </cell>
        </row>
        <row r="10800">
          <cell r="A10800" t="str">
            <v>JG682A</v>
          </cell>
          <cell r="B10800" t="str">
            <v>HP 7904 Switch Chassis</v>
          </cell>
          <cell r="C10800" t="str">
            <v>HPE 7904 スイッチシャーシ
※電源モジュール、ファン トレイ、ライン カード、ラックマウントキットの追加が必要</v>
          </cell>
        </row>
        <row r="10801">
          <cell r="A10801" t="str">
            <v>JG683B</v>
          </cell>
          <cell r="B10801" t="str">
            <v>HP 7900 12p 40GbE QSFP+ FX Mod</v>
          </cell>
          <cell r="C10801" t="str">
            <v>40GbE QSFP+ x12 ポートモジュール</v>
          </cell>
        </row>
        <row r="10802">
          <cell r="A10802" t="str">
            <v>JG684A</v>
          </cell>
          <cell r="B10802" t="str">
            <v>HP 7904 F-B Fan Tray</v>
          </cell>
          <cell r="C10802" t="str">
            <v>ファントレイオプション
※2個追加必須</v>
          </cell>
        </row>
        <row r="10803">
          <cell r="A10803" t="str">
            <v>JG840A#ACF</v>
          </cell>
          <cell r="B10803" t="str">
            <v>HP FF 7900 1800w AC F-B PSU JP en</v>
          </cell>
          <cell r="C10803" t="str">
            <v>パワーサプライオプション (AC電源用)</v>
          </cell>
        </row>
        <row r="10804">
          <cell r="A10804" t="str">
            <v>JG841A</v>
          </cell>
          <cell r="B10804" t="str">
            <v>HP 7910 Switch Chassis</v>
          </cell>
          <cell r="C10804" t="str">
            <v>HPE 7910 スイッチシャーシ
※電源モジュール、ファン トレイ、ライン カード、ラックマウントキットの追加が必要</v>
          </cell>
        </row>
        <row r="10805">
          <cell r="A10805" t="str">
            <v>JG842A</v>
          </cell>
          <cell r="B10805" t="str">
            <v>HP 7910 7.2Tbps Fabric / MPU</v>
          </cell>
          <cell r="C10805" t="str">
            <v>ファブリック メインプロセッシング ユニット
※最大 2 個搭載で冗長構成が可能</v>
          </cell>
        </row>
        <row r="10806">
          <cell r="A10806" t="str">
            <v>JG843A</v>
          </cell>
          <cell r="B10806" t="str">
            <v>HP 7910 Frt(Prt)-Bck(Pwr) Fan Tray</v>
          </cell>
          <cell r="C10806" t="str">
            <v>ファントレイオプション
※最低 2 個 (最大) 搭載必須</v>
          </cell>
        </row>
        <row r="10807">
          <cell r="A10807" t="str">
            <v>JG845A</v>
          </cell>
          <cell r="B10807" t="str">
            <v>HP 7900 24p 1/10GbE SFP+ FX Mod</v>
          </cell>
          <cell r="C10807" t="str">
            <v>1/10GbE SFP+ x24 ポートモジュール</v>
          </cell>
        </row>
        <row r="10808">
          <cell r="A10808" t="str">
            <v>JG888B</v>
          </cell>
          <cell r="B10808" t="str">
            <v>HP 12900 48p 1/10GbE SFP+ FX Mod</v>
          </cell>
          <cell r="C10808" t="str">
            <v>1/10GbE SFP+ x48 ポートモジュール
※FXタイプ</v>
          </cell>
        </row>
        <row r="10809">
          <cell r="A10809" t="str">
            <v>JG889B</v>
          </cell>
          <cell r="B10809" t="str">
            <v>HP 12900 24p 40GbE QSFP+ FX Mod</v>
          </cell>
          <cell r="C10809" t="str">
            <v>40GbE QSFP+ x24 ポートモジュール
※FXタイプ</v>
          </cell>
        </row>
        <row r="10810">
          <cell r="A10810" t="str">
            <v>JH001A</v>
          </cell>
          <cell r="B10810" t="str">
            <v>HP 7910 2.4Tbps Fabric / MPU</v>
          </cell>
          <cell r="C10810" t="str">
            <v>ファブリック メインプロセッシング ユニット
※最大 2 個搭載で冗長構成が可能</v>
          </cell>
        </row>
        <row r="10811">
          <cell r="A10811" t="str">
            <v>JH002A</v>
          </cell>
          <cell r="B10811" t="str">
            <v>HP 7900 2p 100G/6p 40G/4p 10G FX Mod</v>
          </cell>
          <cell r="C10811" t="str">
            <v>100GbE CXP x2 ポート、40GbE QSFP+ x6 ポート、10GbE SFP+ x4 ポート モジュール
※FXタイプ</v>
          </cell>
        </row>
        <row r="10812">
          <cell r="A10812" t="str">
            <v>JH005A</v>
          </cell>
          <cell r="B10812" t="str">
            <v>HP 12900 12p 40GbE QSFP+ FX Mod</v>
          </cell>
          <cell r="C10812" t="str">
            <v>40GbE QSFP+ x12 ポートモジュール
※FXタイプ</v>
          </cell>
        </row>
        <row r="10813">
          <cell r="A10813" t="str">
            <v>JH006A</v>
          </cell>
          <cell r="B10813" t="str">
            <v>HP 12900 8p 100GbE CXP FX Mod</v>
          </cell>
          <cell r="C10813" t="str">
            <v>100GbE CXP x8 ポートモジュール
※FXタイプ</v>
          </cell>
        </row>
        <row r="10814">
          <cell r="A10814" t="str">
            <v>JH007A</v>
          </cell>
          <cell r="B10814" t="str">
            <v>HP 12900 48p 1/10GBASE-T FX Mod</v>
          </cell>
          <cell r="C10814" t="str">
            <v>1/10Gbase-T x48 ポートモジュール
※FXタイプ</v>
          </cell>
        </row>
        <row r="10815">
          <cell r="A10815" t="str">
            <v>JH041A</v>
          </cell>
          <cell r="B10815" t="str">
            <v>HP 7910 Cable Management Frame</v>
          </cell>
          <cell r="C10815" t="str">
            <v>各ラインカードの接続ケーブルをまとめやすくするケーブル マネジメント用 キット</v>
          </cell>
        </row>
        <row r="10816">
          <cell r="A10816" t="str">
            <v>JH042A</v>
          </cell>
          <cell r="B10816" t="str">
            <v>HP 7910 Bottom-Support Rails</v>
          </cell>
          <cell r="C10816" t="str">
            <v>ラックレールキット</v>
          </cell>
        </row>
        <row r="10817">
          <cell r="A10817" t="str">
            <v>JH045A</v>
          </cell>
          <cell r="B10817" t="str">
            <v>HP 12900 36p 40GbE QSFP+ FX Mod</v>
          </cell>
          <cell r="C10817" t="str">
            <v>40GbE QSFP+ x36 ポートモジュール
※FXタイプ</v>
          </cell>
        </row>
        <row r="10818">
          <cell r="A10818" t="str">
            <v>JH103A</v>
          </cell>
          <cell r="B10818" t="str">
            <v>HP 12916E Switch Chassis</v>
          </cell>
          <cell r="C10818" t="str">
            <v>HPE 12916E スイッチシャーシ
※メイン プロセッシング ユニット(MPU)、スイッチング ファブリック モジュール、電源モジュール、ライン カードの追加が必要
※ファントレイは2個追加必須</v>
          </cell>
        </row>
        <row r="10819">
          <cell r="A10819" t="str">
            <v>JH107A</v>
          </cell>
          <cell r="B10819" t="str">
            <v>HP 12900E LPU Adapter</v>
          </cell>
          <cell r="C10819" t="str">
            <v>12900E LPU アダプター
※ラインカード 1 枚毎に LPU Adapter が必要</v>
          </cell>
        </row>
        <row r="10820">
          <cell r="A10820" t="str">
            <v>JH108A#ACF</v>
          </cell>
          <cell r="B10820" t="str">
            <v>HP 12900E 2400W AC PSU JP en</v>
          </cell>
          <cell r="C10820" t="str">
            <v>パワーサプライオプション (AC電源用)</v>
          </cell>
        </row>
        <row r="10821">
          <cell r="A10821" t="str">
            <v>JH241A</v>
          </cell>
          <cell r="B10821" t="str">
            <v>HPE 12900 48p GbE SFP FX Mod</v>
          </cell>
          <cell r="C10821" t="str">
            <v>1GbE SFP x48 ポートモジュール
※FXタイプ</v>
          </cell>
        </row>
        <row r="10822">
          <cell r="A10822" t="str">
            <v>JH242A</v>
          </cell>
          <cell r="B10822" t="str">
            <v>HPE 12900 48p 1000Base-T FX Mod</v>
          </cell>
          <cell r="C10822" t="str">
            <v>1000Base-T x48 ポートモジュール
※FXタイプ</v>
          </cell>
        </row>
        <row r="10823">
          <cell r="A10823" t="str">
            <v>JH249A</v>
          </cell>
          <cell r="B10823" t="str">
            <v>HP 12900 48p 1/10GbE SFP+ FE Mod</v>
          </cell>
          <cell r="C10823" t="str">
            <v>1/10GbE SFP+ x48 ポートモジュール
※FEタイプ</v>
          </cell>
        </row>
        <row r="10824">
          <cell r="A10824" t="str">
            <v>JH250A</v>
          </cell>
          <cell r="B10824" t="str">
            <v>HP 12900 24p 40GbE QSFP+ FE Mod</v>
          </cell>
          <cell r="C10824" t="str">
            <v>40GbE QSFP+ x24 ポートモジュール
※FEタイプ</v>
          </cell>
        </row>
        <row r="10825">
          <cell r="A10825" t="str">
            <v>JH252A</v>
          </cell>
          <cell r="B10825" t="str">
            <v>HP 12916E 10.0Tbps Type F Fabric Mod</v>
          </cell>
          <cell r="C10825" t="str">
            <v>スイッチング ファブリック モジュール
※6 枚(最大) 搭載が必要</v>
          </cell>
        </row>
        <row r="10826">
          <cell r="A10826" t="str">
            <v>JH255A</v>
          </cell>
          <cell r="B10826" t="str">
            <v>HP 12908E Switch Chassis</v>
          </cell>
          <cell r="C10826" t="str">
            <v>HPE 12908E スイッチシャーシ
※メイン プロセッシング ユニット(MPU)、スイッチング ファブリック モジュール、電源モジュール、ライン カードの追加が必要
※ファントレイは2個追加必須</v>
          </cell>
        </row>
        <row r="10827">
          <cell r="A10827" t="str">
            <v>JH257A</v>
          </cell>
          <cell r="B10827" t="str">
            <v>HP 12908E 5.0Tbps Type F Fabric Mod</v>
          </cell>
          <cell r="C10827" t="str">
            <v>スイッチング ファブリック モジュール
※6 枚(最大) 搭載が必要</v>
          </cell>
        </row>
        <row r="10828">
          <cell r="A10828" t="str">
            <v>JH262A</v>
          </cell>
          <cell r="B10828" t="str">
            <v>HP 12904E Switch Chassis</v>
          </cell>
          <cell r="C10828" t="str">
            <v>HPE 12904E スイッチシャーシ
※メイン プロセッシング ユニット(MPU)、スイッチング ファブリック モジュール、電源モジュール、ライン カードの追加が必要
※ファントレイは2個追加必須</v>
          </cell>
        </row>
        <row r="10829">
          <cell r="A10829" t="str">
            <v>JH264A</v>
          </cell>
          <cell r="B10829" t="str">
            <v>HP 12904E 2.5Tbps Type F Fabric Mod</v>
          </cell>
          <cell r="C10829" t="str">
            <v>スイッチング ファブリック モジュール
※6 枚(最大) 搭載が必要</v>
          </cell>
        </row>
        <row r="10830">
          <cell r="A10830" t="str">
            <v>JH288A</v>
          </cell>
          <cell r="B10830" t="str">
            <v>HP 12900 8p 100GbE CFP2 FX Mod</v>
          </cell>
          <cell r="C10830" t="str">
            <v>100GbE CXP x8 ポート モジュール
※FXタイプ</v>
          </cell>
        </row>
        <row r="10831">
          <cell r="A10831" t="str">
            <v>JH345A</v>
          </cell>
          <cell r="B10831" t="str">
            <v>HPE 12902E Switch Chassis</v>
          </cell>
          <cell r="C10831">
            <v>0</v>
          </cell>
        </row>
        <row r="10832">
          <cell r="A10832" t="str">
            <v>JH346A</v>
          </cell>
          <cell r="B10832" t="str">
            <v>HPE 12902E Main Processing Unit</v>
          </cell>
          <cell r="C10832">
            <v>0</v>
          </cell>
        </row>
        <row r="10833">
          <cell r="A10833" t="str">
            <v>JH348A#ACF</v>
          </cell>
          <cell r="B10833" t="str">
            <v>HPE 12900E 3000W AC PSU JP en</v>
          </cell>
          <cell r="C10833">
            <v>0</v>
          </cell>
        </row>
        <row r="10834">
          <cell r="A10834" t="str">
            <v>JH357A</v>
          </cell>
          <cell r="B10834" t="str">
            <v>HPE 12900E 36p 100GbE QSFP28 HB Mod</v>
          </cell>
          <cell r="C10834">
            <v>0</v>
          </cell>
        </row>
        <row r="10835">
          <cell r="A10835" t="str">
            <v>JH359A</v>
          </cell>
          <cell r="B10835" t="str">
            <v>HPE 12900E 48p 40GbE QSFP+ HB Mod</v>
          </cell>
          <cell r="C10835">
            <v>0</v>
          </cell>
        </row>
        <row r="10836">
          <cell r="A10836" t="str">
            <v>JH360A</v>
          </cell>
          <cell r="B10836" t="str">
            <v>HPE 12900E 48p 10G/2p 100G HB Mod</v>
          </cell>
          <cell r="C10836">
            <v>0</v>
          </cell>
        </row>
        <row r="10837">
          <cell r="A10837" t="str">
            <v>JH361A</v>
          </cell>
          <cell r="B10837" t="str">
            <v>HPE 12916E 21.6Tbps Type H Fabric Mod</v>
          </cell>
          <cell r="C10837">
            <v>0</v>
          </cell>
        </row>
        <row r="10838">
          <cell r="A10838" t="str">
            <v>JH362A</v>
          </cell>
          <cell r="B10838" t="str">
            <v>HPE 12908E 14.4Tbps Type H Fabric Mod</v>
          </cell>
          <cell r="C10838">
            <v>0</v>
          </cell>
        </row>
        <row r="10839">
          <cell r="A10839" t="str">
            <v>JH364A</v>
          </cell>
          <cell r="B10839" t="str">
            <v>HPE 12904E 7.2Tbps Type H Fabric Mod</v>
          </cell>
          <cell r="C10839">
            <v>0</v>
          </cell>
        </row>
        <row r="10840">
          <cell r="A10840" t="str">
            <v>JH422A</v>
          </cell>
          <cell r="B10840" t="str">
            <v>HPE 12900E 18p 100G/18p 40G HB Mod</v>
          </cell>
          <cell r="C10840">
            <v>0</v>
          </cell>
        </row>
        <row r="10841">
          <cell r="A10841" t="str">
            <v>JH423A</v>
          </cell>
          <cell r="B10841" t="str">
            <v>HPE 12916E High Speed Fan Tray Assy</v>
          </cell>
          <cell r="C10841" t="str">
            <v>ファントレイオプション</v>
          </cell>
        </row>
        <row r="10842">
          <cell r="A10842" t="str">
            <v>JH424A</v>
          </cell>
          <cell r="B10842" t="str">
            <v>HPE 12908E High Speed Fan Tray Assy</v>
          </cell>
          <cell r="C10842" t="str">
            <v>ファントレイオプション</v>
          </cell>
        </row>
        <row r="10843">
          <cell r="A10843" t="str">
            <v>JH425A</v>
          </cell>
          <cell r="B10843" t="str">
            <v>HPE 12900E 18p 100G/18p 40G HF Mod</v>
          </cell>
          <cell r="C10843">
            <v>0</v>
          </cell>
        </row>
        <row r="10844">
          <cell r="A10844" t="str">
            <v>JH447A</v>
          </cell>
          <cell r="B10844" t="str">
            <v>HPE 12902E High Speed Fan Tray Assy</v>
          </cell>
          <cell r="C10844">
            <v>0</v>
          </cell>
        </row>
        <row r="10845">
          <cell r="A10845" t="str">
            <v>JH448A</v>
          </cell>
          <cell r="B10845" t="str">
            <v>HPE 12904E High Speed Fan Tray Assy</v>
          </cell>
          <cell r="C10845" t="str">
            <v>ファントレイオプション</v>
          </cell>
        </row>
        <row r="10846">
          <cell r="A10846" t="str">
            <v>JH668A</v>
          </cell>
          <cell r="B10846" t="str">
            <v>HPE 12904E v2 Main Processing Unit</v>
          </cell>
          <cell r="C10846" t="str">
            <v>メイン プロセッシング ユニット
※最低 1 枚必須。最大 2 枚で冗長構成</v>
          </cell>
        </row>
        <row r="10847">
          <cell r="A10847" t="str">
            <v>JH669A</v>
          </cell>
          <cell r="B10847" t="str">
            <v>HPE 12900E v2 Main Processing Unit</v>
          </cell>
          <cell r="C10847" t="str">
            <v>メイン プロセッシング ユニット
※最低 1 枚必須。最大 2 枚で冗長構成</v>
          </cell>
        </row>
        <row r="10848">
          <cell r="A10848" t="str">
            <v>JH951A</v>
          </cell>
          <cell r="B10848" t="str">
            <v>HPE 12901E Switch Chassis</v>
          </cell>
          <cell r="C10848">
            <v>0</v>
          </cell>
        </row>
        <row r="10849">
          <cell r="A10849" t="str">
            <v>JH952A</v>
          </cell>
          <cell r="B10849" t="str">
            <v>HPE 12901E Fan Tray Assy</v>
          </cell>
          <cell r="C10849">
            <v>0</v>
          </cell>
        </row>
        <row r="10850">
          <cell r="A10850" t="str">
            <v>JH953A</v>
          </cell>
          <cell r="B10850" t="str">
            <v>HPE 12900E 24p 10G/2p 40G HB 59xx Mod</v>
          </cell>
          <cell r="C10850">
            <v>0</v>
          </cell>
        </row>
        <row r="10851">
          <cell r="A10851" t="str">
            <v>JQ059A</v>
          </cell>
          <cell r="B10851" t="str">
            <v>HPE 12900E Chassis Universal RM Kit</v>
          </cell>
          <cell r="C10851" t="str">
            <v>ラックレールキット</v>
          </cell>
        </row>
        <row r="10852">
          <cell r="A10852" t="str">
            <v>JQ061A</v>
          </cell>
          <cell r="B10852" t="str">
            <v>HPE 12900E 48p 10GbE SFP+ HF Mod</v>
          </cell>
          <cell r="C10852">
            <v>0</v>
          </cell>
        </row>
        <row r="10853">
          <cell r="A10853" t="str">
            <v>JG838A</v>
          </cell>
          <cell r="B10853" t="str">
            <v>HP 5900CP-48XG-4QSFP+ Switch</v>
          </cell>
          <cell r="C10853" t="str">
            <v>1/10GbE SFP+ or 4/8Gb FC x48 ポート、40GbE QSFP+ x4 ポート L3スイッチ
※スタック可
※電源モジュール別売り(最大2個：冗長可)
※ファンモジュール別売り(2台必須：非冗長)</v>
          </cell>
        </row>
        <row r="10854">
          <cell r="A10854" t="str">
            <v>JH184A</v>
          </cell>
          <cell r="B10854" t="str">
            <v>HP 5930 24p Conv Port and 2p QSFP+ Mod</v>
          </cell>
          <cell r="C10854" t="str">
            <v>10GbE SFP+ or 8/16Gb FC x24 ポート、40GbE QSFP+ x4 ポートモジュール</v>
          </cell>
        </row>
        <row r="10855">
          <cell r="A10855" t="str">
            <v>JC610A#ACF</v>
          </cell>
          <cell r="B10855" t="str">
            <v>HP 10500 2500W AC Power Supply</v>
          </cell>
          <cell r="C10855" t="str">
            <v>パワーサプライオプション (AC電源用)</v>
          </cell>
        </row>
        <row r="10856">
          <cell r="A10856" t="str">
            <v>JC611A</v>
          </cell>
          <cell r="B10856" t="str">
            <v>HP 10508-V Switch Chassis</v>
          </cell>
          <cell r="C10856" t="str">
            <v>HPE 10508-V スイッチシャーシ
※メイン プロセッシング ユニット(MPU)、スイッチング ファブリック モジュール、電源モジュール、ライン カードの追加が必要</v>
          </cell>
        </row>
        <row r="10857">
          <cell r="A10857" t="str">
            <v>JC612A</v>
          </cell>
          <cell r="B10857" t="str">
            <v>HP 10508 Switch Chassis</v>
          </cell>
          <cell r="C10857" t="str">
            <v>HPE 10508 スイッチシャーシ
※メイン プロセッシング ユニット(MPU)、スイッチング ファブリック モジュール、電源モジュール、ライン カードの追加が必要</v>
          </cell>
        </row>
        <row r="10858">
          <cell r="A10858" t="str">
            <v>JC613A</v>
          </cell>
          <cell r="B10858" t="str">
            <v>HP 10504 Switch Chassis</v>
          </cell>
          <cell r="C10858" t="str">
            <v>HPE 10504 スイッチシャーシ
※メイン プロセッシング ユニット(MPU)、スイッチング ファブリック モジュール、電源モジュール、ライン カードの追加が必要</v>
          </cell>
        </row>
        <row r="10859">
          <cell r="A10859" t="str">
            <v>JC632A</v>
          </cell>
          <cell r="B10859" t="str">
            <v>HP 10504 Spare Fan Assembly</v>
          </cell>
          <cell r="C10859" t="str">
            <v>ファントレイオプション (予備用)</v>
          </cell>
        </row>
        <row r="10860">
          <cell r="A10860" t="str">
            <v>JC633A</v>
          </cell>
          <cell r="B10860" t="str">
            <v>HP 10508 Spare Fan Assembly</v>
          </cell>
          <cell r="C10860" t="str">
            <v>ファントレイオプション (予備用)</v>
          </cell>
        </row>
        <row r="10861">
          <cell r="A10861" t="str">
            <v>JC634A</v>
          </cell>
          <cell r="B10861" t="str">
            <v>HP 10508-V Spare Fan Assembly</v>
          </cell>
          <cell r="C10861" t="str">
            <v>ファントレイオプション (予備用)</v>
          </cell>
        </row>
        <row r="10862">
          <cell r="A10862" t="str">
            <v>JC665A</v>
          </cell>
          <cell r="B10862" t="str">
            <v>HP X421 Chassis Unversal 4p Rck Mntg Kit</v>
          </cell>
          <cell r="C10862" t="str">
            <v>4 ポストラック用 ラックマウントキット</v>
          </cell>
        </row>
        <row r="10863">
          <cell r="A10863" t="str">
            <v>JC748A</v>
          </cell>
          <cell r="B10863" t="str">
            <v>HP 10512 Switch Chassis</v>
          </cell>
          <cell r="C10863" t="str">
            <v>HPE 10512 スイッチシャーシ
※メイン プロセッシング ユニット(MPU)、スイッチング ファブリック モジュール、電源モジュール、ライン カードの追加が必要</v>
          </cell>
        </row>
        <row r="10864">
          <cell r="A10864" t="str">
            <v>JC749A</v>
          </cell>
          <cell r="B10864" t="str">
            <v>HP 10512 1.52Tbps Type B Fabric Module</v>
          </cell>
          <cell r="C10864" t="str">
            <v>スイッチング ファブリック モジュール
※4 枚(最大) 搭載が必要</v>
          </cell>
        </row>
        <row r="10865">
          <cell r="A10865" t="str">
            <v>JC750A</v>
          </cell>
          <cell r="B10865" t="str">
            <v>HP 10512 3.44Tbps Type D Fabric Module</v>
          </cell>
          <cell r="C10865" t="str">
            <v>スイッチング ファブリック モジュール
※4 枚(最大) 搭載が必要</v>
          </cell>
        </row>
        <row r="10866">
          <cell r="A10866" t="str">
            <v>JC751A</v>
          </cell>
          <cell r="B10866" t="str">
            <v>HP 10504 880Gbps Type B Fabric Module</v>
          </cell>
          <cell r="C10866" t="str">
            <v>スイッチング ファブリック モジュール
※4 枚(最大) 搭載が必要</v>
          </cell>
        </row>
        <row r="10867">
          <cell r="A10867" t="str">
            <v>JC752A</v>
          </cell>
          <cell r="B10867" t="str">
            <v>HP 10504 1.2Tbps Type D Fabric Module</v>
          </cell>
          <cell r="C10867" t="str">
            <v>スイッチング ファブリック モジュール
※4 枚(最大) 搭載が必要</v>
          </cell>
        </row>
        <row r="10868">
          <cell r="A10868" t="str">
            <v>JC753A</v>
          </cell>
          <cell r="B10868" t="str">
            <v>HP 10508 1.04Tbps Type B Fabric Module</v>
          </cell>
          <cell r="C10868" t="str">
            <v>スイッチング ファブリック モジュール
※4 枚(最大) 搭載が必要</v>
          </cell>
        </row>
        <row r="10869">
          <cell r="A10869" t="str">
            <v>JC754A</v>
          </cell>
          <cell r="B10869" t="str">
            <v>HP 10508 2.32Tbps Type D Fabric Module</v>
          </cell>
          <cell r="C10869" t="str">
            <v>スイッチング ファブリック モジュール
※4 枚(最大) 搭載が必要</v>
          </cell>
        </row>
        <row r="10870">
          <cell r="A10870" t="str">
            <v>JC758A</v>
          </cell>
          <cell r="B10870" t="str">
            <v>HP 10512 Spare Top Fan Tray Assembly</v>
          </cell>
          <cell r="C10870" t="str">
            <v>ファントレイオプション (予備用)</v>
          </cell>
        </row>
        <row r="10871">
          <cell r="A10871" t="str">
            <v>JC773A</v>
          </cell>
          <cell r="B10871" t="str">
            <v>HP 10512 Spare Bottom Fan Tray Assembly</v>
          </cell>
          <cell r="C10871" t="str">
            <v>ファントレイオプション (予備用)</v>
          </cell>
        </row>
        <row r="10872">
          <cell r="A10872" t="str">
            <v>JC784C</v>
          </cell>
          <cell r="B10872" t="str">
            <v>HP X240 10G SFP+ 7m DAC Cable</v>
          </cell>
          <cell r="C10872" t="str">
            <v>X240 10G SFP+ DACケーブル 7m</v>
          </cell>
        </row>
        <row r="10873">
          <cell r="A10873" t="str">
            <v>JD089B</v>
          </cell>
          <cell r="B10873" t="str">
            <v>HP X120 1G SFP RJ45 T Transceiver</v>
          </cell>
          <cell r="C10873" t="str">
            <v>X120 1000base-T SFP トランシーバー</v>
          </cell>
        </row>
        <row r="10874">
          <cell r="A10874" t="str">
            <v>JD092B</v>
          </cell>
          <cell r="B10874" t="str">
            <v>HP X130 10G SFP+ LC SR Transceiver</v>
          </cell>
          <cell r="C10874" t="str">
            <v>X130 10Gbase-SR SFP+ トランシーバー</v>
          </cell>
        </row>
        <row r="10875">
          <cell r="A10875" t="str">
            <v>JD093B</v>
          </cell>
          <cell r="B10875" t="str">
            <v>HP X130 10G SFP+ LC LRM Transceiver</v>
          </cell>
          <cell r="C10875" t="str">
            <v>X130 10Gbase-LRM SFP+ トランシーバー</v>
          </cell>
        </row>
        <row r="10876">
          <cell r="A10876" t="str">
            <v>JD094B</v>
          </cell>
          <cell r="B10876" t="str">
            <v>HP X130 10G SFP+ LC LR Transceiver</v>
          </cell>
          <cell r="C10876" t="str">
            <v>X130 10Gbase-LR SFP+ トランシーバー</v>
          </cell>
        </row>
        <row r="10877">
          <cell r="A10877" t="str">
            <v>JD095C</v>
          </cell>
          <cell r="B10877" t="str">
            <v>HP X240 10G SFP+ SFP+ 0.65m DAC Cable</v>
          </cell>
          <cell r="C10877" t="str">
            <v>X240 10G SFP+ DACケーブル 0.65m</v>
          </cell>
        </row>
        <row r="10878">
          <cell r="A10878" t="str">
            <v>JD096C</v>
          </cell>
          <cell r="B10878" t="str">
            <v>HP X240 10G SFP+ SFP+ 1.2m DAC Cable</v>
          </cell>
          <cell r="C10878" t="str">
            <v>X240 10G SFP+ DACケーブル 1.2m</v>
          </cell>
        </row>
        <row r="10879">
          <cell r="A10879" t="str">
            <v>JD097C</v>
          </cell>
          <cell r="B10879" t="str">
            <v>HP X240 10G SFP+ SFP+ 3m DAC Cable</v>
          </cell>
          <cell r="C10879" t="str">
            <v>X240 10G SFP+ DACケーブル 3m</v>
          </cell>
        </row>
        <row r="10880">
          <cell r="A10880" t="str">
            <v>JD102B</v>
          </cell>
          <cell r="B10880" t="str">
            <v>HP X115 100M SFP LC FX Transceiver</v>
          </cell>
          <cell r="C10880" t="str">
            <v>X115 100base-FX SFP トランシーバー</v>
          </cell>
        </row>
        <row r="10881">
          <cell r="A10881" t="str">
            <v>JD103A</v>
          </cell>
          <cell r="B10881" t="str">
            <v>HP X120 1G SFP LC LH100 Transceiver</v>
          </cell>
          <cell r="C10881" t="str">
            <v>X120 1000base-LH100 SFP トランシーバー</v>
          </cell>
        </row>
        <row r="10882">
          <cell r="A10882" t="str">
            <v>JD118B</v>
          </cell>
          <cell r="B10882" t="str">
            <v>HP X120 1G SFP LC SX Transceiver</v>
          </cell>
          <cell r="C10882" t="str">
            <v>X120 1000base-SX SFP トランシーバー</v>
          </cell>
        </row>
        <row r="10883">
          <cell r="A10883" t="str">
            <v>JD119B</v>
          </cell>
          <cell r="B10883" t="str">
            <v>HP X120 1G SFP LC LX Transceiver</v>
          </cell>
          <cell r="C10883" t="str">
            <v>X120 1000base-LX SFP トランシーバー</v>
          </cell>
        </row>
        <row r="10884">
          <cell r="A10884" t="str">
            <v>JD120B</v>
          </cell>
          <cell r="B10884" t="str">
            <v>HP X110 100M SFP LC LX Transceiver</v>
          </cell>
          <cell r="C10884" t="str">
            <v>X110 100base-LX SFP トランシーバー</v>
          </cell>
        </row>
        <row r="10885">
          <cell r="A10885" t="str">
            <v>JD183A#ACF</v>
          </cell>
          <cell r="B10885" t="str">
            <v>HP RPS 800 Redundant Power Supply</v>
          </cell>
          <cell r="C10885" t="str">
            <v>外部電源冗長用パワーサプライキット</v>
          </cell>
        </row>
        <row r="10886">
          <cell r="A10886" t="str">
            <v>JD184A</v>
          </cell>
          <cell r="B10886" t="str">
            <v>HP X290 500 C 1m RPS Cable</v>
          </cell>
          <cell r="C10886" t="str">
            <v>外部電源冗長用ケーブルオプション 1m
※ネットワークスイッチと外部電源冗長用パワーサプライキット間の接続用ケーブル</v>
          </cell>
        </row>
        <row r="10887">
          <cell r="A10887" t="str">
            <v>JD187A</v>
          </cell>
          <cell r="B10887" t="str">
            <v>HP X290 1000 A JD5 2m RPS Cable</v>
          </cell>
          <cell r="C10887" t="str">
            <v>外部電源冗長用ケーブルオプション 2m
※ネットワークスイッチと外部電源冗長用パワーサプライキット間の接続用ケーブル</v>
          </cell>
        </row>
        <row r="10888">
          <cell r="A10888" t="str">
            <v>JD189A</v>
          </cell>
          <cell r="B10888" t="str">
            <v>HP X290 1000 B JD5 2m RPS Cable</v>
          </cell>
          <cell r="C10888" t="str">
            <v>外部電源冗長用ケーブルオプション 5m
※ネットワークスイッチと外部電源冗長用パワーサプライキット間の接続用ケーブル</v>
          </cell>
        </row>
        <row r="10889">
          <cell r="A10889" t="str">
            <v>JD190A</v>
          </cell>
          <cell r="B10889" t="str">
            <v>HP X290 500/800 1m RPS Cable</v>
          </cell>
          <cell r="C10889" t="str">
            <v>外部電源冗長用ケーブルオプション 1m
※ネットワークスイッチと外部電源冗長用パワーサプライキット間の接続用ケーブル</v>
          </cell>
        </row>
        <row r="10890">
          <cell r="A10890" t="str">
            <v>JD323A</v>
          </cell>
          <cell r="B10890" t="str">
            <v>HP A3100/E4210-16/-8 POE Rack Mount Kit</v>
          </cell>
          <cell r="C10890" t="str">
            <v>-</v>
          </cell>
        </row>
        <row r="10891">
          <cell r="A10891" t="str">
            <v>JD324B</v>
          </cell>
          <cell r="B10891" t="str">
            <v>HP 3600 Switch SFP Stacking Kit</v>
          </cell>
          <cell r="C10891" t="str">
            <v>スタッキングキット（専用DACケーブル）</v>
          </cell>
        </row>
        <row r="10892">
          <cell r="A10892" t="str">
            <v>JD362B#ACF</v>
          </cell>
          <cell r="B10892" t="str">
            <v>HPE X361 150W AC Power Supply JP en</v>
          </cell>
          <cell r="C10892" t="str">
            <v>パワーサプライオプション (AC電源用)</v>
          </cell>
        </row>
        <row r="10893">
          <cell r="A10893" t="str">
            <v>JD366B</v>
          </cell>
          <cell r="B10893" t="str">
            <v>HPE X361 150W DC Power Supply</v>
          </cell>
          <cell r="C10893" t="str">
            <v>パワーサプライオプション (DC電源用)</v>
          </cell>
        </row>
        <row r="10894">
          <cell r="A10894" t="str">
            <v>JD637A</v>
          </cell>
          <cell r="B10894" t="str">
            <v>HP X290 MSR30 1m RPS Cable</v>
          </cell>
          <cell r="C10894" t="str">
            <v>外部電源冗長用ケーブルオプション 1m
※ネットワークスイッチと外部電源冗長用パワーサプライキット間の接続用ケーブル</v>
          </cell>
        </row>
        <row r="10895">
          <cell r="A10895" t="str">
            <v>JE072B#ACF</v>
          </cell>
          <cell r="B10895" t="str">
            <v>HPE 5120 48G SI Switch JP en</v>
          </cell>
          <cell r="C10895" t="str">
            <v>1000base-T x48 ポート、1000Base-X x4 ポート L2スイッチ
※スタック可</v>
          </cell>
        </row>
        <row r="10896">
          <cell r="A10896" t="str">
            <v>JE073B#ACF</v>
          </cell>
          <cell r="B10896" t="str">
            <v>HPE 5120 16G SI Switch JP en</v>
          </cell>
          <cell r="C10896" t="str">
            <v>1000base-T x16 ポート、1000Base-X x4 ポート L2スイッチ
※スタック可</v>
          </cell>
        </row>
        <row r="10897">
          <cell r="A10897" t="str">
            <v>JE074B#ACF</v>
          </cell>
          <cell r="B10897" t="str">
            <v>HPE 5120 24G SI Switch JP en</v>
          </cell>
          <cell r="C10897" t="str">
            <v>1000base-T x24 ポート、1000Base-X x4 ポート L2スイッチ
※スタック可</v>
          </cell>
        </row>
        <row r="10898">
          <cell r="A10898" t="str">
            <v>JG091B#ACF</v>
          </cell>
          <cell r="B10898" t="str">
            <v>HPE 5120 24G PoE+ (370W) SI Switch JP en</v>
          </cell>
          <cell r="C10898" t="str">
            <v>PoE+対応 1000base-T x24 ポート、1000Base-X x4 ポート L2スイッチ
※スタック可
※電源冗長可(外部冗長)
※SFP ポートはPoE+非対応</v>
          </cell>
        </row>
        <row r="10899">
          <cell r="A10899" t="str">
            <v>JG136A#ACF</v>
          </cell>
          <cell r="B10899" t="str">
            <v>HP RPS1600 Redundant Power System</v>
          </cell>
          <cell r="C10899" t="str">
            <v>外部電源冗長用パワーサプライキット</v>
          </cell>
        </row>
        <row r="10900">
          <cell r="A10900" t="str">
            <v>JG137A</v>
          </cell>
          <cell r="B10900" t="str">
            <v>HP RPS1600 1600W AC Power Supply</v>
          </cell>
          <cell r="C10900" t="str">
            <v>外部電源冗長用パワーサプライキット</v>
          </cell>
        </row>
        <row r="10901">
          <cell r="A10901" t="str">
            <v>JG234A</v>
          </cell>
          <cell r="B10901" t="str">
            <v>HP X130 10G SFP+ LC ER 40km Transceiver</v>
          </cell>
          <cell r="C10901" t="str">
            <v>X130 10Gbase-ER SFP+ トランシーバー</v>
          </cell>
        </row>
        <row r="10902">
          <cell r="A10902" t="str">
            <v>JG309B#ACF</v>
          </cell>
          <cell r="B10902" t="str">
            <v>HPE 5120 8G PoE+ (180W) SI Switch JP en</v>
          </cell>
          <cell r="C10902" t="str">
            <v>PoE+対応 1000base-T x8 ポート、1000Base-X x1 ポート L2スイッチ
※スタック可</v>
          </cell>
        </row>
        <row r="10903">
          <cell r="A10903" t="str">
            <v>JG394A</v>
          </cell>
          <cell r="B10903" t="str">
            <v>HP 10500 24p 1/10GBASE-T SF Mod</v>
          </cell>
          <cell r="C10903" t="str">
            <v>1G / 10Gbase-T x24 ポートモジュール
※SF タイプ</v>
          </cell>
        </row>
        <row r="10904">
          <cell r="A10904" t="str">
            <v>JG544A#ACF</v>
          </cell>
          <cell r="B10904" t="str">
            <v>HPE X362 720W AC PoE Power Supply</v>
          </cell>
          <cell r="C10904" t="str">
            <v>パワーサプライオプション (AC電源用)</v>
          </cell>
        </row>
        <row r="10905">
          <cell r="A10905" t="str">
            <v>JG932A#ACF</v>
          </cell>
          <cell r="B10905" t="str">
            <v>HP 5130-24G-4SFP+ EI Switch JP en</v>
          </cell>
          <cell r="C10905" t="str">
            <v>1000base-T x24 ポート、1/10GbE SFP+ x4 ポート L3スイッチ
※スタック可</v>
          </cell>
        </row>
        <row r="10906">
          <cell r="A10906" t="str">
            <v>JG933A</v>
          </cell>
          <cell r="B10906" t="str">
            <v>HP 5130-24G-SFP-4SFP+ EI Switch</v>
          </cell>
          <cell r="C10906" t="str">
            <v>1000base-T x16 ポート、1000base-T or 1GbE SFP x8 ポート、1/10GbE SFP+ x4 ポート L3スイッチ
※スタック可
※電源モジュール別売り(最大2個：冗長可)</v>
          </cell>
        </row>
        <row r="10907">
          <cell r="A10907" t="str">
            <v>JG934A#ACF</v>
          </cell>
          <cell r="B10907" t="str">
            <v>HP 5130-48G-4SFP+ EI Switch JP en</v>
          </cell>
          <cell r="C10907" t="str">
            <v>1000base-T x48 ポート、1/10GbE SFP+ x4 ポート L3スイッチ
※スタック可
※電源冗長可(外部冗長)</v>
          </cell>
        </row>
        <row r="10908">
          <cell r="A10908" t="str">
            <v>JG936A#ACF</v>
          </cell>
          <cell r="B10908" t="str">
            <v>HP 5130-24G-PoE+-4SFP+ EI Swch JP en</v>
          </cell>
          <cell r="C10908" t="str">
            <v>1000base-T x24 ポート、1/10GbE SFP+ x4 ポート L3スイッチ
※スタック可
※電源冗長可(外部冗長)
※PoE+対応</v>
          </cell>
        </row>
        <row r="10909">
          <cell r="A10909" t="str">
            <v>JG937A#ACF</v>
          </cell>
          <cell r="B10909" t="str">
            <v>HP 5130-48G-PoE+-4SFP+ EI Swch JP en</v>
          </cell>
          <cell r="C10909" t="str">
            <v>1000base-T x48 ポート、1/10GbE SFP+ x4 ポート L3スイッチ
※スタック可
※電源冗長可(外部冗長)
※PoE+対応</v>
          </cell>
        </row>
        <row r="10910">
          <cell r="A10910" t="str">
            <v>JG938A#ACF</v>
          </cell>
          <cell r="B10910" t="str">
            <v>HP 5130-24G-2SFP+-2XGT EI Switch JP en</v>
          </cell>
          <cell r="C10910" t="str">
            <v>1000base-T x24 ポート、1/10GbE SFP+ x4 ポート、10Gbase-T x2 ポート L3スイッチ
※スタック可</v>
          </cell>
        </row>
        <row r="10911">
          <cell r="A10911" t="str">
            <v>JG939A#ACF</v>
          </cell>
          <cell r="B10911" t="str">
            <v>HP 5130-48G-2SFP+-2XGT EI Switch JP en</v>
          </cell>
          <cell r="C10911" t="str">
            <v>1000base-T x48 ポート、1/10GbE SFP+ x4 ポート、10Gbase-T x2 ポート L3スイッチ
※スタック可</v>
          </cell>
        </row>
        <row r="10912">
          <cell r="A10912" t="str">
            <v>JG940A#ACF</v>
          </cell>
          <cell r="B10912" t="str">
            <v>HP 5130-24G-PoE+-2SFP+-2XGT EI Swch JP</v>
          </cell>
          <cell r="C10912" t="str">
            <v>1000base-T x24 ポート、1/10GbE SFP+ x4 ポート、10Gbase-T x2 ポート L3スイッチ
※スタック可
※電源冗長可(外部冗長)
※PoE+対応</v>
          </cell>
        </row>
        <row r="10913">
          <cell r="A10913" t="str">
            <v>JH145A</v>
          </cell>
          <cell r="B10913" t="str">
            <v>HPE 5510 24G 4SFP+ HI Swch</v>
          </cell>
          <cell r="C10913" t="str">
            <v>1000base-T x24 ポート、1/10GbE SFP+ x4 ポート L3スイッチ
※モジュール拡張スロット x1
※電源モジュール別売り(最大2個：冗長可)</v>
          </cell>
        </row>
        <row r="10914">
          <cell r="A10914" t="str">
            <v>JH146A</v>
          </cell>
          <cell r="B10914" t="str">
            <v>HPE 5510 48G 4SFP+ HI Swch</v>
          </cell>
          <cell r="C10914" t="str">
            <v>1000base-T x48 ポート、1/10GbE SFP+ x4 ポート L3スイッチ
※モジュール拡張スロット x1
※電源モジュール別売り(最大2個：冗長可)</v>
          </cell>
        </row>
        <row r="10915">
          <cell r="A10915" t="str">
            <v>JH147A</v>
          </cell>
          <cell r="B10915" t="str">
            <v>HPE 5510 24G PoE+ 4SFP+ HI Swch</v>
          </cell>
          <cell r="C10915" t="str">
            <v>1000base-T x24 ポート、1/10GbE SFP+ x4 ポート L3スイッチ
※モジュール拡張スロット x1
※電源モジュール別売り(最大2個：冗長可)
※PoE+対応</v>
          </cell>
        </row>
        <row r="10916">
          <cell r="A10916" t="str">
            <v>JH148A</v>
          </cell>
          <cell r="B10916" t="str">
            <v>HPE 5510 48G PoE+ 4SFP+ HI Swch</v>
          </cell>
          <cell r="C10916" t="str">
            <v>1000base-T x48 ポート、1/10GbE SFP+ x4 ポート L3スイッチ
※モジュール拡張スロット x1
※電源モジュール別売り(最大2個：冗長可)
※PoE+対応</v>
          </cell>
        </row>
        <row r="10917">
          <cell r="A10917" t="str">
            <v>JH149A</v>
          </cell>
          <cell r="B10917" t="str">
            <v>HPE 5510 24G SFP 4SFP+ HI Swch</v>
          </cell>
          <cell r="C10917" t="str">
            <v>1GbE SFP x16 ポート、1000base-T or 1GbE SFP x8 ポート、1/10GbE SFP+ x4 ポート L3スイッチ
※モジュール拡張スロット x1
※電源モジュール別売り(最大2個：冗長可)</v>
          </cell>
        </row>
        <row r="10918">
          <cell r="A10918" t="str">
            <v>JH155A</v>
          </cell>
          <cell r="B10918" t="str">
            <v>HPE 5510 2-port QSFP+ Module</v>
          </cell>
          <cell r="C10918" t="str">
            <v>40GbE QSFP+ x2 ポートモジュール</v>
          </cell>
        </row>
        <row r="10919">
          <cell r="A10919" t="str">
            <v>JH156A</v>
          </cell>
          <cell r="B10919" t="str">
            <v>HPE 5130/5510 10GBASE-T 2p Module</v>
          </cell>
          <cell r="C10919" t="str">
            <v>1/10Gbase-T x2 ポートモジュール</v>
          </cell>
        </row>
        <row r="10920">
          <cell r="A10920" t="str">
            <v>JH157A</v>
          </cell>
          <cell r="B10920" t="str">
            <v>HPE 5130/5510 10GbE SFP+ 2p Module</v>
          </cell>
          <cell r="C10920" t="str">
            <v>1/10GbE SFP+ x2 ポートモジュール</v>
          </cell>
        </row>
        <row r="10921">
          <cell r="A10921" t="str">
            <v>JH191A</v>
          </cell>
          <cell r="B10921" t="str">
            <v>HP 10500 44p GbE/4p 10GbE SFP+ SE Mod</v>
          </cell>
          <cell r="C10921" t="str">
            <v>1GbE SFP x44 ポート、1/10GbE SFP+ x4 ポートモジュール
※SEタイプ</v>
          </cell>
        </row>
        <row r="10922">
          <cell r="A10922" t="str">
            <v>JH192A</v>
          </cell>
          <cell r="B10922" t="str">
            <v>HP 10500 48p 1000BASE-T SE Mod</v>
          </cell>
          <cell r="C10922" t="str">
            <v>1000Base-T x48 ポート ポートモジュール
※SEタイプ</v>
          </cell>
        </row>
        <row r="10923">
          <cell r="A10923" t="str">
            <v>JH193A</v>
          </cell>
          <cell r="B10923" t="str">
            <v>HP 10500 16p 1/10GbE SFP+ SF Mod</v>
          </cell>
          <cell r="C10923" t="str">
            <v>1/10GbE SFP+ x16 ポートモジュール
※SFタイプ</v>
          </cell>
        </row>
        <row r="10924">
          <cell r="A10924" t="str">
            <v>JH197A</v>
          </cell>
          <cell r="B10924" t="str">
            <v>HP 10500 48p 1/10GbE SFP+ SG Mod</v>
          </cell>
          <cell r="C10924" t="str">
            <v>1/10GbE SFP+ x48 ポートモジュール
※SGタイプ</v>
          </cell>
        </row>
        <row r="10925">
          <cell r="A10925" t="str">
            <v>JH198A</v>
          </cell>
          <cell r="B10925" t="str">
            <v>HP 10500 Type D w/Comware v7 OS MPU</v>
          </cell>
          <cell r="C10925" t="str">
            <v>プロセッシング ユニット
※Comware v7 OS</v>
          </cell>
        </row>
        <row r="10926">
          <cell r="A10926" t="str">
            <v>JH323A</v>
          </cell>
          <cell r="B10926" t="str">
            <v>HPE 5130 24G 4SFP+ 1-slot HI Switch</v>
          </cell>
          <cell r="C10926" t="str">
            <v>1000base-T x24 ポート、1/10GbE SFP+ x4 ポート L3スイッチ
※モジュール拡張スロット x1
※電源モジュール別売り(最大2個：冗長可)</v>
          </cell>
        </row>
        <row r="10927">
          <cell r="A10927" t="str">
            <v>JH324A</v>
          </cell>
          <cell r="B10927" t="str">
            <v>HPE 5130 48G 4SFP+ 1-slot HI Switch</v>
          </cell>
          <cell r="C10927" t="str">
            <v>1000base-T x48 ポート、1/10GbE SFP+ x4 ポート L3スイッチ
※モジュール拡張スロット x1
※電源モジュール別売り(最大2個：冗長可)</v>
          </cell>
        </row>
        <row r="10928">
          <cell r="A10928" t="str">
            <v>JH325A</v>
          </cell>
          <cell r="B10928" t="str">
            <v>HPE 5130 24G PoE+ 4SFP+ 1-slot HI Switch</v>
          </cell>
          <cell r="C10928" t="str">
            <v>1000base-T x24 ポート、1/10GbE SFP+ x4 ポート L3スイッチ
※モジュール拡張スロット x1
※スタック可
※電源モジュール別売り(最大2個：冗長可
※PoE+対応</v>
          </cell>
        </row>
        <row r="10929">
          <cell r="A10929" t="str">
            <v>JH326A</v>
          </cell>
          <cell r="B10929" t="str">
            <v>HPE 5130 48G PoE+ 4SFP+ 1-slot HI Switch</v>
          </cell>
          <cell r="C10929" t="str">
            <v>1000base-T x48 ポート、1/10GbE SFP+ x4 ポート L3スイッチ
※モジュール拡張スロット x1
※スタック可
※電源モジュール別売り(最大2個：冗長可
※PoE+対応</v>
          </cell>
        </row>
        <row r="10930">
          <cell r="A10930" t="str">
            <v>JH677A</v>
          </cell>
          <cell r="B10930" t="str">
            <v>HPE X140 40G QSFP+ LC LR4 SM C-TRX</v>
          </cell>
          <cell r="C10930" t="str">
            <v>X140 40Gbase-LR4 QSFP+ トランシーバー</v>
          </cell>
        </row>
        <row r="10931">
          <cell r="A10931" t="str">
            <v>JH678A</v>
          </cell>
          <cell r="B10931" t="str">
            <v>HPE X140 40G QSFP+ LC BiDi 100m MM C-TRX</v>
          </cell>
          <cell r="C10931" t="str">
            <v>X140 40Gbase-BiDi QSFP+ トランシーバー</v>
          </cell>
        </row>
        <row r="10932">
          <cell r="A10932" t="str">
            <v>JH679A</v>
          </cell>
          <cell r="B10932" t="str">
            <v>HPE X140 40G QSFP+ MPO SR4 C-TRX</v>
          </cell>
          <cell r="C10932" t="str">
            <v>X140 40Gbase-SR4 QSFP+ トランシーバー</v>
          </cell>
        </row>
        <row r="10933">
          <cell r="A10933" t="str">
            <v>JH680A</v>
          </cell>
          <cell r="B10933" t="str">
            <v>HPE X140 40G QSFP+ LC LR4L 2km SM C-TRX</v>
          </cell>
          <cell r="C10933" t="str">
            <v>X140 40Gbase-LR4L QSFP+ トランシーバー</v>
          </cell>
        </row>
        <row r="10934">
          <cell r="A10934" t="str">
            <v>JH681A</v>
          </cell>
          <cell r="B10934" t="str">
            <v>HPE X140 40G QSFP+ CSR4 300m C-TRX</v>
          </cell>
          <cell r="C10934" t="str">
            <v>X140 40Gbase-CSR4 QSFP+ トランシーバー</v>
          </cell>
        </row>
        <row r="10935">
          <cell r="A10935" t="str">
            <v>JH682A</v>
          </cell>
          <cell r="B10935" t="str">
            <v>HPE X150 100G QSFP28 SR4 100m MM C-TRX</v>
          </cell>
          <cell r="C10935" t="str">
            <v>X150 100Gbase-SR4 QSFP28 トランシーバー</v>
          </cell>
        </row>
        <row r="10936">
          <cell r="A10936" t="str">
            <v>JH683A</v>
          </cell>
          <cell r="B10936" t="str">
            <v>HPE X150 100G QSFP28 LC LR4 10k SM C-TRX</v>
          </cell>
          <cell r="C10936" t="str">
            <v>X150 100Gbase-LR4 QSFP28 トランシーバー</v>
          </cell>
        </row>
        <row r="10937">
          <cell r="A10937" t="str">
            <v>JH684A#ACF</v>
          </cell>
          <cell r="B10937" t="str">
            <v>HPE 5940 48p 10G/6p 100G 2 F PS JP en</v>
          </cell>
          <cell r="C10937" t="str">
            <v>1/10GbE SFP+ x48 ポート、40/100GbE QSFP28 x6 ポート L3スイッチ
※スタック可
※電源モジュール：2個標準搭載(冗長可)
※ファンモジュール：2個標準搭載</v>
          </cell>
        </row>
        <row r="10938">
          <cell r="A10938" t="str">
            <v>JH685A#ACF</v>
          </cell>
          <cell r="B10938" t="str">
            <v>HPE 5940 48p 10GBT/6p 100G 2 F PS JP en</v>
          </cell>
          <cell r="C10938" t="str">
            <v>10Gbase-T x48 ポート、40/100GbE QSFP28 x6 ポート L3スイッチ
※スタック可
※電源モジュール：2個標準搭載(冗長可)
※ファンモジュール：2個標準搭載</v>
          </cell>
        </row>
        <row r="10939">
          <cell r="A10939" t="str">
            <v>JH686A#ACF</v>
          </cell>
          <cell r="B10939" t="str">
            <v>HPE 5940 32p 40G w/2 F 2 PS Swch JP en</v>
          </cell>
          <cell r="C10939" t="str">
            <v>40GbE QSFP+ x32 ポート L3スイッチ
※スタック可
※電源モジュール：2個標準搭載(冗長可)
※ファンモジュール：2個標準搭載</v>
          </cell>
        </row>
        <row r="10940">
          <cell r="A10940" t="str">
            <v>JH689A</v>
          </cell>
          <cell r="B10940" t="str">
            <v>HPE 24p SFP+ and 2p QSFP+ Mod</v>
          </cell>
          <cell r="C10940" t="str">
            <v>1/10GbE SFP+ x24 ポート、40GbE QSFP+ x2 ポートモジュール</v>
          </cell>
        </row>
        <row r="10941">
          <cell r="A10941" t="str">
            <v>JH690A</v>
          </cell>
          <cell r="B10941" t="str">
            <v>HPE 24p 10GBT/2p QSFP+ Msec Mod</v>
          </cell>
          <cell r="C10941" t="str">
            <v>1/10Gbase-T x24 ポート、40GbE QSFP+ x2 ポートモジュール</v>
          </cell>
        </row>
        <row r="10942">
          <cell r="A10942" t="str">
            <v>JH691A#ACF</v>
          </cell>
          <cell r="B10942" t="str">
            <v>HPE FN 5940 2s 2 Fan 2 PS Bndl JP en</v>
          </cell>
          <cell r="C10942" t="str">
            <v>40GbE QSFP+ x2 ポート L3スイッチ
※拡張モジュール x2スロット
※スタック可
※電源モジュール：2個標準搭載(冗長可)
※ファンモジュール：2個標準搭載</v>
          </cell>
        </row>
        <row r="10943">
          <cell r="A10943" t="str">
            <v>JH692A#ACF</v>
          </cell>
          <cell r="B10943" t="str">
            <v>HPE FN 5940 4s 2 Fan 4 PS Bndl JP en</v>
          </cell>
          <cell r="C10943" t="str">
            <v>ポートモジュールレス L3スイッチ
※拡張モジュール x4スロット
※スタック可
※電源モジュール：4個標準搭載(冗長可)
※ファンモジュール：2個標準搭載</v>
          </cell>
        </row>
        <row r="10944">
          <cell r="A10944" t="str">
            <v>JH693A</v>
          </cell>
          <cell r="B10944" t="str">
            <v>HPE X240 10G SFP+ SFP+ 0.65m DAC C-Cable</v>
          </cell>
          <cell r="C10944" t="str">
            <v>X240 10G SFP+ DACケーブル 0.65m</v>
          </cell>
        </row>
        <row r="10945">
          <cell r="A10945" t="str">
            <v>JH694A</v>
          </cell>
          <cell r="B10945" t="str">
            <v>HPE X240 10G SFP+ SFP+ 1.2m DAC C-Cable</v>
          </cell>
          <cell r="C10945" t="str">
            <v>X240 10G SFP+ DACケーブル 1.2m</v>
          </cell>
        </row>
        <row r="10946">
          <cell r="A10946" t="str">
            <v>JH695A</v>
          </cell>
          <cell r="B10946" t="str">
            <v>HPE X240 10G SFP+ SFP+ 3m DAC C-Cable</v>
          </cell>
          <cell r="C10946" t="str">
            <v>X240 10G SFP+ DACケーブル 3m</v>
          </cell>
        </row>
        <row r="10947">
          <cell r="A10947" t="str">
            <v>JH696A</v>
          </cell>
          <cell r="B10947" t="str">
            <v>HPE X240 10G SFP+ SFP+ 7m DAC C-Cable</v>
          </cell>
          <cell r="C10947" t="str">
            <v>X240 10G SFP+ DACケーブル 7m</v>
          </cell>
        </row>
        <row r="10948">
          <cell r="A10948" t="str">
            <v>JH697A</v>
          </cell>
          <cell r="B10948" t="str">
            <v>HPE X240 40G QSFP+ QSFP+ 1m DAC C-Cable</v>
          </cell>
          <cell r="C10948" t="str">
            <v>X240 40G QSFP+ DACケーブル 1m</v>
          </cell>
        </row>
        <row r="10949">
          <cell r="A10949" t="str">
            <v>JH698A</v>
          </cell>
          <cell r="B10949" t="str">
            <v>HPE X240 40G QSFP+ QSFP+ 3m DAC C-Cable</v>
          </cell>
          <cell r="C10949" t="str">
            <v>X240 40G QSFP+ DACケーブル 3m</v>
          </cell>
        </row>
        <row r="10950">
          <cell r="A10950" t="str">
            <v>JH699A</v>
          </cell>
          <cell r="B10950" t="str">
            <v>HPE X240 40G QSFP+ QSFP+ 5m DAC C-Cable</v>
          </cell>
          <cell r="C10950" t="str">
            <v>X240 40G QSFP+ DACケーブル 5m</v>
          </cell>
        </row>
        <row r="10951">
          <cell r="A10951" t="str">
            <v>JH700A</v>
          </cell>
          <cell r="B10951" t="str">
            <v>HPE X240 QSFP+ 4x10G SFP+ 3m DAC C-Cable</v>
          </cell>
          <cell r="C10951" t="str">
            <v>X240 40G QSFP+ to 10G SFP+ DACケーブル 3m x4本</v>
          </cell>
        </row>
        <row r="10952">
          <cell r="A10952" t="str">
            <v>JH701A</v>
          </cell>
          <cell r="B10952" t="str">
            <v>HPE X240 100G QSFP28 1m DAC C-Cable</v>
          </cell>
          <cell r="C10952" t="str">
            <v>X240 100G QSFP28 DACケーブル 1m</v>
          </cell>
        </row>
        <row r="10953">
          <cell r="A10953" t="str">
            <v>JH702A</v>
          </cell>
          <cell r="B10953" t="str">
            <v>HPE X240 100G QSFP28 3m DAC C-Cable</v>
          </cell>
          <cell r="C10953" t="str">
            <v>X240 100G QSFP28 DACケーブル 3m</v>
          </cell>
        </row>
        <row r="10954">
          <cell r="A10954" t="str">
            <v>JH703A</v>
          </cell>
          <cell r="B10954" t="str">
            <v>HPE X240 100G QSFP28 5m DAC C-Cable</v>
          </cell>
          <cell r="C10954" t="str">
            <v>X240 100G QSFP28 DACケーブル 5m</v>
          </cell>
        </row>
        <row r="10955">
          <cell r="A10955" t="str">
            <v>JL250A</v>
          </cell>
          <cell r="B10955" t="str">
            <v>HPE X130 10G SFP+ LC LH80 tunable XCVR</v>
          </cell>
          <cell r="C10955" t="str">
            <v>X130 10Gbase-LH80 SFP+ トランシーバー</v>
          </cell>
        </row>
        <row r="10956">
          <cell r="A10956" t="str">
            <v>J9833A#ACF</v>
          </cell>
          <cell r="B10956" t="str">
            <v>HP PS1810-8G スイッチ</v>
          </cell>
          <cell r="C10956" t="str">
            <v>1000Base-T x8 ポート Web管理型スイッチ</v>
          </cell>
        </row>
        <row r="10957">
          <cell r="A10957" t="str">
            <v>J9834A#ACF</v>
          </cell>
          <cell r="B10957" t="str">
            <v>HP PS1810-24G スイッチ</v>
          </cell>
          <cell r="C10957" t="str">
            <v>1000Base-T  x24 ポート Web管理型スイッチ</v>
          </cell>
        </row>
        <row r="10958">
          <cell r="A10958" t="str">
            <v>J9979A#ACF</v>
          </cell>
          <cell r="B10958" t="str">
            <v>HPE 1820 8G Switch JP en</v>
          </cell>
          <cell r="C10958" t="str">
            <v>1000Base-T  x8 ポート Web管理型スイッチ</v>
          </cell>
        </row>
        <row r="10959">
          <cell r="A10959" t="str">
            <v>J9980A#ACF</v>
          </cell>
          <cell r="B10959" t="str">
            <v>HPE 1820 24G Switch JP en</v>
          </cell>
          <cell r="C10959" t="str">
            <v>1000Base-T  x24 ポート、1000Base-X x2 ポート Web管理型スイッチ</v>
          </cell>
        </row>
        <row r="10960">
          <cell r="A10960" t="str">
            <v>J9981A#ACF</v>
          </cell>
          <cell r="B10960" t="str">
            <v>HPE 1820 48G Switch JP en</v>
          </cell>
          <cell r="C10960" t="str">
            <v>1000Base-T  x48 ポート、1000Base-X x4 ポート Web管理型スイッチ</v>
          </cell>
        </row>
        <row r="10961">
          <cell r="A10961" t="str">
            <v>J9982A#ACF</v>
          </cell>
          <cell r="B10961" t="str">
            <v>HPE 1820 8G-PoE+ (65W) Switch JP en</v>
          </cell>
          <cell r="C10961" t="str">
            <v>PoE+対応 1000Base-T x8 ポート Web管理型スイッチ</v>
          </cell>
        </row>
        <row r="10962">
          <cell r="A10962" t="str">
            <v>JG708B#ACF</v>
          </cell>
          <cell r="B10962" t="str">
            <v>HPE 1420 24G Switch JP en</v>
          </cell>
          <cell r="C10962" t="str">
            <v>1000base-T x24 ポート 非管理型スイッチ</v>
          </cell>
        </row>
        <row r="10963">
          <cell r="A10963" t="str">
            <v>JG960A#ACF</v>
          </cell>
          <cell r="B10963" t="str">
            <v>HPE 1950 24G-2SFP+-2XGT Switch JP en</v>
          </cell>
          <cell r="C10963" t="str">
            <v>1000base-T x24 ポート、1/10GbE SFP+ x2 ポート、10Gbase-T x2 ポート Web管理型スイッチ
※スタック可</v>
          </cell>
        </row>
        <row r="10964">
          <cell r="A10964" t="str">
            <v>JG961A#ACF</v>
          </cell>
          <cell r="B10964" t="str">
            <v>HPE 1950 48G-2SFP+-2XGT Switch JP en</v>
          </cell>
          <cell r="C10964" t="str">
            <v>1000base-T x48 ポート、1/10GbE SFP+ x2 ポート、10Gbase-T x2 ポート Web管理型スイッチ
※スタック可</v>
          </cell>
        </row>
        <row r="10965">
          <cell r="A10965" t="str">
            <v>JG962A#ACF</v>
          </cell>
          <cell r="B10965" t="str">
            <v>HPE 1950 24G-2SFP+-2XGT-PoE+ Switch JP</v>
          </cell>
          <cell r="C10965" t="str">
            <v>1000base-T x24 ポート、1/10GbE SFP+ x2 ポート、10Gbase-T x2 ポート Web管理型スイッチ
※スタック可
※電源冗長可(外部冗長)
※PoE+対応</v>
          </cell>
        </row>
        <row r="10966">
          <cell r="A10966" t="str">
            <v>JG963A#ACF</v>
          </cell>
          <cell r="B10966" t="str">
            <v>HPE 1950 48G-2SFP+-2XGT-PoE+ Switch JP</v>
          </cell>
          <cell r="C10966" t="str">
            <v>1000base-T x48 ポート、1/10GbE SFP+ x2 ポート、10Gbase-T x2 ポート Web管理型スイッチ
※スタック可
※電源冗長可(外部冗長)
※PoE+対応</v>
          </cell>
        </row>
        <row r="10967">
          <cell r="A10967" t="str">
            <v>JH016A#ACF</v>
          </cell>
          <cell r="B10967" t="str">
            <v>HPE 1420-16G Switch JP en</v>
          </cell>
          <cell r="C10967" t="str">
            <v>1000base-T x16 ポート 非管理型スイッチ</v>
          </cell>
        </row>
        <row r="10968">
          <cell r="A10968" t="str">
            <v>JH017A#ACF</v>
          </cell>
          <cell r="B10968" t="str">
            <v>HPE 1420-24G-2SFP Switch JP en</v>
          </cell>
          <cell r="C10968" t="str">
            <v>1000base-T x24 ポート、1GbE SFP x2 ポート 非管理型スイッチ</v>
          </cell>
        </row>
        <row r="10969">
          <cell r="A10969" t="str">
            <v>JH018A#ACF</v>
          </cell>
          <cell r="B10969" t="str">
            <v>HPE 1420-24G-2SFP+ 10G Uplnk Switch JP</v>
          </cell>
          <cell r="C10969" t="str">
            <v>1000base-T x24 ポート、10GbE SFP+ x2 ポート 非管理型スイッチ</v>
          </cell>
        </row>
        <row r="10970">
          <cell r="A10970" t="str">
            <v>JH019A#ACF</v>
          </cell>
          <cell r="B10970" t="str">
            <v>HPE 1420-24G-PoE+ (124W) Switch JP en</v>
          </cell>
          <cell r="C10970" t="str">
            <v>PoE+対応 1000base-T x24 ポート 非管理型スイッチ</v>
          </cell>
        </row>
        <row r="10971">
          <cell r="A10971" t="str">
            <v>JH295A#ACF</v>
          </cell>
          <cell r="B10971" t="str">
            <v>HPE 1950 12XGT 4SFP+ Switch JP en</v>
          </cell>
          <cell r="C10971" t="str">
            <v>10Gbase-T x12 ポート、1/10GbE SFP+ x4 ポート Web管理型スイッチ
※スタック可
※電源冗長可(外部冗長)</v>
          </cell>
        </row>
        <row r="10972">
          <cell r="A10972" t="str">
            <v>JH327A#ACF</v>
          </cell>
          <cell r="B10972" t="str">
            <v>HPE 1420 5G Switch JP en</v>
          </cell>
          <cell r="C10972" t="str">
            <v>1000base-T x5 ポート 非管理型スイッチ
※ラックマウント非対応</v>
          </cell>
        </row>
        <row r="10973">
          <cell r="A10973" t="str">
            <v>JH328A#ACF</v>
          </cell>
          <cell r="B10973" t="str">
            <v>HPE 1420 5G PoE+ (32W) Switch JP en</v>
          </cell>
          <cell r="C10973" t="str">
            <v>PoE+対応 1000base-T x5 ポート 非管理型スイッチ
※ラックマウント非対応</v>
          </cell>
        </row>
        <row r="10974">
          <cell r="A10974" t="str">
            <v>JH329A#ACF</v>
          </cell>
          <cell r="B10974" t="str">
            <v>HPE 1420 8G Switch JP en</v>
          </cell>
          <cell r="C10974" t="str">
            <v>1000base-T x8 ポート 非管理型スイッチ
※ラックマウント非対応</v>
          </cell>
        </row>
        <row r="10975">
          <cell r="A10975" t="str">
            <v>JH330A#ACF</v>
          </cell>
          <cell r="B10975" t="str">
            <v>HPE 1420 8G PoE+ (64W) Switch JP en</v>
          </cell>
          <cell r="C10975" t="str">
            <v>PoE+対応 1000base-T x8 ポート 非管理型スイッチ
※ラックマウント非対応</v>
          </cell>
        </row>
        <row r="10976">
          <cell r="A10976" t="str">
            <v>JH407A#ACF</v>
          </cell>
          <cell r="B10976" t="str">
            <v>HPE 1405 5G v3 Switch JP en</v>
          </cell>
          <cell r="C10976" t="str">
            <v>1000base-T x5 ポート 非管理型スイッチ
※ラックマウント非対応</v>
          </cell>
        </row>
        <row r="10977">
          <cell r="A10977" t="str">
            <v>JH408A#ACF</v>
          </cell>
          <cell r="B10977" t="str">
            <v>HPE 1405 8G v3 Switch JP en</v>
          </cell>
          <cell r="C10977" t="str">
            <v>1000base-T x8 ポート 非管理型スイッチ
※ラックマウント非対応</v>
          </cell>
        </row>
        <row r="10978">
          <cell r="A10978" t="str">
            <v>JL169A#ACF</v>
          </cell>
          <cell r="B10978" t="str">
            <v>HPE 1850 6XGT 2XGT/SFP+ Switch JP en</v>
          </cell>
          <cell r="C10978" t="str">
            <v>10Gbase-T x6 ポート、10Gbase-T or 1/10GbE SFP+ x2 ポート Web管理型スイッチ</v>
          </cell>
        </row>
        <row r="10979">
          <cell r="A10979" t="str">
            <v>JL170A#ACF</v>
          </cell>
          <cell r="B10979" t="str">
            <v>HPE 1850 24G 2XGT Switch JP en</v>
          </cell>
          <cell r="C10979" t="str">
            <v>1000base-T x24 ポート、10Gbase-T x2 ポート Web管理型スイッチ</v>
          </cell>
        </row>
        <row r="10980">
          <cell r="A10980" t="str">
            <v>JL171A#ACF</v>
          </cell>
          <cell r="B10980" t="str">
            <v>HPE 1850 48G 4XGT Switch JP en</v>
          </cell>
          <cell r="C10980" t="str">
            <v>1000base-T x48 ポート、10Gbase-T x4 ポート Web管理型スイッチ</v>
          </cell>
        </row>
        <row r="10981">
          <cell r="A10981" t="str">
            <v>JL172A#ACF</v>
          </cell>
          <cell r="B10981" t="str">
            <v>HPE 1850 24G 2XGT PoE+ 185W Switch JP en</v>
          </cell>
          <cell r="C10981" t="str">
            <v>PoE+対応 1000base-T x24 ポート、10Gbase-T x2 ポート Web管理型スイッチ</v>
          </cell>
        </row>
        <row r="10982">
          <cell r="A10982" t="str">
            <v>JL380A#ACF</v>
          </cell>
          <cell r="B10982" t="str">
            <v>HPE 1920S 8G Switch JP en</v>
          </cell>
          <cell r="C10982" t="str">
            <v>1000base-T x8 ポート Web管理型スイッチ</v>
          </cell>
        </row>
        <row r="10983">
          <cell r="A10983" t="str">
            <v>JL381A#ACF</v>
          </cell>
          <cell r="B10983" t="str">
            <v>HPE 1920S 24G 2SFP Switch JP en</v>
          </cell>
          <cell r="C10983" t="str">
            <v>1000base-T x24 ポート、1GbE SFP x2 ポート Web管理型スイッチ</v>
          </cell>
        </row>
        <row r="10984">
          <cell r="A10984" t="str">
            <v>JL382A#ACF</v>
          </cell>
          <cell r="B10984" t="str">
            <v>HPE 1920S 48G 4SFP Switch JP en</v>
          </cell>
          <cell r="C10984" t="str">
            <v>1000base-T x48 ポート、1GbE SFP x4 ポート Web管理型スイッチ</v>
          </cell>
        </row>
        <row r="10985">
          <cell r="A10985" t="str">
            <v>JL383A#ACF</v>
          </cell>
          <cell r="B10985" t="str">
            <v>HPE 1920S 8G PPoE+ 65W Switch JP en</v>
          </cell>
          <cell r="C10985" t="str">
            <v>PoE+対応 1000base-T x8 ポート Web管理型スイッチ</v>
          </cell>
        </row>
        <row r="10986">
          <cell r="A10986" t="str">
            <v>JL384A#ACF</v>
          </cell>
          <cell r="B10986" t="str">
            <v>HPE 1920S 24G 2SFP PPoE+ 185W Swch JP en</v>
          </cell>
          <cell r="C10986" t="str">
            <v>1000base-T x24 ポート、1GbE SFP x2 ポート Web管理型スイッチ
※PoE+対応</v>
          </cell>
        </row>
        <row r="10987">
          <cell r="A10987" t="str">
            <v>JL385A#ACF</v>
          </cell>
          <cell r="B10987" t="str">
            <v>HPE 1920S 24G 2SFP PoE+ 370W Swch JP en</v>
          </cell>
          <cell r="C10987" t="str">
            <v>1000base-T x24 ポート、1GbE SFP x2 ポート Web管理型スイッチ
※PoE+対応</v>
          </cell>
        </row>
        <row r="10988">
          <cell r="A10988" t="str">
            <v>JL386A#ACF</v>
          </cell>
          <cell r="B10988" t="str">
            <v>HPE 1920S 48G 4SFP PPoE+ 370W Swch JP en</v>
          </cell>
          <cell r="C10988" t="str">
            <v>1000base-T x48 ポート、1GbE SFP x4 ポート Web管理型スイッチ
※PoE+対応</v>
          </cell>
        </row>
        <row r="10989">
          <cell r="A10989" t="str">
            <v>J9443A#ACF</v>
          </cell>
          <cell r="B10989" t="str">
            <v>HP 630 Red and/or External Power Supply</v>
          </cell>
          <cell r="C10989" t="str">
            <v>外部冗長電源用パワーサプライキット</v>
          </cell>
        </row>
        <row r="10990">
          <cell r="A10990" t="str">
            <v>J9534A</v>
          </cell>
          <cell r="B10990" t="str">
            <v>HPE 24-port Gig-T PoE+ v2 zl Module</v>
          </cell>
          <cell r="C10990" t="str">
            <v>PoE+対応 1GbE RJ-45 x24 ポートモジュール</v>
          </cell>
        </row>
        <row r="10991">
          <cell r="A10991" t="str">
            <v>J9535A</v>
          </cell>
          <cell r="B10991" t="str">
            <v>HPE 20-port GT PoE+/4-port SFP v2 zl Mod</v>
          </cell>
          <cell r="C10991" t="str">
            <v>PoE+対応 1GbE RJ-45 x20 ポート、1GbE SFP x12 ポートモジュール
※SFP ポートでは PoE+非サポート</v>
          </cell>
        </row>
        <row r="10992">
          <cell r="A10992" t="str">
            <v>J9536A</v>
          </cell>
          <cell r="B10992" t="str">
            <v>HPE 20p GT PoE+/2p SFP+ v2 zl Module</v>
          </cell>
          <cell r="C10992" t="str">
            <v>PoE+対応 1GbE RJ-45 x12 ポート、10GbE SFP+ x12 ポートモジュール
※SFP ポートでは PoE+非サポート</v>
          </cell>
        </row>
        <row r="10993">
          <cell r="A10993" t="str">
            <v>J9537A</v>
          </cell>
          <cell r="B10993" t="str">
            <v>HPE 24-port SFP v2 zl Module</v>
          </cell>
          <cell r="C10993" t="str">
            <v>1GbE SFP x24 ポートモジュール
※PoE+非サポート</v>
          </cell>
        </row>
        <row r="10994">
          <cell r="A10994" t="str">
            <v>J9538A</v>
          </cell>
          <cell r="B10994" t="str">
            <v>HPE 8-port 10GbE SFP+ v2 zl Module</v>
          </cell>
          <cell r="C10994" t="str">
            <v>10GbE SFP+ x8 ポートモジュール
※PoE+非サポート</v>
          </cell>
        </row>
        <row r="10995">
          <cell r="A10995" t="str">
            <v>J9546A</v>
          </cell>
          <cell r="B10995" t="str">
            <v>HPE 8-port 10GBASE-T v2 zl Module</v>
          </cell>
          <cell r="C10995" t="str">
            <v>10Gbase-T x8 ポートモジュール
※PoE+非サポート</v>
          </cell>
        </row>
        <row r="10996">
          <cell r="A10996" t="str">
            <v>J9547A</v>
          </cell>
          <cell r="B10996" t="str">
            <v>HPE 24-port 10/100 PoE+ v2 zl Module</v>
          </cell>
          <cell r="C10996" t="str">
            <v>PoE+対応 100Base-TX x24 ポートモジュール</v>
          </cell>
        </row>
        <row r="10997">
          <cell r="A10997" t="str">
            <v>J9548A</v>
          </cell>
          <cell r="B10997" t="str">
            <v>HPE 20-port Gig-T/2-port SFP+ v2 zl Mod</v>
          </cell>
          <cell r="C10997" t="str">
            <v>1GbE RJ-45 x20 ポート、10GbE SFP+ x2 ポートモジュール
※PoE+非サポート</v>
          </cell>
        </row>
        <row r="10998">
          <cell r="A10998" t="str">
            <v>J9549A</v>
          </cell>
          <cell r="B10998" t="str">
            <v>HPE 20-port Gig-T/4-port SFP v2 zl Mod</v>
          </cell>
          <cell r="C10998" t="str">
            <v>1GbE RJ-45 x20 ポート、1GbE SFP x4 ポートモジュール
※PoE+非サポート</v>
          </cell>
        </row>
        <row r="10999">
          <cell r="A10999" t="str">
            <v>J9550A</v>
          </cell>
          <cell r="B10999" t="str">
            <v>HPE 24-port Gig-T v2 zl Module</v>
          </cell>
          <cell r="C10999" t="str">
            <v>1GbE RJ-45 x24 ポートモジュール
※PoE+非サポート</v>
          </cell>
        </row>
        <row r="11000">
          <cell r="A11000" t="str">
            <v>J9565A#ACF</v>
          </cell>
          <cell r="B11000" t="str">
            <v>HP 2615-8-PoE Switch</v>
          </cell>
          <cell r="C11000" t="str">
            <v>PoE対応 100Base-TX x8 ポート、1000Base-T or 1GbE SFP x2 ポート L2スイッチ
※SFP ポートでは PoE非サポート</v>
          </cell>
        </row>
        <row r="11001">
          <cell r="A11001" t="str">
            <v>J9577A</v>
          </cell>
          <cell r="B11001" t="str">
            <v>HP 3800 4-port Stacking Module</v>
          </cell>
          <cell r="C11001" t="str">
            <v>スタック用モジュールオプション</v>
          </cell>
        </row>
        <row r="11002">
          <cell r="A11002" t="str">
            <v>J9580A#ACF</v>
          </cell>
          <cell r="B11002" t="str">
            <v>HP X312 1000W 100-240VAC to 54VDC PS</v>
          </cell>
          <cell r="C11002" t="str">
            <v>パワーサプライオプション</v>
          </cell>
        </row>
        <row r="11003">
          <cell r="A11003" t="str">
            <v>J9581A#ACF</v>
          </cell>
          <cell r="B11003" t="str">
            <v>HP X311 400W 100-240VAC to 12VDC PS</v>
          </cell>
          <cell r="C11003" t="str">
            <v>パワーサプライオプション</v>
          </cell>
        </row>
        <row r="11004">
          <cell r="A11004" t="str">
            <v>J9623A#ACF</v>
          </cell>
          <cell r="B11004" t="str">
            <v>HP 2620-24 Switch</v>
          </cell>
          <cell r="C11004" t="str">
            <v>100Base-TX x24 ポート、1000Base-T x2 ポート、1GbE SFP x2 ポート L2スイッチ</v>
          </cell>
        </row>
        <row r="11005">
          <cell r="A11005" t="str">
            <v>J9625A#ACF</v>
          </cell>
          <cell r="B11005" t="str">
            <v>HP 2620-24-PoE+ Switch</v>
          </cell>
          <cell r="C11005" t="str">
            <v>PoE+対応 100Base-TX x24 ポート、1000Base-T x2 ポート、1GbE SFP x2 ポート L2スイッチ
※SFP ポートでは PoE非サポート</v>
          </cell>
        </row>
        <row r="11006">
          <cell r="A11006" t="str">
            <v>J9626A#ACF</v>
          </cell>
          <cell r="B11006" t="str">
            <v>HP 2620-48 Switch</v>
          </cell>
          <cell r="C11006" t="str">
            <v>100Base-TX x48 ポート、1000Base-T x2 ポート、1GbE SFP x2 ポート L2スイッチ</v>
          </cell>
        </row>
        <row r="11007">
          <cell r="A11007" t="str">
            <v>J9627A#ACF</v>
          </cell>
          <cell r="B11007" t="str">
            <v>HP 2620-48-PoE+ Switch</v>
          </cell>
          <cell r="C11007" t="str">
            <v>PoE+対応 100Base-TX x48 ポート、1000Base-T x2 ポート、1GbE SFP x2 ポート L2スイッチ
※SFP ポートでは PoE非サポート</v>
          </cell>
        </row>
        <row r="11008">
          <cell r="A11008" t="str">
            <v>J9637A</v>
          </cell>
          <cell r="B11008" t="str">
            <v>HPE 12p Gig-T PoE+/12p SFP v2 zl Mod</v>
          </cell>
          <cell r="C11008" t="str">
            <v>PoE+対応 1GbE RJ-45 x12 ポート、1GbE SFP x12 ポートモジュール
※SFP ポートでは PoE+非サポート</v>
          </cell>
        </row>
        <row r="11009">
          <cell r="A11009" t="str">
            <v>J9405B#ACF</v>
          </cell>
          <cell r="B11009" t="str">
            <v>Aruba 501 Wireless Client Bridge PS</v>
          </cell>
          <cell r="C11009" t="str">
            <v>-</v>
          </cell>
        </row>
        <row r="11010">
          <cell r="A11010" t="str">
            <v>JC159A</v>
          </cell>
          <cell r="B11010" t="str">
            <v>HP 8-port T1/Fractional T1 MIM Mod</v>
          </cell>
          <cell r="C11010" t="str">
            <v>-</v>
          </cell>
        </row>
        <row r="11011">
          <cell r="A11011" t="str">
            <v>JC160A</v>
          </cell>
          <cell r="B11011" t="str">
            <v>HP 8-port T1/CT1/PRI MIM Router Mod</v>
          </cell>
          <cell r="C11011" t="str">
            <v>-</v>
          </cell>
        </row>
        <row r="11012">
          <cell r="A11012" t="str">
            <v>JC492A#ACF</v>
          </cell>
          <cell r="B11012" t="str">
            <v>HP HSR 650W AC Power Supply</v>
          </cell>
          <cell r="C11012" t="str">
            <v>-</v>
          </cell>
        </row>
        <row r="11013">
          <cell r="A11013" t="str">
            <v>JC493A</v>
          </cell>
          <cell r="B11013" t="str">
            <v>HP HSR 650W DC Power Supply</v>
          </cell>
          <cell r="C11013" t="str">
            <v>-</v>
          </cell>
        </row>
        <row r="11014">
          <cell r="A11014" t="str">
            <v>JG334A</v>
          </cell>
          <cell r="B11014" t="str">
            <v>HP HSR6800 1200W DC Power Supply</v>
          </cell>
          <cell r="C11014" t="str">
            <v>-</v>
          </cell>
        </row>
        <row r="11015">
          <cell r="A11015" t="str">
            <v>JG335A#ACF</v>
          </cell>
          <cell r="B11015" t="str">
            <v>HP HSR6800 1200W AC Power Supply</v>
          </cell>
          <cell r="C11015" t="str">
            <v>-</v>
          </cell>
        </row>
        <row r="11016">
          <cell r="A11016" t="str">
            <v>JG358A</v>
          </cell>
          <cell r="B11016" t="str">
            <v>HP HSR6600 FIP-20 Mod</v>
          </cell>
          <cell r="C11016" t="str">
            <v>-</v>
          </cell>
        </row>
        <row r="11017">
          <cell r="A11017" t="str">
            <v>JG361B</v>
          </cell>
          <cell r="B11017" t="str">
            <v>HP HSR6802 Router Chassis</v>
          </cell>
          <cell r="C11017" t="str">
            <v>-</v>
          </cell>
        </row>
        <row r="11018">
          <cell r="A11018" t="str">
            <v>JG362B</v>
          </cell>
          <cell r="B11018" t="str">
            <v>HP HSR6804 Router Chassis</v>
          </cell>
          <cell r="C11018" t="str">
            <v>-</v>
          </cell>
        </row>
        <row r="11019">
          <cell r="A11019" t="str">
            <v>JG363B</v>
          </cell>
          <cell r="B11019" t="str">
            <v>HP HSR6808 Router Chassis</v>
          </cell>
          <cell r="C11019" t="str">
            <v>-</v>
          </cell>
        </row>
        <row r="11020">
          <cell r="A11020" t="str">
            <v>JG364A</v>
          </cell>
          <cell r="B11020" t="str">
            <v>HP HSR6800 RSE-X2 Router MPU</v>
          </cell>
          <cell r="C11020" t="str">
            <v>-</v>
          </cell>
        </row>
        <row r="11021">
          <cell r="A11021" t="str">
            <v>JG365A</v>
          </cell>
          <cell r="B11021" t="str">
            <v>HP HSR6808 SFE-X1 Router Mod</v>
          </cell>
          <cell r="C11021" t="str">
            <v>-</v>
          </cell>
        </row>
        <row r="11022">
          <cell r="A11022" t="str">
            <v>JG366A</v>
          </cell>
          <cell r="B11022" t="str">
            <v>HP HSR6800 4-port 10GbE SAP Mod</v>
          </cell>
          <cell r="C11022" t="str">
            <v>-</v>
          </cell>
        </row>
        <row r="11023">
          <cell r="A11023" t="str">
            <v>JG402A</v>
          </cell>
          <cell r="B11023" t="str">
            <v>HP MSR4080 Router Chassis</v>
          </cell>
          <cell r="C11023" t="str">
            <v>-</v>
          </cell>
        </row>
        <row r="11024">
          <cell r="A11024" t="str">
            <v>JG403A</v>
          </cell>
          <cell r="B11024" t="str">
            <v>HP MSR4060 Router Chassis</v>
          </cell>
          <cell r="C11024" t="str">
            <v>-</v>
          </cell>
        </row>
        <row r="11025">
          <cell r="A11025" t="str">
            <v>JG404A</v>
          </cell>
          <cell r="B11025" t="str">
            <v>HP MSR3064 Router</v>
          </cell>
          <cell r="C11025" t="str">
            <v>-</v>
          </cell>
        </row>
        <row r="11026">
          <cell r="A11026" t="str">
            <v>JG405A</v>
          </cell>
          <cell r="B11026" t="str">
            <v>HP MSR3044 Router</v>
          </cell>
          <cell r="C11026" t="str">
            <v>-</v>
          </cell>
        </row>
        <row r="11027">
          <cell r="A11027" t="str">
            <v>JG406A#ACF</v>
          </cell>
          <cell r="B11027" t="str">
            <v>HP MSR3024 AC Router</v>
          </cell>
          <cell r="C11027" t="str">
            <v>-</v>
          </cell>
        </row>
        <row r="11028">
          <cell r="A11028" t="str">
            <v>JG409B#ACF</v>
          </cell>
          <cell r="B11028" t="str">
            <v>HPE MSR3012 AC Router JP en</v>
          </cell>
          <cell r="C11028" t="str">
            <v>-</v>
          </cell>
        </row>
        <row r="11029">
          <cell r="A11029" t="str">
            <v>JG411A#ACF</v>
          </cell>
          <cell r="B11029" t="str">
            <v>HP MSR2003 AC Router</v>
          </cell>
          <cell r="C11029" t="str">
            <v>-</v>
          </cell>
        </row>
        <row r="11030">
          <cell r="A11030" t="str">
            <v>JG412A</v>
          </cell>
          <cell r="B11030" t="str">
            <v>HP MSR4000 MPU-100 Main Processing Unit</v>
          </cell>
          <cell r="C11030" t="str">
            <v>-</v>
          </cell>
        </row>
        <row r="11031">
          <cell r="A11031" t="str">
            <v>JG413A</v>
          </cell>
          <cell r="B11031" t="str">
            <v>HP MSR4000 SPU-100 Svc Processing Unit</v>
          </cell>
          <cell r="C11031" t="str">
            <v>-</v>
          </cell>
        </row>
        <row r="11032">
          <cell r="A11032" t="str">
            <v>JG414A</v>
          </cell>
          <cell r="B11032" t="str">
            <v>HP MSR4000 SPU-200 Svc Processing Unit</v>
          </cell>
          <cell r="C11032" t="str">
            <v>-</v>
          </cell>
        </row>
        <row r="11033">
          <cell r="A11033" t="str">
            <v>JG415A</v>
          </cell>
          <cell r="B11033" t="str">
            <v>HP MSR 0.5U HMIM Adapter Mod</v>
          </cell>
          <cell r="C11033" t="str">
            <v>-</v>
          </cell>
        </row>
        <row r="11034">
          <cell r="A11034" t="str">
            <v>JG416A</v>
          </cell>
          <cell r="B11034" t="str">
            <v>HP MSR 1U HMIM Adapter Mod</v>
          </cell>
          <cell r="C11034" t="str">
            <v>-</v>
          </cell>
        </row>
        <row r="11035">
          <cell r="A11035" t="str">
            <v>JG421A</v>
          </cell>
          <cell r="B11035" t="str">
            <v>HP MSR 4p Gig-T HMIM Mod</v>
          </cell>
          <cell r="C11035" t="str">
            <v>-</v>
          </cell>
        </row>
        <row r="11036">
          <cell r="A11036" t="str">
            <v>JG422A</v>
          </cell>
          <cell r="B11036" t="str">
            <v>HP MSR 8p Gig-T HMIM Mod</v>
          </cell>
          <cell r="C11036" t="str">
            <v>-</v>
          </cell>
        </row>
        <row r="11037">
          <cell r="A11037" t="str">
            <v>JG424A</v>
          </cell>
          <cell r="B11037" t="str">
            <v>HP MSR 4p 1000BASE-X HMIM Mod</v>
          </cell>
          <cell r="C11037" t="str">
            <v>-</v>
          </cell>
        </row>
        <row r="11038">
          <cell r="A11038" t="str">
            <v>JG425A</v>
          </cell>
          <cell r="B11038" t="str">
            <v>HP MSR 8p 1000BASE-X HMIM Mod</v>
          </cell>
          <cell r="C11038" t="str">
            <v>-</v>
          </cell>
        </row>
        <row r="11039">
          <cell r="A11039" t="str">
            <v>JG426A</v>
          </cell>
          <cell r="B11039" t="str">
            <v>HP MSR 24p Gig-T Switch HMIM Mod</v>
          </cell>
          <cell r="C11039" t="str">
            <v>-</v>
          </cell>
        </row>
        <row r="11040">
          <cell r="A11040" t="str">
            <v>JG427A</v>
          </cell>
          <cell r="B11040" t="str">
            <v>HP MSR 24p Gig-T PoE Switch HMIM Mod</v>
          </cell>
          <cell r="C11040" t="str">
            <v>-</v>
          </cell>
        </row>
        <row r="11041">
          <cell r="A11041" t="str">
            <v>JG511B#ACF</v>
          </cell>
          <cell r="B11041" t="str">
            <v>HP MSR930 Router JP en</v>
          </cell>
          <cell r="C11041" t="str">
            <v>-</v>
          </cell>
        </row>
        <row r="11042">
          <cell r="A11042" t="str">
            <v>JG527A#ACF</v>
          </cell>
          <cell r="B11042" t="str">
            <v>HP X351 300W AC Power Supply</v>
          </cell>
          <cell r="C11042" t="str">
            <v>-</v>
          </cell>
        </row>
        <row r="11043">
          <cell r="A11043" t="str">
            <v>JG530A</v>
          </cell>
          <cell r="B11043" t="str">
            <v>HP X610 4GB DDR3 SDRAM UDIMM MEM</v>
          </cell>
          <cell r="C11043" t="str">
            <v>-</v>
          </cell>
        </row>
        <row r="11044">
          <cell r="A11044" t="str">
            <v>JG671A</v>
          </cell>
          <cell r="B11044" t="str">
            <v>HP HSR6800 FIP-300 Flex Int Platform Mod</v>
          </cell>
          <cell r="C11044" t="str">
            <v>-</v>
          </cell>
        </row>
        <row r="11045">
          <cell r="A11045" t="str">
            <v>JG672A</v>
          </cell>
          <cell r="B11045" t="str">
            <v>HP HSR6800 FIP-310 Flex Int Platform Mod</v>
          </cell>
          <cell r="C11045" t="str">
            <v>-</v>
          </cell>
        </row>
        <row r="11046">
          <cell r="A11046" t="str">
            <v>JG734A#ACF</v>
          </cell>
          <cell r="B11046" t="str">
            <v>HP MSR2004-24 AC Router JP en</v>
          </cell>
          <cell r="C11046" t="str">
            <v>-</v>
          </cell>
        </row>
        <row r="11047">
          <cell r="A11047" t="str">
            <v>JG735A</v>
          </cell>
          <cell r="B11047" t="str">
            <v>HP MSR2004-48 Router</v>
          </cell>
          <cell r="C11047" t="str">
            <v>-</v>
          </cell>
        </row>
        <row r="11048">
          <cell r="A11048" t="str">
            <v>JG738A</v>
          </cell>
          <cell r="B11048" t="str">
            <v>HP MSR 1p GbE Combo SIC Mod</v>
          </cell>
          <cell r="C11048" t="str">
            <v>-</v>
          </cell>
        </row>
        <row r="11049">
          <cell r="A11049" t="str">
            <v>JG739A</v>
          </cell>
          <cell r="B11049" t="str">
            <v>HP MSR 4p Gig-T Switch SIC Mod</v>
          </cell>
          <cell r="C11049" t="str">
            <v>-</v>
          </cell>
        </row>
        <row r="11050">
          <cell r="A11050" t="str">
            <v>JG741A</v>
          </cell>
          <cell r="B11050" t="str">
            <v>HP MSR 8p BASE-T/2p Combo Swch HMIM Mod</v>
          </cell>
          <cell r="C11050" t="str">
            <v>-</v>
          </cell>
        </row>
        <row r="11051">
          <cell r="A11051" t="str">
            <v>JG745A#ACF</v>
          </cell>
          <cell r="B11051" t="str">
            <v>HP X351 150W AC Power Supply JP en</v>
          </cell>
          <cell r="C11051" t="str">
            <v>-</v>
          </cell>
        </row>
        <row r="11052">
          <cell r="A11052" t="str">
            <v>JG746A</v>
          </cell>
          <cell r="B11052" t="str">
            <v>HP X351 150W DC Power Supply</v>
          </cell>
          <cell r="C11052" t="str">
            <v>-</v>
          </cell>
        </row>
        <row r="11053">
          <cell r="A11053" t="str">
            <v>JG852A</v>
          </cell>
          <cell r="B11053" t="str">
            <v>HP MSR930 Chassis Rack Mount Kit</v>
          </cell>
          <cell r="C11053" t="str">
            <v>-</v>
          </cell>
        </row>
        <row r="11054">
          <cell r="A11054" t="str">
            <v>JG875A#ACF</v>
          </cell>
          <cell r="B11054" t="str">
            <v>HP MSR1002-4 AC Router JP en</v>
          </cell>
          <cell r="C11054" t="str">
            <v>-</v>
          </cell>
        </row>
        <row r="11055">
          <cell r="A11055" t="str">
            <v>JH060A#ACF</v>
          </cell>
          <cell r="B11055" t="str">
            <v>HP MSR1003-8S AC Router JP en</v>
          </cell>
          <cell r="C11055" t="str">
            <v>-</v>
          </cell>
        </row>
        <row r="11056">
          <cell r="A11056" t="str">
            <v>JH075A</v>
          </cell>
          <cell r="B11056" t="str">
            <v>HP HSR6800 RSE-X3 Router MPU</v>
          </cell>
          <cell r="C11056" t="str">
            <v>-</v>
          </cell>
        </row>
        <row r="11057">
          <cell r="A11057" t="str">
            <v>JH137A</v>
          </cell>
          <cell r="B11057" t="str">
            <v>HP 6600 FIP-240 Flex Int Platform Mod</v>
          </cell>
          <cell r="C11057" t="str">
            <v>-</v>
          </cell>
        </row>
        <row r="11058">
          <cell r="A11058" t="str">
            <v>JH138A</v>
          </cell>
          <cell r="B11058" t="str">
            <v>HP 6600 28p GE SvcAgg Pltfm Rtr Mod</v>
          </cell>
          <cell r="C11058" t="str">
            <v>-</v>
          </cell>
        </row>
        <row r="11059">
          <cell r="A11059" t="str">
            <v>JH139A</v>
          </cell>
          <cell r="B11059" t="str">
            <v>HP 6600 20p GE 2p 10GE SvcAgg Pltfm Mod</v>
          </cell>
          <cell r="C11059" t="str">
            <v>-</v>
          </cell>
        </row>
        <row r="11060">
          <cell r="A11060" t="str">
            <v>JH142A</v>
          </cell>
          <cell r="B11060" t="str">
            <v>HP HSR6800 16-p GbE SFP HIM Mod</v>
          </cell>
          <cell r="C11060" t="str">
            <v>1GbE SFP x16 ポート HIMルーターモジュール</v>
          </cell>
        </row>
        <row r="11061">
          <cell r="A11061" t="str">
            <v>JH143A</v>
          </cell>
          <cell r="B11061" t="str">
            <v>HP HSR6800 2-p 10GbE SFP+ HIM Mod</v>
          </cell>
          <cell r="C11061" t="str">
            <v>10GbE SFP+ x2 ポート HIMルーターモジュール</v>
          </cell>
        </row>
        <row r="11062">
          <cell r="A11062" t="str">
            <v>JH238A</v>
          </cell>
          <cell r="B11062" t="str">
            <v>HP MSR 8p BASE-X/4p Combo L2/L3 HMIM Mod</v>
          </cell>
          <cell r="C11062" t="str">
            <v>-</v>
          </cell>
        </row>
        <row r="11063">
          <cell r="A11063" t="str">
            <v>JH296A#ACF</v>
          </cell>
          <cell r="B11063" t="str">
            <v>HPE MSR954 1GbE SFP Router JP en</v>
          </cell>
          <cell r="C11063" t="str">
            <v>(WAN)1000Base-T x1ポート、1GbE SFP x1ポート
(LAN)1000Base-T x8ポート</v>
          </cell>
        </row>
        <row r="11064">
          <cell r="A11064" t="str">
            <v>JH300A#ACF</v>
          </cell>
          <cell r="B11064" t="str">
            <v>HPE MSR958 1GbE and Combo Router JP en</v>
          </cell>
          <cell r="C11064" t="str">
            <v>-</v>
          </cell>
        </row>
        <row r="11065">
          <cell r="A11065" t="str">
            <v>JH317A</v>
          </cell>
          <cell r="B11065" t="str">
            <v>HPE MSR958 Chassis Rack Mount Kit</v>
          </cell>
          <cell r="C11065" t="str">
            <v>-</v>
          </cell>
        </row>
        <row r="11066">
          <cell r="A11066" t="str">
            <v>H9P11E</v>
          </cell>
          <cell r="B11066" t="str">
            <v>Training Credits クラウド 1日分        ~</v>
          </cell>
          <cell r="C11066" t="str">
            <v>-</v>
          </cell>
        </row>
        <row r="11067">
          <cell r="A11067" t="str">
            <v>H9P12E</v>
          </cell>
          <cell r="B11067" t="str">
            <v>Training Credits セキュリティ 1日分    ~</v>
          </cell>
          <cell r="C11067" t="str">
            <v>-</v>
          </cell>
        </row>
        <row r="11068">
          <cell r="A11068" t="str">
            <v>HF382E</v>
          </cell>
          <cell r="B11068" t="str">
            <v>Training Credits HP-UX 1日分           ~</v>
          </cell>
          <cell r="C11068" t="str">
            <v>-</v>
          </cell>
        </row>
        <row r="11069">
          <cell r="A11069" t="str">
            <v>HF383E</v>
          </cell>
          <cell r="B11069" t="str">
            <v>Training Credits Storage 1日分         ~</v>
          </cell>
          <cell r="C11069" t="str">
            <v>-</v>
          </cell>
        </row>
        <row r="11070">
          <cell r="A11070" t="str">
            <v>HF385E</v>
          </cell>
          <cell r="B11070" t="str">
            <v>Training Credits サーバー  1日分       ~</v>
          </cell>
          <cell r="C11070" t="str">
            <v>-</v>
          </cell>
        </row>
        <row r="11071">
          <cell r="A11071" t="str">
            <v>HF387E</v>
          </cell>
          <cell r="B11071" t="str">
            <v>Training Credits Microsoft 1日分</v>
          </cell>
          <cell r="C11071" t="str">
            <v>-</v>
          </cell>
        </row>
        <row r="11072">
          <cell r="A11072" t="str">
            <v>HF388E</v>
          </cell>
          <cell r="B11072" t="str">
            <v>Training Credits NonStop 1日分</v>
          </cell>
          <cell r="C11072" t="str">
            <v>-</v>
          </cell>
        </row>
        <row r="11073">
          <cell r="A11073" t="str">
            <v>HK141E</v>
          </cell>
          <cell r="B11073" t="str">
            <v>Training Credits ITIL Foundation 1日分 ~</v>
          </cell>
          <cell r="C11073" t="str">
            <v>-</v>
          </cell>
        </row>
        <row r="11074">
          <cell r="A11074" t="str">
            <v>U4993E</v>
          </cell>
          <cell r="B11074" t="str">
            <v>Training Credits 受講権100000円分      ~</v>
          </cell>
          <cell r="C11074" t="str">
            <v>-</v>
          </cell>
        </row>
        <row r="11075">
          <cell r="A11075" t="str">
            <v>UC818E</v>
          </cell>
          <cell r="B11075" t="str">
            <v>Training Credits 受講権50000円分       ~</v>
          </cell>
          <cell r="C11075" t="str">
            <v>-</v>
          </cell>
        </row>
        <row r="11076">
          <cell r="A11076" t="str">
            <v>YS69101</v>
          </cell>
          <cell r="B11076" t="str">
            <v>Training Credits 受講権1000 円分       ~</v>
          </cell>
          <cell r="C11076" t="str">
            <v>-</v>
          </cell>
        </row>
      </sheetData>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5B9E7-2E29-4102-BDD1-922A332A6B4C}">
  <sheetPr codeName="Sheet1">
    <pageSetUpPr fitToPage="1"/>
  </sheetPr>
  <dimension ref="A1:N39"/>
  <sheetViews>
    <sheetView tabSelected="1" view="pageBreakPreview" zoomScaleNormal="100" zoomScaleSheetLayoutView="100" workbookViewId="0">
      <selection activeCell="D16" sqref="D16"/>
    </sheetView>
  </sheetViews>
  <sheetFormatPr defaultColWidth="9" defaultRowHeight="18.75" x14ac:dyDescent="0.4"/>
  <cols>
    <col min="1" max="1" width="8.125" style="6" customWidth="1"/>
    <col min="2" max="2" width="18.375" style="6" customWidth="1"/>
    <col min="3" max="3" width="12.75" style="6" customWidth="1"/>
    <col min="4" max="4" width="17.875" style="6" customWidth="1"/>
    <col min="5" max="5" width="10.375" style="6" customWidth="1"/>
    <col min="6" max="7" width="18.25" style="6" customWidth="1"/>
    <col min="8" max="8" width="22.5" style="6" bestFit="1" customWidth="1"/>
    <col min="9" max="9" width="18.75" style="6" customWidth="1"/>
    <col min="10" max="10" width="14.25" style="6" bestFit="1" customWidth="1"/>
    <col min="11" max="11" width="13.375" style="6" customWidth="1"/>
    <col min="12" max="13" width="15.75" style="6" customWidth="1"/>
    <col min="14" max="14" width="12.375" style="6" customWidth="1"/>
    <col min="15" max="16384" width="9" style="6"/>
  </cols>
  <sheetData>
    <row r="1" spans="1:14" s="2" customFormat="1" ht="24" customHeight="1" x14ac:dyDescent="0.35">
      <c r="F1" s="3"/>
      <c r="G1" s="4"/>
      <c r="I1" s="5">
        <f ca="1">TODAY()</f>
        <v>46112</v>
      </c>
    </row>
    <row r="2" spans="1:14" s="2" customFormat="1" ht="24" customHeight="1" x14ac:dyDescent="0.35">
      <c r="A2" s="98" t="s">
        <v>34</v>
      </c>
      <c r="B2" s="99"/>
      <c r="C2" s="99"/>
      <c r="F2" s="3"/>
      <c r="G2" s="100" t="s">
        <v>59</v>
      </c>
      <c r="H2" s="100"/>
      <c r="I2" s="100"/>
      <c r="K2" s="6"/>
      <c r="L2" s="6"/>
      <c r="M2" s="6"/>
      <c r="N2" s="6"/>
    </row>
    <row r="3" spans="1:14" s="2" customFormat="1" ht="24" customHeight="1" x14ac:dyDescent="0.4">
      <c r="A3" s="99"/>
      <c r="B3" s="99"/>
      <c r="C3" s="99"/>
      <c r="G3" s="101" t="s">
        <v>4</v>
      </c>
      <c r="H3" s="102"/>
      <c r="I3" s="102"/>
      <c r="K3" s="6"/>
      <c r="L3" s="6"/>
      <c r="M3" s="6"/>
      <c r="N3" s="6"/>
    </row>
    <row r="4" spans="1:14" s="2" customFormat="1" ht="28.5" customHeight="1" x14ac:dyDescent="0.35">
      <c r="A4" s="7"/>
      <c r="D4" s="103" t="s">
        <v>70</v>
      </c>
      <c r="E4" s="103"/>
      <c r="F4" s="103"/>
      <c r="G4" s="103"/>
      <c r="H4" s="104"/>
      <c r="I4" s="104"/>
      <c r="K4" s="6"/>
      <c r="L4" s="6"/>
      <c r="M4" s="6"/>
      <c r="N4" s="6"/>
    </row>
    <row r="5" spans="1:14" s="2" customFormat="1" ht="90.75" customHeight="1" x14ac:dyDescent="0.4">
      <c r="A5" s="7"/>
      <c r="F5" s="96" t="s">
        <v>5</v>
      </c>
      <c r="G5" s="97"/>
      <c r="H5" s="97"/>
      <c r="I5" s="97"/>
      <c r="K5" s="6"/>
      <c r="L5" s="6"/>
      <c r="M5" s="6"/>
      <c r="N5" s="6"/>
    </row>
    <row r="6" spans="1:14" s="2" customFormat="1" ht="19.5" x14ac:dyDescent="0.35">
      <c r="A6" s="7"/>
      <c r="F6" s="9"/>
      <c r="G6" s="10"/>
      <c r="H6" s="10"/>
      <c r="I6" s="8" t="s">
        <v>6</v>
      </c>
      <c r="K6" s="6"/>
      <c r="L6" s="6"/>
      <c r="M6" s="6"/>
      <c r="N6" s="6"/>
    </row>
    <row r="7" spans="1:14" s="12" customFormat="1" ht="19.5" x14ac:dyDescent="0.4">
      <c r="A7" s="11"/>
      <c r="E7" s="2"/>
      <c r="F7" s="89" t="s">
        <v>7</v>
      </c>
      <c r="G7" s="89" t="s">
        <v>8</v>
      </c>
      <c r="H7" s="89" t="s">
        <v>9</v>
      </c>
      <c r="I7" s="89" t="s">
        <v>10</v>
      </c>
      <c r="K7" s="6"/>
      <c r="L7" s="6"/>
      <c r="M7" s="6"/>
      <c r="N7" s="6"/>
    </row>
    <row r="8" spans="1:14" s="2" customFormat="1" ht="93" customHeight="1" x14ac:dyDescent="0.4">
      <c r="A8" s="7"/>
      <c r="F8" s="90"/>
      <c r="G8" s="90"/>
      <c r="H8" s="90"/>
      <c r="I8" s="90"/>
      <c r="K8" s="6"/>
      <c r="L8" s="6"/>
      <c r="M8" s="6"/>
      <c r="N8" s="6"/>
    </row>
    <row r="9" spans="1:14" s="2" customFormat="1" ht="33.75" customHeight="1" x14ac:dyDescent="0.45">
      <c r="A9" s="7"/>
      <c r="D9" s="13"/>
      <c r="F9" s="3"/>
      <c r="K9" s="6"/>
      <c r="L9" s="6"/>
      <c r="M9" s="6"/>
      <c r="N9" s="6"/>
    </row>
    <row r="10" spans="1:14" s="2" customFormat="1" ht="21" customHeight="1" x14ac:dyDescent="0.4">
      <c r="B10" s="105" t="s">
        <v>35</v>
      </c>
      <c r="C10" s="106"/>
      <c r="D10" s="106"/>
      <c r="E10" s="106"/>
      <c r="F10" s="106"/>
      <c r="G10" s="106"/>
      <c r="H10" s="106"/>
      <c r="I10" s="107"/>
      <c r="K10" s="6"/>
      <c r="L10" s="6"/>
      <c r="M10" s="6"/>
      <c r="N10" s="6"/>
    </row>
    <row r="12" spans="1:14" x14ac:dyDescent="0.4">
      <c r="I12" s="14"/>
    </row>
    <row r="13" spans="1:14" s="80" customFormat="1" ht="22.5" x14ac:dyDescent="0.4">
      <c r="B13" s="81" t="s">
        <v>11</v>
      </c>
      <c r="C13" s="92" t="s">
        <v>12</v>
      </c>
      <c r="D13" s="93"/>
      <c r="E13" s="93"/>
      <c r="F13" s="93"/>
      <c r="G13" s="93"/>
      <c r="H13" s="94"/>
      <c r="I13" s="82" t="s">
        <v>13</v>
      </c>
    </row>
    <row r="14" spans="1:14" ht="34.5" customHeight="1" x14ac:dyDescent="0.4">
      <c r="B14" s="85" t="s">
        <v>45</v>
      </c>
      <c r="C14" s="95" t="s">
        <v>46</v>
      </c>
      <c r="D14" s="95"/>
      <c r="E14" s="95"/>
      <c r="F14" s="95"/>
      <c r="G14" s="95"/>
      <c r="H14" s="95"/>
      <c r="I14" s="79">
        <f>パターン①!I20</f>
        <v>15100000</v>
      </c>
    </row>
    <row r="15" spans="1:14" ht="34.5" customHeight="1" x14ac:dyDescent="0.4">
      <c r="B15" s="85" t="s">
        <v>44</v>
      </c>
      <c r="C15" s="95" t="s">
        <v>47</v>
      </c>
      <c r="D15" s="95"/>
      <c r="E15" s="95"/>
      <c r="F15" s="95"/>
      <c r="G15" s="95"/>
      <c r="H15" s="95"/>
      <c r="I15" s="79">
        <f>パターン②!I20</f>
        <v>16100000</v>
      </c>
    </row>
    <row r="16" spans="1:14" x14ac:dyDescent="0.4">
      <c r="B16" s="15"/>
      <c r="C16" s="15"/>
      <c r="D16" s="91"/>
      <c r="E16" s="15"/>
      <c r="F16" s="15"/>
      <c r="G16" s="15"/>
      <c r="H16" s="16" t="s">
        <v>14</v>
      </c>
    </row>
    <row r="17" spans="2:8" x14ac:dyDescent="0.4">
      <c r="B17" s="15"/>
      <c r="C17" s="15"/>
      <c r="D17" s="15"/>
      <c r="E17" s="15"/>
      <c r="F17" s="15"/>
      <c r="G17" s="15"/>
      <c r="H17" s="16"/>
    </row>
    <row r="18" spans="2:8" x14ac:dyDescent="0.4">
      <c r="B18" s="17" t="s">
        <v>15</v>
      </c>
      <c r="C18" s="17"/>
      <c r="D18" s="15"/>
      <c r="E18" s="15"/>
      <c r="F18" s="15"/>
      <c r="G18" s="15"/>
      <c r="H18" s="15"/>
    </row>
    <row r="19" spans="2:8" s="15" customFormat="1" ht="16.5" collapsed="1" x14ac:dyDescent="0.4">
      <c r="B19" s="15" t="s">
        <v>16</v>
      </c>
    </row>
    <row r="20" spans="2:8" s="15" customFormat="1" ht="16.5" x14ac:dyDescent="0.4">
      <c r="B20" s="15" t="s">
        <v>58</v>
      </c>
    </row>
    <row r="21" spans="2:8" s="15" customFormat="1" ht="16.5" x14ac:dyDescent="0.4">
      <c r="B21" s="86" t="s">
        <v>51</v>
      </c>
      <c r="C21" s="18"/>
      <c r="D21" s="17"/>
    </row>
    <row r="22" spans="2:8" s="15" customFormat="1" ht="16.5" x14ac:dyDescent="0.4">
      <c r="B22" s="86" t="s">
        <v>52</v>
      </c>
      <c r="C22" s="17"/>
    </row>
    <row r="23" spans="2:8" s="15" customFormat="1" ht="16.5" x14ac:dyDescent="0.4">
      <c r="B23" s="86" t="s">
        <v>53</v>
      </c>
    </row>
    <row r="24" spans="2:8" s="15" customFormat="1" ht="16.5" x14ac:dyDescent="0.4">
      <c r="B24" s="86" t="s">
        <v>54</v>
      </c>
    </row>
    <row r="25" spans="2:8" s="15" customFormat="1" ht="16.5" x14ac:dyDescent="0.4">
      <c r="B25" s="87" t="s">
        <v>57</v>
      </c>
    </row>
    <row r="26" spans="2:8" s="15" customFormat="1" ht="16.5" x14ac:dyDescent="0.4">
      <c r="B26" s="87" t="s">
        <v>55</v>
      </c>
    </row>
    <row r="27" spans="2:8" s="15" customFormat="1" ht="16.5" x14ac:dyDescent="0.4">
      <c r="B27" s="86" t="s">
        <v>56</v>
      </c>
    </row>
    <row r="28" spans="2:8" s="15" customFormat="1" ht="16.5" x14ac:dyDescent="0.4">
      <c r="B28" s="88" t="s">
        <v>60</v>
      </c>
    </row>
    <row r="29" spans="2:8" s="15" customFormat="1" ht="16.5" x14ac:dyDescent="0.4">
      <c r="B29" s="88" t="s">
        <v>61</v>
      </c>
    </row>
    <row r="30" spans="2:8" s="15" customFormat="1" ht="16.5" x14ac:dyDescent="0.4">
      <c r="B30" s="88" t="s">
        <v>62</v>
      </c>
    </row>
    <row r="31" spans="2:8" s="15" customFormat="1" ht="16.5" x14ac:dyDescent="0.4">
      <c r="B31" s="88" t="s">
        <v>63</v>
      </c>
    </row>
    <row r="32" spans="2:8" s="15" customFormat="1" ht="16.5" x14ac:dyDescent="0.4">
      <c r="B32" s="88" t="s">
        <v>64</v>
      </c>
    </row>
    <row r="33" spans="2:2" s="15" customFormat="1" ht="16.5" x14ac:dyDescent="0.4">
      <c r="B33" s="88" t="s">
        <v>65</v>
      </c>
    </row>
    <row r="34" spans="2:2" s="15" customFormat="1" ht="16.5" x14ac:dyDescent="0.4">
      <c r="B34" s="88" t="s">
        <v>66</v>
      </c>
    </row>
    <row r="35" spans="2:2" s="15" customFormat="1" ht="16.5" x14ac:dyDescent="0.4">
      <c r="B35" s="88" t="s">
        <v>67</v>
      </c>
    </row>
    <row r="36" spans="2:2" s="15" customFormat="1" ht="16.5" x14ac:dyDescent="0.4">
      <c r="B36" s="88" t="s">
        <v>68</v>
      </c>
    </row>
    <row r="37" spans="2:2" s="15" customFormat="1" ht="16.5" x14ac:dyDescent="0.4">
      <c r="B37" s="88" t="s">
        <v>69</v>
      </c>
    </row>
    <row r="38" spans="2:2" s="15" customFormat="1" ht="16.5" x14ac:dyDescent="0.4"/>
    <row r="39" spans="2:2" s="15" customFormat="1" ht="16.5" x14ac:dyDescent="0.4"/>
  </sheetData>
  <mergeCells count="10">
    <mergeCell ref="C13:H13"/>
    <mergeCell ref="C14:H14"/>
    <mergeCell ref="C15:H15"/>
    <mergeCell ref="F5:I5"/>
    <mergeCell ref="A2:C3"/>
    <mergeCell ref="G2:I2"/>
    <mergeCell ref="G3:I3"/>
    <mergeCell ref="D4:G4"/>
    <mergeCell ref="H4:I4"/>
    <mergeCell ref="B10:I10"/>
  </mergeCells>
  <phoneticPr fontId="3"/>
  <pageMargins left="0.70866141732283472" right="0.70866141732283472" top="0.74803149606299213" bottom="0.74803149606299213" header="0.31496062992125984" footer="0.31496062992125984"/>
  <pageSetup paperSize="9" scale="55"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7260F-D812-42D5-B626-BEF12623870B}">
  <sheetPr codeName="Sheet2">
    <pageSetUpPr fitToPage="1"/>
  </sheetPr>
  <dimension ref="B1:AD22"/>
  <sheetViews>
    <sheetView tabSelected="1" view="pageBreakPreview" topLeftCell="A7" zoomScale="82" zoomScaleNormal="55" zoomScaleSheetLayoutView="88" workbookViewId="0">
      <selection activeCell="D16" sqref="D16"/>
    </sheetView>
  </sheetViews>
  <sheetFormatPr defaultRowHeight="18.75" x14ac:dyDescent="0.4"/>
  <cols>
    <col min="1" max="1" width="4.625" customWidth="1"/>
    <col min="2" max="2" width="5.875" customWidth="1"/>
    <col min="3" max="3" width="26.375" customWidth="1"/>
    <col min="4" max="4" width="62.375" customWidth="1"/>
    <col min="5" max="5" width="13.125" bestFit="1" customWidth="1"/>
    <col min="6" max="7" width="15.125" customWidth="1"/>
    <col min="8" max="8" width="20.625" customWidth="1"/>
    <col min="9" max="9" width="17.875" customWidth="1"/>
    <col min="10" max="10" width="5.625" customWidth="1"/>
    <col min="11" max="11" width="3.625" customWidth="1"/>
    <col min="12" max="12" width="11.375" customWidth="1"/>
    <col min="13" max="13" width="13.375" customWidth="1"/>
    <col min="14" max="14" width="9.25" customWidth="1"/>
    <col min="15" max="15" width="17.625" customWidth="1"/>
    <col min="16" max="16" width="12.25" customWidth="1"/>
    <col min="17" max="17" width="12.875" customWidth="1"/>
    <col min="18" max="18" width="18.125" bestFit="1" customWidth="1"/>
    <col min="19" max="19" width="13.875" customWidth="1"/>
    <col min="20" max="20" width="18" customWidth="1"/>
    <col min="21" max="21" width="4.375" customWidth="1"/>
    <col min="22" max="22" width="19.375" customWidth="1"/>
    <col min="23" max="23" width="11.375" customWidth="1"/>
    <col min="24" max="24" width="9.625" bestFit="1" customWidth="1"/>
    <col min="25" max="25" width="13.75" bestFit="1" customWidth="1"/>
    <col min="26" max="26" width="12" customWidth="1"/>
    <col min="27" max="27" width="8.75" customWidth="1"/>
    <col min="28" max="28" width="13.875" bestFit="1" customWidth="1"/>
    <col min="29" max="29" width="10.75" bestFit="1" customWidth="1"/>
  </cols>
  <sheetData>
    <row r="1" spans="2:30" ht="30" x14ac:dyDescent="0.6">
      <c r="B1" s="19"/>
      <c r="C1" s="20"/>
      <c r="I1" s="21"/>
      <c r="J1" s="22"/>
      <c r="K1" s="22"/>
      <c r="V1" s="1"/>
    </row>
    <row r="2" spans="2:30" ht="24" x14ac:dyDescent="0.5">
      <c r="B2" s="24"/>
      <c r="V2" s="27"/>
    </row>
    <row r="3" spans="2:30" ht="30" x14ac:dyDescent="0.6">
      <c r="B3" s="20" t="s">
        <v>38</v>
      </c>
      <c r="C3" s="28"/>
      <c r="D3" s="29"/>
      <c r="I3" s="30"/>
    </row>
    <row r="4" spans="2:30" ht="30.75" thickBot="1" x14ac:dyDescent="0.65">
      <c r="B4" s="20"/>
      <c r="I4" s="1"/>
    </row>
    <row r="5" spans="2:30" ht="24" x14ac:dyDescent="0.5">
      <c r="B5" s="33"/>
      <c r="C5" s="34" t="s">
        <v>40</v>
      </c>
      <c r="D5" s="35"/>
      <c r="E5" s="35"/>
      <c r="F5" s="35"/>
      <c r="G5" s="35"/>
      <c r="H5" s="35"/>
      <c r="I5" s="35"/>
      <c r="J5" s="36"/>
      <c r="K5" s="22"/>
      <c r="L5" s="108"/>
      <c r="M5" s="108"/>
      <c r="V5" s="38"/>
    </row>
    <row r="6" spans="2:30" x14ac:dyDescent="0.4">
      <c r="B6" s="39" t="s">
        <v>18</v>
      </c>
      <c r="C6" s="40" t="s">
        <v>19</v>
      </c>
      <c r="D6" s="40" t="s">
        <v>20</v>
      </c>
      <c r="E6" s="41" t="s">
        <v>49</v>
      </c>
      <c r="F6" s="41" t="s">
        <v>21</v>
      </c>
      <c r="G6" s="41" t="s">
        <v>22</v>
      </c>
      <c r="H6" s="40" t="s">
        <v>23</v>
      </c>
      <c r="I6" s="40" t="s">
        <v>24</v>
      </c>
      <c r="J6" s="42" t="s">
        <v>25</v>
      </c>
      <c r="K6" s="43"/>
      <c r="L6" s="44"/>
      <c r="M6" s="44"/>
      <c r="O6" s="23" t="s">
        <v>21</v>
      </c>
      <c r="P6" s="23" t="s">
        <v>27</v>
      </c>
      <c r="Q6" s="23" t="s">
        <v>0</v>
      </c>
      <c r="R6" s="23" t="s">
        <v>28</v>
      </c>
      <c r="S6" s="23" t="s">
        <v>1</v>
      </c>
      <c r="T6" s="23" t="s">
        <v>17</v>
      </c>
      <c r="Y6" s="38"/>
    </row>
    <row r="7" spans="2:30" ht="253.5" x14ac:dyDescent="0.4">
      <c r="B7" s="45" t="s">
        <v>26</v>
      </c>
      <c r="C7" s="46" t="s">
        <v>41</v>
      </c>
      <c r="D7" s="47" t="s">
        <v>50</v>
      </c>
      <c r="E7" s="47">
        <v>4</v>
      </c>
      <c r="F7" s="48" t="s">
        <v>42</v>
      </c>
      <c r="G7" s="49" t="s">
        <v>42</v>
      </c>
      <c r="H7" s="50">
        <v>1500000</v>
      </c>
      <c r="I7" s="50">
        <f>H7*E7</f>
        <v>6000000</v>
      </c>
      <c r="J7" s="51"/>
      <c r="K7" s="52"/>
      <c r="L7" s="27"/>
      <c r="M7" s="27"/>
      <c r="O7" s="78" t="s">
        <v>42</v>
      </c>
      <c r="P7" s="26" t="s">
        <v>43</v>
      </c>
      <c r="Q7" s="83" t="s">
        <v>42</v>
      </c>
      <c r="R7" s="25">
        <v>4800000</v>
      </c>
      <c r="S7" s="54">
        <f>I7-R7</f>
        <v>1200000</v>
      </c>
      <c r="T7" s="26">
        <f>S7/I7</f>
        <v>0.2</v>
      </c>
      <c r="V7" s="53"/>
      <c r="W7" s="27"/>
      <c r="X7" s="1"/>
      <c r="Y7" s="27"/>
      <c r="Z7" s="27"/>
    </row>
    <row r="8" spans="2:30" ht="39.950000000000003" customHeight="1" thickBot="1" x14ac:dyDescent="0.45">
      <c r="B8" s="55"/>
      <c r="C8" s="56"/>
      <c r="D8" s="57"/>
      <c r="E8" s="58"/>
      <c r="F8" s="57"/>
      <c r="G8" s="59"/>
      <c r="H8" s="60" t="s">
        <v>30</v>
      </c>
      <c r="I8" s="61">
        <f>SUM(I7:I7)</f>
        <v>6000000</v>
      </c>
      <c r="J8" s="62"/>
      <c r="K8" s="52"/>
      <c r="M8" s="1"/>
      <c r="O8" s="67"/>
      <c r="P8" s="32"/>
      <c r="Q8" s="77"/>
      <c r="V8" s="63"/>
      <c r="W8" s="32"/>
      <c r="Y8" s="31"/>
      <c r="Z8" s="31"/>
      <c r="AA8" s="32"/>
      <c r="AB8" s="31"/>
      <c r="AC8" s="27"/>
      <c r="AD8" s="37"/>
    </row>
    <row r="9" spans="2:30" ht="24" x14ac:dyDescent="0.5">
      <c r="B9" s="33"/>
      <c r="C9" s="34" t="s">
        <v>33</v>
      </c>
      <c r="D9" s="35"/>
      <c r="E9" s="35"/>
      <c r="F9" s="35"/>
      <c r="G9" s="35"/>
      <c r="H9" s="35"/>
      <c r="I9" s="35"/>
      <c r="J9" s="36"/>
      <c r="K9" s="22"/>
      <c r="L9" s="108"/>
      <c r="M9" s="108"/>
      <c r="V9" s="38"/>
    </row>
    <row r="10" spans="2:30" x14ac:dyDescent="0.4">
      <c r="B10" s="39" t="s">
        <v>18</v>
      </c>
      <c r="C10" s="40" t="s">
        <v>19</v>
      </c>
      <c r="D10" s="40" t="s">
        <v>20</v>
      </c>
      <c r="E10" s="41" t="s">
        <v>48</v>
      </c>
      <c r="F10" s="41" t="s">
        <v>21</v>
      </c>
      <c r="G10" s="41" t="s">
        <v>22</v>
      </c>
      <c r="H10" s="40" t="s">
        <v>23</v>
      </c>
      <c r="I10" s="40" t="s">
        <v>24</v>
      </c>
      <c r="J10" s="42" t="s">
        <v>25</v>
      </c>
      <c r="K10" s="43"/>
      <c r="L10" s="44"/>
      <c r="M10" s="44"/>
      <c r="O10" s="23" t="s">
        <v>21</v>
      </c>
      <c r="P10" s="23" t="s">
        <v>27</v>
      </c>
      <c r="Q10" s="23" t="s">
        <v>0</v>
      </c>
      <c r="R10" s="23" t="s">
        <v>28</v>
      </c>
      <c r="S10" s="23" t="s">
        <v>1</v>
      </c>
      <c r="T10" s="23" t="s">
        <v>17</v>
      </c>
      <c r="Y10" s="38"/>
    </row>
    <row r="11" spans="2:30" ht="58.5" x14ac:dyDescent="0.4">
      <c r="B11" s="45" t="s">
        <v>26</v>
      </c>
      <c r="C11" s="46" t="s">
        <v>36</v>
      </c>
      <c r="D11" s="47" t="s">
        <v>37</v>
      </c>
      <c r="E11" s="47">
        <v>2</v>
      </c>
      <c r="F11" s="48">
        <v>3506000</v>
      </c>
      <c r="G11" s="49">
        <f>H11/F11</f>
        <v>0.6560182544209926</v>
      </c>
      <c r="H11" s="50">
        <v>2300000</v>
      </c>
      <c r="I11" s="50">
        <f>H11*E11</f>
        <v>4600000</v>
      </c>
      <c r="J11" s="51"/>
      <c r="K11" s="52"/>
      <c r="L11" s="27"/>
      <c r="M11" s="27"/>
      <c r="O11" s="78">
        <v>3506000</v>
      </c>
      <c r="P11" s="26">
        <f>Q11/O11</f>
        <v>0.45</v>
      </c>
      <c r="Q11" s="83">
        <v>1577700</v>
      </c>
      <c r="R11" s="25">
        <f>Q11*E11</f>
        <v>3155400</v>
      </c>
      <c r="S11" s="54">
        <f>I11-R11</f>
        <v>1444600</v>
      </c>
      <c r="T11" s="26">
        <f>S11/I11</f>
        <v>0.31404347826086959</v>
      </c>
      <c r="V11" s="53"/>
      <c r="W11" s="27"/>
      <c r="X11" s="1"/>
      <c r="Y11" s="27"/>
      <c r="Z11" s="27"/>
    </row>
    <row r="12" spans="2:30" ht="19.5" x14ac:dyDescent="0.4">
      <c r="B12" s="45" t="s">
        <v>71</v>
      </c>
      <c r="C12" s="46" t="s">
        <v>73</v>
      </c>
      <c r="D12" s="47" t="s">
        <v>72</v>
      </c>
      <c r="E12" s="47">
        <v>2</v>
      </c>
      <c r="F12" s="48">
        <v>383000</v>
      </c>
      <c r="G12" s="49">
        <f>H12/F12</f>
        <v>0.65274151436031336</v>
      </c>
      <c r="H12" s="50">
        <v>250000</v>
      </c>
      <c r="I12" s="50">
        <f>H12*E12</f>
        <v>500000</v>
      </c>
      <c r="J12" s="51"/>
      <c r="K12" s="52"/>
      <c r="L12" s="27"/>
      <c r="M12" s="27"/>
      <c r="O12" s="78">
        <v>383000</v>
      </c>
      <c r="P12" s="26">
        <f>Q12/O12</f>
        <v>0.5</v>
      </c>
      <c r="Q12" s="83">
        <v>191500</v>
      </c>
      <c r="R12" s="25">
        <f>Q12*E12</f>
        <v>383000</v>
      </c>
      <c r="S12" s="54">
        <f>I12-R12</f>
        <v>117000</v>
      </c>
      <c r="T12" s="26">
        <f>S12/I12</f>
        <v>0.23400000000000001</v>
      </c>
      <c r="V12" s="53"/>
      <c r="W12" s="27"/>
      <c r="X12" s="1"/>
      <c r="Y12" s="27"/>
      <c r="Z12" s="27"/>
    </row>
    <row r="13" spans="2:30" ht="39.950000000000003" customHeight="1" thickBot="1" x14ac:dyDescent="0.45">
      <c r="B13" s="55"/>
      <c r="C13" s="56"/>
      <c r="D13" s="57"/>
      <c r="E13" s="58"/>
      <c r="F13" s="57"/>
      <c r="G13" s="59"/>
      <c r="H13" s="60" t="s">
        <v>30</v>
      </c>
      <c r="I13" s="61">
        <f>SUM(I11:I12)</f>
        <v>5100000</v>
      </c>
      <c r="J13" s="62"/>
      <c r="K13" s="52"/>
      <c r="M13" s="1"/>
      <c r="O13" s="67"/>
      <c r="P13" s="32"/>
      <c r="Q13" s="77"/>
      <c r="V13" s="63"/>
      <c r="W13" s="32"/>
      <c r="Y13" s="31"/>
      <c r="Z13" s="31"/>
      <c r="AA13" s="32"/>
      <c r="AB13" s="31"/>
      <c r="AC13" s="27"/>
      <c r="AD13" s="37"/>
    </row>
    <row r="14" spans="2:30" ht="24" x14ac:dyDescent="0.5">
      <c r="B14" s="33"/>
      <c r="C14" s="34" t="s">
        <v>39</v>
      </c>
      <c r="D14" s="35"/>
      <c r="E14" s="35"/>
      <c r="F14" s="35"/>
      <c r="G14" s="35"/>
      <c r="H14" s="35"/>
      <c r="I14" s="35"/>
      <c r="J14" s="36"/>
      <c r="K14" s="22"/>
      <c r="L14" s="108"/>
      <c r="M14" s="108"/>
      <c r="V14" s="38"/>
    </row>
    <row r="15" spans="2:30" x14ac:dyDescent="0.4">
      <c r="B15" s="39" t="s">
        <v>18</v>
      </c>
      <c r="C15" s="40" t="s">
        <v>19</v>
      </c>
      <c r="D15" s="40" t="s">
        <v>20</v>
      </c>
      <c r="E15" s="41" t="s">
        <v>48</v>
      </c>
      <c r="F15" s="41" t="s">
        <v>21</v>
      </c>
      <c r="G15" s="41" t="s">
        <v>22</v>
      </c>
      <c r="H15" s="40" t="s">
        <v>23</v>
      </c>
      <c r="I15" s="40" t="s">
        <v>24</v>
      </c>
      <c r="J15" s="42" t="s">
        <v>25</v>
      </c>
      <c r="K15" s="43"/>
      <c r="L15" s="44"/>
      <c r="M15" s="44"/>
      <c r="O15" s="23" t="s">
        <v>21</v>
      </c>
      <c r="P15" s="23" t="s">
        <v>27</v>
      </c>
      <c r="Q15" s="23" t="s">
        <v>0</v>
      </c>
      <c r="R15" s="23" t="s">
        <v>28</v>
      </c>
      <c r="S15" s="23" t="s">
        <v>1</v>
      </c>
      <c r="T15" s="23" t="s">
        <v>17</v>
      </c>
      <c r="Y15" s="38"/>
    </row>
    <row r="16" spans="2:30" ht="58.5" x14ac:dyDescent="0.4">
      <c r="B16" s="45" t="s">
        <v>26</v>
      </c>
      <c r="C16" s="46" t="s">
        <v>41</v>
      </c>
      <c r="D16" s="47" t="s">
        <v>74</v>
      </c>
      <c r="E16" s="47">
        <v>2</v>
      </c>
      <c r="F16" s="48">
        <v>3506000</v>
      </c>
      <c r="G16" s="49">
        <f>H16/F16</f>
        <v>0.5704506560182544</v>
      </c>
      <c r="H16" s="50">
        <v>2000000</v>
      </c>
      <c r="I16" s="50">
        <f>H16*E16</f>
        <v>4000000</v>
      </c>
      <c r="J16" s="51"/>
      <c r="K16" s="52"/>
      <c r="L16" s="27"/>
      <c r="M16" s="27"/>
      <c r="O16" s="78">
        <v>3169200</v>
      </c>
      <c r="P16" s="26">
        <f>Q16/O16</f>
        <v>0.49998737851823805</v>
      </c>
      <c r="Q16" s="83">
        <v>1584560</v>
      </c>
      <c r="R16" s="25">
        <f>Q16*E16</f>
        <v>3169120</v>
      </c>
      <c r="S16" s="54">
        <f>I16-R16</f>
        <v>830880</v>
      </c>
      <c r="T16" s="26">
        <f>S16/I16</f>
        <v>0.20771999999999999</v>
      </c>
      <c r="V16" s="53"/>
      <c r="W16" s="27"/>
      <c r="X16" s="1"/>
      <c r="Y16" s="27"/>
      <c r="Z16" s="27"/>
    </row>
    <row r="17" spans="2:30" ht="39.950000000000003" customHeight="1" x14ac:dyDescent="0.4">
      <c r="B17" s="55"/>
      <c r="C17" s="56"/>
      <c r="D17" s="57"/>
      <c r="E17" s="58"/>
      <c r="F17" s="57"/>
      <c r="G17" s="59"/>
      <c r="H17" s="60" t="s">
        <v>30</v>
      </c>
      <c r="I17" s="61">
        <f>SUM(I16:I16)</f>
        <v>4000000</v>
      </c>
      <c r="J17" s="62"/>
      <c r="K17" s="52"/>
      <c r="M17" s="1"/>
      <c r="O17" s="67"/>
      <c r="P17" s="32"/>
      <c r="Q17" s="77"/>
      <c r="V17" s="63"/>
      <c r="W17" s="32"/>
      <c r="Y17" s="31"/>
      <c r="Z17" s="31"/>
      <c r="AA17" s="32"/>
      <c r="AB17" s="31"/>
      <c r="AC17" s="27"/>
      <c r="AD17" s="37"/>
    </row>
    <row r="18" spans="2:30" ht="39.950000000000003" customHeight="1" x14ac:dyDescent="0.4">
      <c r="B18" s="55"/>
      <c r="C18" s="56"/>
      <c r="D18" s="57"/>
      <c r="E18" s="58"/>
      <c r="F18" s="57"/>
      <c r="G18" s="59"/>
      <c r="H18" s="60"/>
      <c r="I18" s="61"/>
      <c r="J18" s="62"/>
      <c r="K18" s="52"/>
      <c r="M18" s="1"/>
      <c r="O18" s="67"/>
      <c r="P18" s="32"/>
      <c r="Q18" s="77"/>
      <c r="R18" s="1" t="s">
        <v>31</v>
      </c>
      <c r="S18" s="63" t="s">
        <v>3</v>
      </c>
      <c r="T18" s="32"/>
      <c r="V18" s="63"/>
      <c r="W18" s="32"/>
      <c r="Y18" s="31"/>
      <c r="Z18" s="31"/>
      <c r="AA18" s="32"/>
      <c r="AB18" s="31"/>
      <c r="AC18" s="27"/>
      <c r="AD18" s="37"/>
    </row>
    <row r="19" spans="2:30" ht="39.950000000000003" customHeight="1" x14ac:dyDescent="0.4">
      <c r="B19" s="64"/>
      <c r="C19" s="56"/>
      <c r="D19" s="58"/>
      <c r="E19" s="58"/>
      <c r="F19" s="65"/>
      <c r="G19" s="66"/>
      <c r="H19" s="60" t="s">
        <v>29</v>
      </c>
      <c r="I19" s="61"/>
      <c r="J19" s="62"/>
      <c r="K19" s="52"/>
      <c r="L19" s="27"/>
      <c r="M19" s="27"/>
      <c r="R19" s="84">
        <f>R7+R11+R12+R16</f>
        <v>11507520</v>
      </c>
      <c r="S19" s="1">
        <f>I20-R19</f>
        <v>3592480</v>
      </c>
      <c r="T19" s="32">
        <f>S19/I20</f>
        <v>0.23791258278145697</v>
      </c>
      <c r="V19" s="53"/>
      <c r="W19" s="27"/>
    </row>
    <row r="20" spans="2:30" ht="39.950000000000003" customHeight="1" thickBot="1" x14ac:dyDescent="0.45">
      <c r="B20" s="68"/>
      <c r="C20" s="69"/>
      <c r="D20" s="70"/>
      <c r="E20" s="70"/>
      <c r="F20" s="71"/>
      <c r="G20" s="72"/>
      <c r="H20" s="73" t="s">
        <v>32</v>
      </c>
      <c r="I20" s="73">
        <f>I8+I13+I17+I19</f>
        <v>15100000</v>
      </c>
      <c r="J20" s="74"/>
      <c r="K20" s="52"/>
      <c r="L20" s="27"/>
      <c r="M20" s="27"/>
      <c r="R20" s="84"/>
      <c r="S20" s="1"/>
      <c r="T20" s="32"/>
      <c r="V20" s="53"/>
      <c r="W20" s="27"/>
    </row>
    <row r="21" spans="2:30" ht="29.1" customHeight="1" x14ac:dyDescent="0.4">
      <c r="B21" s="75"/>
      <c r="C21" s="56"/>
      <c r="D21" s="58"/>
      <c r="E21" s="58"/>
      <c r="F21" s="65"/>
      <c r="G21" s="66"/>
      <c r="H21" s="76"/>
      <c r="I21" s="76"/>
      <c r="J21" s="52"/>
      <c r="K21" s="52"/>
      <c r="M21" s="1"/>
      <c r="V21" s="53"/>
      <c r="W21" s="27"/>
    </row>
    <row r="22" spans="2:30" x14ac:dyDescent="0.4">
      <c r="V22" s="53"/>
      <c r="W22" s="27"/>
    </row>
  </sheetData>
  <mergeCells count="3">
    <mergeCell ref="L5:M5"/>
    <mergeCell ref="L9:M9"/>
    <mergeCell ref="L14:M14"/>
  </mergeCells>
  <phoneticPr fontId="3"/>
  <pageMargins left="0.7" right="0.7" top="0.75" bottom="0.75" header="0.3" footer="0.3"/>
  <pageSetup paperSize="9" scale="4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FF2AD-36F3-43A1-9379-D27757EE4971}">
  <sheetPr codeName="Sheet3">
    <pageSetUpPr fitToPage="1"/>
  </sheetPr>
  <dimension ref="B1:AD22"/>
  <sheetViews>
    <sheetView tabSelected="1" view="pageBreakPreview" topLeftCell="C8" zoomScale="82" zoomScaleNormal="55" zoomScaleSheetLayoutView="88" workbookViewId="0">
      <selection activeCell="D16" sqref="D16"/>
    </sheetView>
  </sheetViews>
  <sheetFormatPr defaultRowHeight="18.75" x14ac:dyDescent="0.4"/>
  <cols>
    <col min="1" max="1" width="4.625" customWidth="1"/>
    <col min="2" max="2" width="5.875" customWidth="1"/>
    <col min="3" max="3" width="26.375" customWidth="1"/>
    <col min="4" max="4" width="62.375" customWidth="1"/>
    <col min="5" max="5" width="9" customWidth="1"/>
    <col min="6" max="7" width="15.125" customWidth="1"/>
    <col min="8" max="8" width="20.625" customWidth="1"/>
    <col min="9" max="9" width="17.875" customWidth="1"/>
    <col min="10" max="10" width="5.625" customWidth="1"/>
    <col min="11" max="11" width="3.625" customWidth="1"/>
    <col min="12" max="12" width="11.375" customWidth="1"/>
    <col min="13" max="13" width="13.375" customWidth="1"/>
    <col min="14" max="14" width="9.25" customWidth="1"/>
    <col min="15" max="15" width="17.625" customWidth="1"/>
    <col min="16" max="16" width="12.25" customWidth="1"/>
    <col min="17" max="17" width="12.875" customWidth="1"/>
    <col min="18" max="18" width="18.125" bestFit="1" customWidth="1"/>
    <col min="19" max="19" width="13.875" customWidth="1"/>
    <col min="20" max="20" width="18" customWidth="1"/>
    <col min="21" max="21" width="4.375" customWidth="1"/>
    <col min="22" max="22" width="19.375" customWidth="1"/>
    <col min="23" max="23" width="11.375" customWidth="1"/>
    <col min="24" max="24" width="9.625" bestFit="1" customWidth="1"/>
    <col min="25" max="25" width="13.75" bestFit="1" customWidth="1"/>
    <col min="26" max="26" width="12" customWidth="1"/>
    <col min="27" max="27" width="8.75" customWidth="1"/>
    <col min="28" max="28" width="13.875" bestFit="1" customWidth="1"/>
    <col min="29" max="29" width="10.75" bestFit="1" customWidth="1"/>
  </cols>
  <sheetData>
    <row r="1" spans="2:30" ht="30" x14ac:dyDescent="0.6">
      <c r="B1" s="19"/>
      <c r="C1" s="20"/>
      <c r="I1" s="21"/>
      <c r="J1" s="22"/>
      <c r="K1" s="22"/>
      <c r="V1" s="1"/>
    </row>
    <row r="2" spans="2:30" ht="24" x14ac:dyDescent="0.5">
      <c r="B2" s="24"/>
      <c r="V2" s="27"/>
    </row>
    <row r="3" spans="2:30" ht="30" x14ac:dyDescent="0.6">
      <c r="B3" s="20" t="s">
        <v>38</v>
      </c>
      <c r="C3" s="28"/>
      <c r="D3" s="29"/>
      <c r="I3" s="30"/>
    </row>
    <row r="4" spans="2:30" ht="30.75" thickBot="1" x14ac:dyDescent="0.65">
      <c r="B4" s="20"/>
      <c r="I4" s="1"/>
    </row>
    <row r="5" spans="2:30" ht="24" x14ac:dyDescent="0.5">
      <c r="B5" s="33"/>
      <c r="C5" s="34" t="s">
        <v>40</v>
      </c>
      <c r="D5" s="35"/>
      <c r="E5" s="35"/>
      <c r="F5" s="35"/>
      <c r="G5" s="35"/>
      <c r="H5" s="35"/>
      <c r="I5" s="35"/>
      <c r="J5" s="36"/>
      <c r="K5" s="22"/>
      <c r="L5" s="108"/>
      <c r="M5" s="108"/>
      <c r="V5" s="38"/>
    </row>
    <row r="6" spans="2:30" x14ac:dyDescent="0.4">
      <c r="B6" s="39" t="s">
        <v>18</v>
      </c>
      <c r="C6" s="40" t="s">
        <v>19</v>
      </c>
      <c r="D6" s="40" t="s">
        <v>20</v>
      </c>
      <c r="E6" s="41" t="s">
        <v>2</v>
      </c>
      <c r="F6" s="41" t="s">
        <v>21</v>
      </c>
      <c r="G6" s="41" t="s">
        <v>22</v>
      </c>
      <c r="H6" s="40" t="s">
        <v>23</v>
      </c>
      <c r="I6" s="40" t="s">
        <v>24</v>
      </c>
      <c r="J6" s="42" t="s">
        <v>25</v>
      </c>
      <c r="K6" s="43"/>
      <c r="L6" s="44"/>
      <c r="M6" s="44"/>
      <c r="O6" s="23" t="s">
        <v>21</v>
      </c>
      <c r="P6" s="23" t="s">
        <v>27</v>
      </c>
      <c r="Q6" s="23" t="s">
        <v>0</v>
      </c>
      <c r="R6" s="23" t="s">
        <v>28</v>
      </c>
      <c r="S6" s="23" t="s">
        <v>1</v>
      </c>
      <c r="T6" s="23" t="s">
        <v>17</v>
      </c>
      <c r="Y6" s="38"/>
    </row>
    <row r="7" spans="2:30" ht="253.5" x14ac:dyDescent="0.4">
      <c r="B7" s="45" t="s">
        <v>26</v>
      </c>
      <c r="C7" s="46" t="s">
        <v>41</v>
      </c>
      <c r="D7" s="47" t="s">
        <v>50</v>
      </c>
      <c r="E7" s="47">
        <v>4</v>
      </c>
      <c r="F7" s="48" t="s">
        <v>42</v>
      </c>
      <c r="G7" s="49" t="s">
        <v>42</v>
      </c>
      <c r="H7" s="50">
        <v>1500000</v>
      </c>
      <c r="I7" s="50">
        <f>H7*E7</f>
        <v>6000000</v>
      </c>
      <c r="J7" s="51"/>
      <c r="K7" s="52"/>
      <c r="L7" s="27"/>
      <c r="M7" s="27"/>
      <c r="O7" s="78" t="s">
        <v>42</v>
      </c>
      <c r="P7" s="26" t="s">
        <v>43</v>
      </c>
      <c r="Q7" s="83" t="s">
        <v>42</v>
      </c>
      <c r="R7" s="25">
        <v>4800000</v>
      </c>
      <c r="S7" s="54">
        <f>I7-R7</f>
        <v>1200000</v>
      </c>
      <c r="T7" s="26">
        <f>S7/I7</f>
        <v>0.2</v>
      </c>
      <c r="V7" s="53"/>
      <c r="W7" s="27"/>
      <c r="X7" s="1"/>
      <c r="Y7" s="27"/>
      <c r="Z7" s="27"/>
    </row>
    <row r="8" spans="2:30" ht="39.950000000000003" customHeight="1" thickBot="1" x14ac:dyDescent="0.45">
      <c r="B8" s="55"/>
      <c r="C8" s="56"/>
      <c r="D8" s="57"/>
      <c r="E8" s="58"/>
      <c r="F8" s="57"/>
      <c r="G8" s="59"/>
      <c r="H8" s="60" t="s">
        <v>30</v>
      </c>
      <c r="I8" s="61">
        <f>SUM(I7:I7)</f>
        <v>6000000</v>
      </c>
      <c r="J8" s="62"/>
      <c r="K8" s="52"/>
      <c r="M8" s="1"/>
      <c r="O8" s="67"/>
      <c r="P8" s="32"/>
      <c r="Q8" s="77"/>
      <c r="V8" s="63"/>
      <c r="W8" s="32"/>
      <c r="Y8" s="31"/>
      <c r="Z8" s="31"/>
      <c r="AA8" s="32"/>
      <c r="AB8" s="31"/>
      <c r="AC8" s="27"/>
      <c r="AD8" s="37"/>
    </row>
    <row r="9" spans="2:30" ht="24" x14ac:dyDescent="0.5">
      <c r="B9" s="33"/>
      <c r="C9" s="34" t="s">
        <v>33</v>
      </c>
      <c r="D9" s="35"/>
      <c r="E9" s="35"/>
      <c r="F9" s="35"/>
      <c r="G9" s="35"/>
      <c r="H9" s="35"/>
      <c r="I9" s="35"/>
      <c r="J9" s="36"/>
      <c r="K9" s="22"/>
      <c r="L9" s="108"/>
      <c r="M9" s="108"/>
      <c r="V9" s="38"/>
    </row>
    <row r="10" spans="2:30" x14ac:dyDescent="0.4">
      <c r="B10" s="39" t="s">
        <v>18</v>
      </c>
      <c r="C10" s="40" t="s">
        <v>19</v>
      </c>
      <c r="D10" s="40" t="s">
        <v>20</v>
      </c>
      <c r="E10" s="41" t="s">
        <v>2</v>
      </c>
      <c r="F10" s="41" t="s">
        <v>21</v>
      </c>
      <c r="G10" s="41" t="s">
        <v>22</v>
      </c>
      <c r="H10" s="40" t="s">
        <v>23</v>
      </c>
      <c r="I10" s="40" t="s">
        <v>24</v>
      </c>
      <c r="J10" s="42" t="s">
        <v>25</v>
      </c>
      <c r="K10" s="43"/>
      <c r="L10" s="44"/>
      <c r="M10" s="44"/>
      <c r="O10" s="23" t="s">
        <v>21</v>
      </c>
      <c r="P10" s="23" t="s">
        <v>27</v>
      </c>
      <c r="Q10" s="23" t="s">
        <v>0</v>
      </c>
      <c r="R10" s="23" t="s">
        <v>28</v>
      </c>
      <c r="S10" s="23" t="s">
        <v>1</v>
      </c>
      <c r="T10" s="23" t="s">
        <v>17</v>
      </c>
      <c r="Y10" s="38"/>
    </row>
    <row r="11" spans="2:30" ht="58.5" x14ac:dyDescent="0.4">
      <c r="B11" s="45" t="s">
        <v>26</v>
      </c>
      <c r="C11" s="46" t="s">
        <v>36</v>
      </c>
      <c r="D11" s="47" t="s">
        <v>37</v>
      </c>
      <c r="E11" s="47">
        <v>2</v>
      </c>
      <c r="F11" s="48">
        <v>3506000</v>
      </c>
      <c r="G11" s="49">
        <f>H11/F11</f>
        <v>0.6560182544209926</v>
      </c>
      <c r="H11" s="50">
        <v>2300000</v>
      </c>
      <c r="I11" s="50">
        <f>H11*E11</f>
        <v>4600000</v>
      </c>
      <c r="J11" s="51"/>
      <c r="K11" s="52"/>
      <c r="L11" s="27"/>
      <c r="M11" s="27"/>
      <c r="O11" s="78">
        <v>3506000</v>
      </c>
      <c r="P11" s="26">
        <f>Q11/O11</f>
        <v>0.45</v>
      </c>
      <c r="Q11" s="83">
        <v>1577700</v>
      </c>
      <c r="R11" s="25">
        <f>Q11*E11</f>
        <v>3155400</v>
      </c>
      <c r="S11" s="54">
        <f>I11-R11</f>
        <v>1444600</v>
      </c>
      <c r="T11" s="26">
        <f>S11/I11</f>
        <v>0.31404347826086959</v>
      </c>
      <c r="V11" s="53"/>
      <c r="W11" s="27"/>
      <c r="X11" s="1"/>
      <c r="Y11" s="27"/>
      <c r="Z11" s="27"/>
    </row>
    <row r="12" spans="2:30" ht="19.5" x14ac:dyDescent="0.4">
      <c r="B12" s="45" t="s">
        <v>71</v>
      </c>
      <c r="C12" s="46" t="s">
        <v>73</v>
      </c>
      <c r="D12" s="47" t="s">
        <v>72</v>
      </c>
      <c r="E12" s="47">
        <v>2</v>
      </c>
      <c r="F12" s="48">
        <v>383000</v>
      </c>
      <c r="G12" s="49">
        <f>H12/F12</f>
        <v>0.65274151436031336</v>
      </c>
      <c r="H12" s="50">
        <v>250000</v>
      </c>
      <c r="I12" s="50">
        <f>H12*E12</f>
        <v>500000</v>
      </c>
      <c r="J12" s="51"/>
      <c r="K12" s="52"/>
      <c r="L12" s="27"/>
      <c r="M12" s="27"/>
      <c r="O12" s="78">
        <v>383000</v>
      </c>
      <c r="P12" s="26">
        <f>Q12/O12</f>
        <v>0.5</v>
      </c>
      <c r="Q12" s="83">
        <v>191500</v>
      </c>
      <c r="R12" s="25">
        <f>Q12*E12</f>
        <v>383000</v>
      </c>
      <c r="S12" s="54">
        <f>I12-R12</f>
        <v>117000</v>
      </c>
      <c r="T12" s="26">
        <f>S12/I12</f>
        <v>0.23400000000000001</v>
      </c>
      <c r="V12" s="53"/>
      <c r="W12" s="27"/>
      <c r="X12" s="1"/>
      <c r="Y12" s="27"/>
      <c r="Z12" s="27"/>
    </row>
    <row r="13" spans="2:30" ht="39.950000000000003" customHeight="1" thickBot="1" x14ac:dyDescent="0.45">
      <c r="B13" s="55"/>
      <c r="C13" s="56"/>
      <c r="D13" s="57"/>
      <c r="E13" s="58"/>
      <c r="F13" s="57"/>
      <c r="G13" s="59"/>
      <c r="H13" s="60" t="s">
        <v>30</v>
      </c>
      <c r="I13" s="61">
        <f>SUM(I11:I12)</f>
        <v>5100000</v>
      </c>
      <c r="J13" s="62"/>
      <c r="K13" s="52"/>
      <c r="M13" s="1"/>
      <c r="O13" s="67"/>
      <c r="P13" s="32"/>
      <c r="Q13" s="77"/>
      <c r="V13" s="63"/>
      <c r="W13" s="32"/>
      <c r="Y13" s="31"/>
      <c r="Z13" s="31"/>
      <c r="AA13" s="32"/>
      <c r="AB13" s="31"/>
      <c r="AC13" s="27"/>
      <c r="AD13" s="37"/>
    </row>
    <row r="14" spans="2:30" ht="24" x14ac:dyDescent="0.5">
      <c r="B14" s="33"/>
      <c r="C14" s="34" t="s">
        <v>39</v>
      </c>
      <c r="D14" s="35"/>
      <c r="E14" s="35"/>
      <c r="F14" s="35"/>
      <c r="G14" s="35"/>
      <c r="H14" s="35"/>
      <c r="I14" s="35"/>
      <c r="J14" s="36"/>
      <c r="K14" s="22"/>
      <c r="L14" s="108"/>
      <c r="M14" s="108"/>
      <c r="V14" s="38"/>
    </row>
    <row r="15" spans="2:30" x14ac:dyDescent="0.4">
      <c r="B15" s="39" t="s">
        <v>18</v>
      </c>
      <c r="C15" s="40" t="s">
        <v>19</v>
      </c>
      <c r="D15" s="40" t="s">
        <v>20</v>
      </c>
      <c r="E15" s="41" t="s">
        <v>2</v>
      </c>
      <c r="F15" s="41" t="s">
        <v>21</v>
      </c>
      <c r="G15" s="41" t="s">
        <v>22</v>
      </c>
      <c r="H15" s="40" t="s">
        <v>23</v>
      </c>
      <c r="I15" s="40" t="s">
        <v>24</v>
      </c>
      <c r="J15" s="42" t="s">
        <v>25</v>
      </c>
      <c r="K15" s="43"/>
      <c r="L15" s="44"/>
      <c r="M15" s="44"/>
      <c r="O15" s="23" t="s">
        <v>21</v>
      </c>
      <c r="P15" s="23" t="s">
        <v>27</v>
      </c>
      <c r="Q15" s="23" t="s">
        <v>0</v>
      </c>
      <c r="R15" s="23" t="s">
        <v>28</v>
      </c>
      <c r="S15" s="23" t="s">
        <v>1</v>
      </c>
      <c r="T15" s="23" t="s">
        <v>17</v>
      </c>
      <c r="Y15" s="38"/>
    </row>
    <row r="16" spans="2:30" ht="58.5" x14ac:dyDescent="0.4">
      <c r="B16" s="45" t="s">
        <v>26</v>
      </c>
      <c r="C16" s="46" t="s">
        <v>41</v>
      </c>
      <c r="D16" s="47" t="s">
        <v>74</v>
      </c>
      <c r="E16" s="47">
        <v>2</v>
      </c>
      <c r="F16" s="48">
        <v>3506000</v>
      </c>
      <c r="G16" s="49">
        <f>H16/F16</f>
        <v>0.71306332002281803</v>
      </c>
      <c r="H16" s="50">
        <v>2500000</v>
      </c>
      <c r="I16" s="50">
        <f>H16*E16</f>
        <v>5000000</v>
      </c>
      <c r="J16" s="51"/>
      <c r="K16" s="52"/>
      <c r="L16" s="27"/>
      <c r="M16" s="27"/>
      <c r="O16" s="78">
        <v>3169200</v>
      </c>
      <c r="P16" s="26">
        <f>Q16/O16</f>
        <v>0.59969708443771297</v>
      </c>
      <c r="Q16" s="83">
        <v>1900560</v>
      </c>
      <c r="R16" s="25">
        <f>Q16*E16</f>
        <v>3801120</v>
      </c>
      <c r="S16" s="54">
        <f>I16-R16</f>
        <v>1198880</v>
      </c>
      <c r="T16" s="26">
        <f>S16/I16</f>
        <v>0.23977599999999999</v>
      </c>
      <c r="V16" s="53"/>
      <c r="W16" s="27"/>
      <c r="X16" s="1"/>
      <c r="Y16" s="27"/>
      <c r="Z16" s="27"/>
    </row>
    <row r="17" spans="2:30" ht="39.950000000000003" customHeight="1" x14ac:dyDescent="0.4">
      <c r="B17" s="55"/>
      <c r="C17" s="56"/>
      <c r="D17" s="57"/>
      <c r="E17" s="58"/>
      <c r="F17" s="57"/>
      <c r="G17" s="59"/>
      <c r="H17" s="60" t="s">
        <v>30</v>
      </c>
      <c r="I17" s="61">
        <f>SUM(I16:I16)</f>
        <v>5000000</v>
      </c>
      <c r="J17" s="62"/>
      <c r="K17" s="52"/>
      <c r="M17" s="1"/>
      <c r="O17" s="67"/>
      <c r="P17" s="32"/>
      <c r="Q17" s="77"/>
      <c r="V17" s="63"/>
      <c r="W17" s="32"/>
      <c r="Y17" s="31"/>
      <c r="Z17" s="31"/>
      <c r="AA17" s="32"/>
      <c r="AB17" s="31"/>
      <c r="AC17" s="27"/>
      <c r="AD17" s="37"/>
    </row>
    <row r="18" spans="2:30" ht="39.950000000000003" customHeight="1" x14ac:dyDescent="0.4">
      <c r="B18" s="55"/>
      <c r="C18" s="56"/>
      <c r="D18" s="57"/>
      <c r="E18" s="58"/>
      <c r="F18" s="57"/>
      <c r="G18" s="59"/>
      <c r="H18" s="60"/>
      <c r="I18" s="61"/>
      <c r="J18" s="62"/>
      <c r="K18" s="52"/>
      <c r="M18" s="1"/>
      <c r="O18" s="67"/>
      <c r="P18" s="32"/>
      <c r="Q18" s="77"/>
      <c r="R18" s="1" t="s">
        <v>31</v>
      </c>
      <c r="S18" s="63" t="s">
        <v>3</v>
      </c>
      <c r="T18" s="32"/>
      <c r="V18" s="63"/>
      <c r="W18" s="32"/>
      <c r="Y18" s="31"/>
      <c r="Z18" s="31"/>
      <c r="AA18" s="32"/>
      <c r="AB18" s="31"/>
      <c r="AC18" s="27"/>
      <c r="AD18" s="37"/>
    </row>
    <row r="19" spans="2:30" ht="39.950000000000003" customHeight="1" x14ac:dyDescent="0.4">
      <c r="B19" s="64"/>
      <c r="C19" s="56"/>
      <c r="D19" s="58"/>
      <c r="E19" s="58"/>
      <c r="F19" s="65"/>
      <c r="G19" s="66"/>
      <c r="H19" s="60" t="s">
        <v>29</v>
      </c>
      <c r="I19" s="61"/>
      <c r="J19" s="62"/>
      <c r="K19" s="52"/>
      <c r="L19" s="27"/>
      <c r="M19" s="27"/>
      <c r="R19" s="84">
        <f>R7+R11+R12+R16</f>
        <v>12139520</v>
      </c>
      <c r="S19" s="1">
        <f>I20-R19</f>
        <v>3960480</v>
      </c>
      <c r="T19" s="32">
        <f>S19/I20</f>
        <v>0.24599254658385092</v>
      </c>
      <c r="V19" s="53"/>
      <c r="W19" s="27"/>
    </row>
    <row r="20" spans="2:30" ht="39.950000000000003" customHeight="1" thickBot="1" x14ac:dyDescent="0.45">
      <c r="B20" s="68"/>
      <c r="C20" s="69"/>
      <c r="D20" s="70"/>
      <c r="E20" s="70"/>
      <c r="F20" s="71"/>
      <c r="G20" s="72"/>
      <c r="H20" s="73" t="s">
        <v>32</v>
      </c>
      <c r="I20" s="73">
        <f>I8+I13+I17+I19</f>
        <v>16100000</v>
      </c>
      <c r="J20" s="74"/>
      <c r="K20" s="52"/>
      <c r="L20" s="27"/>
      <c r="M20" s="27"/>
      <c r="R20" s="84"/>
      <c r="S20" s="1"/>
      <c r="T20" s="32"/>
      <c r="V20" s="53"/>
      <c r="W20" s="27"/>
    </row>
    <row r="21" spans="2:30" ht="29.1" customHeight="1" x14ac:dyDescent="0.4">
      <c r="B21" s="75"/>
      <c r="C21" s="56"/>
      <c r="D21" s="58"/>
      <c r="E21" s="58"/>
      <c r="F21" s="65"/>
      <c r="G21" s="66"/>
      <c r="H21" s="76"/>
      <c r="I21" s="76"/>
      <c r="J21" s="52"/>
      <c r="K21" s="52"/>
      <c r="M21" s="1"/>
      <c r="V21" s="53"/>
      <c r="W21" s="27"/>
    </row>
    <row r="22" spans="2:30" x14ac:dyDescent="0.4">
      <c r="V22" s="53"/>
      <c r="W22" s="27"/>
    </row>
  </sheetData>
  <mergeCells count="3">
    <mergeCell ref="L5:M5"/>
    <mergeCell ref="L9:M9"/>
    <mergeCell ref="L14:M14"/>
  </mergeCells>
  <phoneticPr fontId="3"/>
  <pageMargins left="0.7" right="0.7" top="0.75" bottom="0.75" header="0.3" footer="0.3"/>
  <pageSetup paperSize="9" scale="4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見積サマリー</vt:lpstr>
      <vt:lpstr>パターン①</vt:lpstr>
      <vt:lpstr>パターン②</vt:lpstr>
      <vt:lpstr>パターン①!Print_Area</vt:lpstr>
      <vt:lpstr>パターン②!Print_Area</vt:lpstr>
      <vt:lpstr>見積サマリー!Print_Area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石田　真秀</dc:creator>
  <cp:lastModifiedBy>若月　翔</cp:lastModifiedBy>
  <cp:lastPrinted>2026-03-17T03:42:31Z</cp:lastPrinted>
  <dcterms:created xsi:type="dcterms:W3CDTF">2015-06-05T18:17:20Z</dcterms:created>
  <dcterms:modified xsi:type="dcterms:W3CDTF">2026-03-31T02:31:31Z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bb27ca-7868-470c-8d5b-74df37759162_Enabled">
    <vt:lpwstr>true</vt:lpwstr>
  </property>
  <property fmtid="{D5CDD505-2E9C-101B-9397-08002B2CF9AE}" pid="3" name="MSIP_Label_babb27ca-7868-470c-8d5b-74df37759162_SetDate">
    <vt:lpwstr>2026-02-24T00:33:03Z</vt:lpwstr>
  </property>
  <property fmtid="{D5CDD505-2E9C-101B-9397-08002B2CF9AE}" pid="4" name="MSIP_Label_babb27ca-7868-470c-8d5b-74df37759162_Method">
    <vt:lpwstr>Privileged</vt:lpwstr>
  </property>
  <property fmtid="{D5CDD505-2E9C-101B-9397-08002B2CF9AE}" pid="5" name="MSIP_Label_babb27ca-7868-470c-8d5b-74df37759162_Name">
    <vt:lpwstr>babb27ca-7868-470c-8d5b-74df37759162</vt:lpwstr>
  </property>
  <property fmtid="{D5CDD505-2E9C-101B-9397-08002B2CF9AE}" pid="6" name="MSIP_Label_babb27ca-7868-470c-8d5b-74df37759162_SiteId">
    <vt:lpwstr>bdda4ca5-4ffd-4f47-9e0d-ce56ad194b37</vt:lpwstr>
  </property>
  <property fmtid="{D5CDD505-2E9C-101B-9397-08002B2CF9AE}" pid="7" name="MSIP_Label_babb27ca-7868-470c-8d5b-74df37759162_ActionId">
    <vt:lpwstr>46a44bf3-05a3-4574-a612-5ff746f6bfd4</vt:lpwstr>
  </property>
  <property fmtid="{D5CDD505-2E9C-101B-9397-08002B2CF9AE}" pid="8" name="MSIP_Label_babb27ca-7868-470c-8d5b-74df37759162_ContentBits">
    <vt:lpwstr>0</vt:lpwstr>
  </property>
</Properties>
</file>