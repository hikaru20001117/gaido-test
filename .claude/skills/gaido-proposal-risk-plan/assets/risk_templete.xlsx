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filterPrivacy="1" showInkAnnotation="0" codeName="ThisWorkbook"/>
  <xr:revisionPtr revIDLastSave="0" documentId="8_{6BC92906-9369-4A9A-B21F-9CC26531454E}" xr6:coauthVersionLast="47" xr6:coauthVersionMax="47" xr10:uidLastSave="{00000000-0000-0000-0000-000000000000}"/>
  <bookViews>
    <workbookView xWindow="-110" yWindow="-110" windowWidth="19420" windowHeight="10300" tabRatio="630" xr2:uid="{00000000-000D-0000-FFFF-FFFF00000000}"/>
  </bookViews>
  <sheets>
    <sheet name="案件チェックリスト説明 " sheetId="16" r:id="rId1"/>
    <sheet name="案件チェックリスト" sheetId="9" r:id="rId2"/>
    <sheet name="リスク管理計画立案手順ガイド" sheetId="24" r:id="rId3"/>
    <sheet name="リスク管理計画シート" sheetId="23" r:id="rId4"/>
    <sheet name="【参考】非機能一覧(開発見積用）" sheetId="12" r:id="rId5"/>
    <sheet name="【参考】リスク分析シート" sheetId="1" r:id="rId6"/>
    <sheet name="【編集不可】リスク観点リスト" sheetId="25" r:id="rId7"/>
    <sheet name="改訂履歴" sheetId="15" r:id="rId8"/>
    <sheet name="分類" sheetId="5" state="hidden" r:id="rId9"/>
  </sheets>
  <definedNames>
    <definedName name="_xlnm._FilterDatabase" localSheetId="4" hidden="1">'【参考】非機能一覧(開発見積用）'!#REF!</definedName>
    <definedName name="_xlnm._FilterDatabase" localSheetId="3" hidden="1">リスク管理計画シート!$A$12:$U$12</definedName>
    <definedName name="_xlnm._FilterDatabase" localSheetId="2" hidden="1">リスク管理計画立案手順ガイド!$A$12:$U$12</definedName>
    <definedName name="_xlnm._FilterDatabase" localSheetId="1" hidden="1">案件チェックリスト!$A$7:$H$39</definedName>
    <definedName name="①スコープ定義">分類!$B$1:$G$1</definedName>
    <definedName name="②要件洗い出し">分類!$B$2:$I$2</definedName>
    <definedName name="③作業洗い出し">分類!$B$3:$D$3</definedName>
    <definedName name="④工数見積">分類!$B$4</definedName>
    <definedName name="⑤要員計画">分類!$B$5:$G$5</definedName>
    <definedName name="⑥作業計画">分類!$B$6</definedName>
    <definedName name="⑦全体コスト見積">分類!$B$7</definedName>
    <definedName name="all" localSheetId="3">リスク管理計画シート!$A$14:$U$36</definedName>
    <definedName name="all" localSheetId="2">リスク管理計画立案手順ガイド!$A$13:$U$26</definedName>
    <definedName name="all" localSheetId="1">#REF!</definedName>
    <definedName name="all" localSheetId="0">#REF!</definedName>
    <definedName name="all" localSheetId="7">#REF!</definedName>
    <definedName name="all">#REF!</definedName>
    <definedName name="_xlnm.Print_Area" localSheetId="4">'【参考】非機能一覧(開発見積用）'!$A$3:$I$51</definedName>
    <definedName name="_xlnm.Print_Area" localSheetId="3">リスク管理計画シート!$A$1:$U$46</definedName>
    <definedName name="_xlnm.Print_Area" localSheetId="2">リスク管理計画立案手順ガイド!$A$1:$U$63</definedName>
    <definedName name="_xlnm.Print_Area" localSheetId="1">案件チェックリスト!$A$1:$H$39</definedName>
    <definedName name="_xlnm.Print_Area" localSheetId="0">'案件チェックリスト説明 '!$A$1:$B$7</definedName>
    <definedName name="_xlnm.Print_Titles" localSheetId="5">【参考】リスク分析シート!$8:$8</definedName>
    <definedName name="_xlnm.Print_Titles" localSheetId="4">'【参考】非機能一覧(開発見積用）'!$3:$4</definedName>
    <definedName name="_xlnm.Print_Titles" localSheetId="3">リスク管理計画シート!$12:$12</definedName>
    <definedName name="_xlnm.Print_Titles" localSheetId="2">リスク管理計画立案手順ガイド!$12:$12</definedName>
    <definedName name="_xlnm.Print_Titles" localSheetId="1">案件チェックリスト!$1:$7</definedName>
    <definedName name="Z_948AD6F2_AD99_4F35_BCF6_12F355172F31_.wvu.FilterData" localSheetId="3" hidden="1">リスク管理計画シート!$A$12:$U$36</definedName>
    <definedName name="Z_948AD6F2_AD99_4F35_BCF6_12F355172F31_.wvu.FilterData" localSheetId="2" hidden="1">リスク管理計画立案手順ガイド!$A$12:$U$26</definedName>
    <definedName name="Z_948AD6F2_AD99_4F35_BCF6_12F355172F31_.wvu.PrintArea" localSheetId="3" hidden="1">リスク管理計画シート!$A$3:$U$36</definedName>
    <definedName name="Z_948AD6F2_AD99_4F35_BCF6_12F355172F31_.wvu.PrintArea" localSheetId="2" hidden="1">リスク管理計画立案手順ガイド!$A$11:$U$26</definedName>
    <definedName name="Z_948AD6F2_AD99_4F35_BCF6_12F355172F31_.wvu.PrintTitles" localSheetId="3" hidden="1">リスク管理計画シート!$12:$12</definedName>
    <definedName name="Z_948AD6F2_AD99_4F35_BCF6_12F355172F31_.wvu.PrintTitles" localSheetId="2" hidden="1">リスク管理計画立案手順ガイド!$12:$12</definedName>
    <definedName name="スコープ定義">#REF!</definedName>
    <definedName name="その他">分類!$B$8</definedName>
    <definedName name="対応方針の説明">リスク管理計画立案手順ガイド!$L$48</definedName>
    <definedName name="大項目">分類!$A$1:$A$8</definedName>
    <definedName name="分類一覧">分類!$A$1:$J$8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9" l="1"/>
  <c r="A24" i="9"/>
  <c r="H35" i="23"/>
  <c r="H34" i="23"/>
  <c r="H33" i="23"/>
  <c r="H15" i="23"/>
  <c r="H16" i="23"/>
  <c r="H17" i="23"/>
  <c r="H18" i="23"/>
  <c r="H19" i="23"/>
  <c r="H20" i="23"/>
  <c r="H21" i="23"/>
  <c r="H22" i="23"/>
  <c r="H23" i="23"/>
  <c r="H24" i="23"/>
  <c r="H25" i="23"/>
  <c r="H26" i="23"/>
  <c r="H27" i="23"/>
  <c r="H28" i="23"/>
  <c r="H29" i="23"/>
  <c r="H30" i="23"/>
  <c r="H31" i="23"/>
  <c r="H32" i="23"/>
  <c r="H36" i="23"/>
  <c r="H14" i="23"/>
  <c r="O37" i="23"/>
  <c r="V37" i="23"/>
  <c r="G37" i="23"/>
  <c r="A10" i="9"/>
  <c r="A11" i="9" s="1"/>
  <c r="A12" i="9" s="1"/>
  <c r="A13" i="9" s="1"/>
  <c r="A15" i="9" s="1"/>
  <c r="A16" i="9" s="1"/>
  <c r="A17" i="9" s="1"/>
  <c r="A18" i="9" s="1"/>
  <c r="A19" i="9" s="1"/>
  <c r="A20" i="9" s="1"/>
  <c r="A21" i="9" s="1"/>
  <c r="A22" i="9" s="1"/>
  <c r="J1" i="5"/>
  <c r="J2" i="5"/>
  <c r="J3" i="5"/>
  <c r="J4" i="5"/>
  <c r="J5" i="5"/>
  <c r="J6" i="5"/>
  <c r="J7" i="5"/>
  <c r="J8" i="5"/>
  <c r="A23" i="9" l="1"/>
  <c r="A27" i="9" s="1"/>
  <c r="A28" i="9" s="1"/>
  <c r="A30" i="9" s="1"/>
  <c r="A31" i="9" s="1"/>
  <c r="A32" i="9" s="1"/>
  <c r="A33" i="9" s="1"/>
  <c r="A34" i="9" s="1"/>
  <c r="A35" i="9" s="1"/>
  <c r="A36" i="9" s="1"/>
  <c r="A38" i="9" s="1"/>
  <c r="H37"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4" authorId="0" shapeId="0" xr:uid="{4FD5715B-1775-40C8-B46D-0BD8C36AC51C}">
      <text>
        <r>
          <rPr>
            <b/>
            <sz val="9"/>
            <color indexed="81"/>
            <rFont val="ＭＳ Ｐゴシック"/>
            <family val="3"/>
            <charset val="128"/>
          </rPr>
          <t>PJNAVIに登録されているSI案件コードを記入してください。</t>
        </r>
      </text>
    </comment>
    <comment ref="F4" authorId="0" shapeId="0" xr:uid="{28605BC9-F446-4B09-B4FD-C3364BD3B85F}">
      <text>
        <r>
          <rPr>
            <b/>
            <sz val="9"/>
            <color indexed="81"/>
            <rFont val="ＭＳ Ｐゴシック"/>
            <family val="3"/>
            <charset val="128"/>
          </rPr>
          <t>・プロジェクトコードを記入してください。
・プロジェクトコードが確定していない場合には、確定した段階で記入してください。
・プロジェクトコードが複数ある場合には、複数記入してください。</t>
        </r>
      </text>
    </comment>
    <comment ref="C6" authorId="0" shapeId="0" xr:uid="{AC532CEF-7A26-4E75-A553-1E14D28E949E}">
      <text>
        <r>
          <rPr>
            <b/>
            <sz val="9"/>
            <color indexed="81"/>
            <rFont val="MS P ゴシック"/>
            <family val="3"/>
            <charset val="128"/>
          </rPr>
          <t>リスク見直しの予定(フェーズ、タイミング)を記入してください。</t>
        </r>
      </text>
    </comment>
    <comment ref="D6" authorId="0" shapeId="0" xr:uid="{B84DD47D-4BBA-42CE-BDBF-D6C8B2B3C670}">
      <text>
        <r>
          <rPr>
            <b/>
            <sz val="9"/>
            <color indexed="81"/>
            <rFont val="MS P ゴシック"/>
            <family val="3"/>
            <charset val="128"/>
          </rPr>
          <t>リスク見直しの予定に対する実績の日付を記入してください。</t>
        </r>
      </text>
    </comment>
    <comment ref="F6" authorId="0" shapeId="0" xr:uid="{C005393F-644F-41BF-BB9A-E36F4B8A2849}">
      <text>
        <r>
          <rPr>
            <b/>
            <sz val="9"/>
            <color indexed="81"/>
            <rFont val="MS P ゴシック"/>
            <family val="3"/>
            <charset val="128"/>
          </rPr>
          <t>リスク見直し結果のサマリとして、リスク計画の変更有無を記入してください。
有の場合には、その変更内容を下の表内に更新または新規追加してください。</t>
        </r>
      </text>
    </comment>
    <comment ref="B12" authorId="0" shapeId="0" xr:uid="{00000000-0006-0000-0200-000006000000}">
      <text>
        <r>
          <rPr>
            <b/>
            <sz val="10"/>
            <color indexed="81"/>
            <rFont val="ＭＳ Ｐゴシック"/>
            <family val="3"/>
            <charset val="128"/>
          </rPr>
          <t>当該行の記入日付を記入します。一度作成した行は削除せず、グレーアウトします。</t>
        </r>
      </text>
    </comment>
    <comment ref="C12" authorId="0" shapeId="0" xr:uid="{00000000-0006-0000-0200-000007000000}">
      <text>
        <r>
          <rPr>
            <b/>
            <sz val="9"/>
            <color indexed="81"/>
            <rFont val="ＭＳ Ｐゴシック"/>
            <family val="3"/>
            <charset val="128"/>
          </rPr>
          <t>リスクの要因とその影響による
現象を記入します。</t>
        </r>
      </text>
    </comment>
    <comment ref="D12" authorId="0" shapeId="0" xr:uid="{00000000-0006-0000-0200-000008000000}">
      <text>
        <r>
          <rPr>
            <b/>
            <sz val="9"/>
            <color indexed="81"/>
            <rFont val="ＭＳ Ｐゴシック"/>
            <family val="3"/>
            <charset val="128"/>
          </rPr>
          <t>案件チェックリストで「リスクあり」となった項目のリスク観点を選択します。
案件チェックリストで洗い出したリスクでなければ、「該当なし」を選択します。</t>
        </r>
      </text>
    </comment>
    <comment ref="E12" authorId="0" shapeId="0" xr:uid="{00000000-0006-0000-0200-000009000000}">
      <text>
        <r>
          <rPr>
            <b/>
            <sz val="10"/>
            <color indexed="81"/>
            <rFont val="ＭＳ Ｐゴシック"/>
            <family val="3"/>
            <charset val="128"/>
          </rPr>
          <t>リスクが顕在化する確率を記載します。
※確率は、リスクの査定をするためのものです。
対応策をとる前の発生確率を記載してください。</t>
        </r>
      </text>
    </comment>
    <comment ref="F12" authorId="0" shapeId="0" xr:uid="{00000000-0006-0000-0200-00000A000000}">
      <text>
        <r>
          <rPr>
            <b/>
            <sz val="9"/>
            <color indexed="81"/>
            <rFont val="ＭＳ Ｐゴシック"/>
            <family val="3"/>
            <charset val="128"/>
          </rPr>
          <t>リスクが顕在化した場合のプロジェクトへのダメージ内容を記載します。金額を算出するための根拠となる数値も記入してください。</t>
        </r>
      </text>
    </comment>
    <comment ref="G12" authorId="0" shapeId="0" xr:uid="{00000000-0006-0000-0200-00000B000000}">
      <text>
        <r>
          <rPr>
            <b/>
            <sz val="9"/>
            <color indexed="81"/>
            <rFont val="ＭＳ Ｐゴシック"/>
            <family val="3"/>
            <charset val="128"/>
          </rPr>
          <t>リスクが顕在化した場合に、必要となる対応コストの金額を見積り、記載します。</t>
        </r>
      </text>
    </comment>
    <comment ref="H12" authorId="0" shapeId="0" xr:uid="{00000000-0006-0000-0200-00000C000000}">
      <text>
        <r>
          <rPr>
            <b/>
            <sz val="9"/>
            <color indexed="81"/>
            <rFont val="ＭＳ Ｐゴシック"/>
            <family val="3"/>
            <charset val="128"/>
          </rPr>
          <t>予測値＝リスクインパクト（金額）×確率
※予測値は、リスクの順位付け、対応策の検討、コンティンジェンシー予備費の検討に使用します。</t>
        </r>
      </text>
    </comment>
    <comment ref="I12" authorId="0" shapeId="0" xr:uid="{00000000-0006-0000-0200-00000D000000}">
      <text>
        <r>
          <rPr>
            <b/>
            <sz val="9"/>
            <color indexed="81"/>
            <rFont val="ＭＳ Ｐゴシック"/>
            <family val="3"/>
            <charset val="128"/>
          </rPr>
          <t>・原則、予測値の大きいものから順位付けします。ただし、社会的信用の失墜等コストに換算できないリスクは、プロジェクトマネージャーの判断で順位を付番してください。
・上位20位のリスクを対応対象としていますが、対応数は、プロジェクトマネージャ(責任者)の判断で増減してください。</t>
        </r>
      </text>
    </comment>
    <comment ref="J12" authorId="0" shapeId="0" xr:uid="{00000000-0006-0000-0200-00000E000000}">
      <text>
        <r>
          <rPr>
            <b/>
            <sz val="10"/>
            <color indexed="81"/>
            <rFont val="ＭＳ Ｐゴシック"/>
            <family val="3"/>
            <charset val="128"/>
          </rPr>
          <t>リスクの対応方針をリストから選択します。
・回避
・転嫁
・軽減
・受容</t>
        </r>
      </text>
    </comment>
    <comment ref="K12" authorId="0" shapeId="0" xr:uid="{6FDDB6F5-E165-4702-9F3A-B5DF4BCA1081}">
      <text>
        <r>
          <rPr>
            <b/>
            <sz val="9"/>
            <color indexed="81"/>
            <rFont val="ＭＳ Ｐゴシック"/>
            <family val="3"/>
            <charset val="128"/>
          </rPr>
          <t>リスクを顕在化させないための対応策を、対応方針に従い、記入してください。</t>
        </r>
      </text>
    </comment>
    <comment ref="L12" authorId="0" shapeId="0" xr:uid="{AA473A1A-02A6-4F30-B830-15ED92F66EA3}">
      <text>
        <r>
          <rPr>
            <b/>
            <sz val="9"/>
            <color indexed="81"/>
            <rFont val="ＭＳ Ｐゴシック"/>
            <family val="3"/>
            <charset val="128"/>
          </rPr>
          <t>リスク対応策の実施期限を記入します。</t>
        </r>
      </text>
    </comment>
    <comment ref="M12" authorId="0" shapeId="0" xr:uid="{00000000-0006-0000-0200-000011000000}">
      <text>
        <r>
          <rPr>
            <b/>
            <sz val="9"/>
            <color indexed="81"/>
            <rFont val="ＭＳ Ｐゴシック"/>
            <family val="3"/>
            <charset val="128"/>
          </rPr>
          <t>リスク対応策の対応責任者を記載します。</t>
        </r>
      </text>
    </comment>
    <comment ref="N12" authorId="0" shapeId="0" xr:uid="{00000000-0006-0000-0200-000012000000}">
      <text>
        <r>
          <rPr>
            <b/>
            <sz val="9"/>
            <color indexed="81"/>
            <rFont val="ＭＳ Ｐゴシック"/>
            <family val="3"/>
            <charset val="128"/>
          </rPr>
          <t xml:space="preserve">リスク対応策について実施完了した日付を記載します。
</t>
        </r>
      </text>
    </comment>
    <comment ref="O12" authorId="0" shapeId="0" xr:uid="{00000000-0006-0000-0200-000013000000}">
      <text>
        <r>
          <rPr>
            <b/>
            <sz val="10"/>
            <color indexed="81"/>
            <rFont val="ＭＳ Ｐゴシック"/>
            <family val="3"/>
            <charset val="128"/>
          </rPr>
          <t>コンティンジェンシーを確保した場合に該当金額を記載します。</t>
        </r>
      </text>
    </comment>
    <comment ref="P12" authorId="0" shapeId="0" xr:uid="{00000000-0006-0000-0200-000015000000}">
      <text>
        <r>
          <rPr>
            <b/>
            <sz val="9"/>
            <color indexed="81"/>
            <rFont val="ＭＳ Ｐゴシック"/>
            <family val="3"/>
            <charset val="128"/>
          </rPr>
          <t>リスクの監視期限を
記入します。</t>
        </r>
        <r>
          <rPr>
            <sz val="9"/>
            <color indexed="81"/>
            <rFont val="ＭＳ Ｐゴシック"/>
            <family val="3"/>
            <charset val="128"/>
          </rPr>
          <t xml:space="preserve">
 例) 基本設計完了まで</t>
        </r>
      </text>
    </comment>
    <comment ref="Q12" authorId="0" shapeId="0" xr:uid="{00000000-0006-0000-0200-000016000000}">
      <text>
        <r>
          <rPr>
            <b/>
            <sz val="9"/>
            <color indexed="81"/>
            <rFont val="ＭＳ Ｐゴシック"/>
            <family val="3"/>
            <charset val="128"/>
          </rPr>
          <t>リスクが顕在化したことを認識する現象を
記入します。例えば、工程遅延が1ヶ月等。</t>
        </r>
      </text>
    </comment>
    <comment ref="R12" authorId="0" shapeId="0" xr:uid="{00000000-0006-0000-0200-000017000000}">
      <text>
        <r>
          <rPr>
            <b/>
            <sz val="9"/>
            <color indexed="81"/>
            <rFont val="ＭＳ Ｐゴシック"/>
            <family val="3"/>
            <charset val="128"/>
          </rPr>
          <t>リスクが顕在化した場合に想定される
取るべき処置を記入します。</t>
        </r>
      </text>
    </comment>
    <comment ref="S12" authorId="0" shapeId="0" xr:uid="{00000000-0006-0000-0200-000018000000}">
      <text>
        <r>
          <rPr>
            <b/>
            <sz val="9"/>
            <color indexed="81"/>
            <rFont val="ＭＳ Ｐゴシック"/>
            <family val="3"/>
            <charset val="128"/>
          </rPr>
          <t>リスク状況(監視継続/顕在化/消滅)を確認した日付を記入します。</t>
        </r>
      </text>
    </comment>
    <comment ref="T12" authorId="0" shapeId="0" xr:uid="{00000000-0006-0000-0200-000019000000}">
      <text>
        <r>
          <rPr>
            <b/>
            <sz val="9"/>
            <color indexed="81"/>
            <rFont val="ＭＳ Ｐゴシック"/>
            <family val="3"/>
            <charset val="128"/>
          </rPr>
          <t xml:space="preserve">確認結果を選択します。
(監視継続/顕在化/消滅)
※新たなリスクが発生した場合には、別行にリスクを追加します。
</t>
        </r>
      </text>
    </comment>
    <comment ref="U12" authorId="0" shapeId="0" xr:uid="{00000000-0006-0000-0200-00001A000000}">
      <text>
        <r>
          <rPr>
            <b/>
            <sz val="10"/>
            <color indexed="81"/>
            <rFont val="ＭＳ Ｐゴシック"/>
            <family val="3"/>
            <charset val="128"/>
          </rPr>
          <t xml:space="preserve">リスクが"消滅"となった場合には、消滅の根拠を記載します。
リスクが"顕在化"した場合には、顕在化したリスクに対して行った対策内容を記載します。
</t>
        </r>
      </text>
    </comment>
    <comment ref="V12" authorId="0" shapeId="0" xr:uid="{E42343A0-BFD5-4E40-9120-29EC87A371C6}">
      <text>
        <r>
          <rPr>
            <b/>
            <sz val="10"/>
            <color indexed="81"/>
            <rFont val="ＭＳ Ｐゴシック"/>
            <family val="3"/>
            <charset val="128"/>
          </rPr>
          <t>リスクが顕在化した場合に、使用した費用の実績を記載します。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4" authorId="0" shapeId="0" xr:uid="{00000000-0006-0000-0300-000001000000}">
      <text>
        <r>
          <rPr>
            <b/>
            <sz val="9"/>
            <color indexed="81"/>
            <rFont val="ＭＳ Ｐゴシック"/>
            <family val="3"/>
            <charset val="128"/>
          </rPr>
          <t>PJNAVIに登録されているSI案件コードを記入してください。</t>
        </r>
      </text>
    </comment>
    <comment ref="G4" authorId="0" shapeId="0" xr:uid="{00000000-0006-0000-0300-000002000000}">
      <text>
        <r>
          <rPr>
            <b/>
            <sz val="9"/>
            <color indexed="81"/>
            <rFont val="ＭＳ Ｐゴシック"/>
            <family val="3"/>
            <charset val="128"/>
          </rPr>
          <t>・プロジェクトコードを記入してください。
・プロジェクトコードが確定していない場合には、確定した段階で記入してください。
・プロジェクトコードが複数ある場合には、複数記入してください。</t>
        </r>
      </text>
    </comment>
    <comment ref="C6" authorId="0" shapeId="0" xr:uid="{21AE59FF-83B2-4107-89E8-73901D64C34A}">
      <text>
        <r>
          <rPr>
            <b/>
            <sz val="9"/>
            <color indexed="81"/>
            <rFont val="MS P ゴシック"/>
            <family val="3"/>
            <charset val="128"/>
          </rPr>
          <t>リスク見直しの予定(フェーズ、タイミング)を記入してください。</t>
        </r>
      </text>
    </comment>
    <comment ref="D6" authorId="0" shapeId="0" xr:uid="{8BBCA999-7540-401B-8B26-F96FEE6AE09C}">
      <text>
        <r>
          <rPr>
            <b/>
            <sz val="9"/>
            <color indexed="81"/>
            <rFont val="MS P ゴシック"/>
            <family val="3"/>
            <charset val="128"/>
          </rPr>
          <t>リスク見直しの予定に対する実績の日付を記入してください。</t>
        </r>
      </text>
    </comment>
    <comment ref="F6" authorId="0" shapeId="0" xr:uid="{BCA1D557-1FFE-45A9-B260-F206D9558B22}">
      <text>
        <r>
          <rPr>
            <b/>
            <sz val="9"/>
            <color indexed="81"/>
            <rFont val="MS P ゴシック"/>
            <family val="3"/>
            <charset val="128"/>
          </rPr>
          <t>リスク見直し結果のサマリとして、リスク計画の変更有無を記入してください。
有の場合には、その変更内容を下の表内に更新または新規追加してください。</t>
        </r>
      </text>
    </comment>
  </commentList>
</comments>
</file>

<file path=xl/sharedStrings.xml><?xml version="1.0" encoding="utf-8"?>
<sst xmlns="http://schemas.openxmlformats.org/spreadsheetml/2006/main" count="1274" uniqueCount="801">
  <si>
    <t>案件チェックリスト説明</t>
    <phoneticPr fontId="1"/>
  </si>
  <si>
    <t>目的</t>
    <rPh sb="0" eb="2">
      <t>モクテキ</t>
    </rPh>
    <phoneticPr fontId="1"/>
  </si>
  <si>
    <t>本チェックリストは、各案件におけるリスクを洗い出し、プロジェクトメンバでリスクを共有することを目的とする。
共有したリスクはリスク管理計画シートに記載し、対応策とコンティンジェンシー計画を策定する。</t>
    <rPh sb="0" eb="1">
      <t>ホン</t>
    </rPh>
    <rPh sb="47" eb="49">
      <t>モクテキ</t>
    </rPh>
    <rPh sb="91" eb="93">
      <t>ケイカク</t>
    </rPh>
    <rPh sb="94" eb="96">
      <t>サクテイ</t>
    </rPh>
    <phoneticPr fontId="1"/>
  </si>
  <si>
    <t>使用方法</t>
    <rPh sb="0" eb="2">
      <t>シヨウ</t>
    </rPh>
    <rPh sb="2" eb="4">
      <t>ホウホウ</t>
    </rPh>
    <phoneticPr fontId="1"/>
  </si>
  <si>
    <r>
      <t xml:space="preserve">案件の概算・正式見積提示前の段階で、案件を成功に導くために必要な事柄について、総合的なチェック・検証を行う。
　◆ 当該プロジェクトの案件規模に応じてチェック対象項目を選択する。
　　原則としては全項目についてチェックするのが望ましいが、
　　3000万円以下の案件については「全案件」と記載された項目のみのチェックでも可。 
　　プロジェクトの内容に応じて、適宜チェック対象項目は検討する。
　◆ 概算・正式見積提示前の段階で、本チェックリストをSE・営業部署の双方が協議して実施し、
　　リスクが高いと思われる事象を見つける。
　◆ チェック実施結果よりリスク有となった項目を基に、リスクイベント・リスクインパクト・トリガー・
　　対応策などを検討し、リスク管理計画シートに記載する。
　◆ 本チェックリストで「リスク有」として洗い出されたリスクは、リスク管理計画シートに記入する。
　　（その際、リスク管理計画シートの「リスク観点」項目にて 「リスク有」のリスク項目と紐づけること）
　◆ </t>
    </r>
    <r>
      <rPr>
        <sz val="10"/>
        <color rgb="FFFF0000"/>
        <rFont val="メイリオ"/>
        <family val="3"/>
        <charset val="128"/>
      </rPr>
      <t>チェック実施結果、リスク管理計画シートをプロジェクト管理責任者、営業責任者含めた
　　SE・営業部署双方で共有する。</t>
    </r>
    <r>
      <rPr>
        <sz val="10"/>
        <rFont val="メイリオ"/>
        <family val="3"/>
        <charset val="128"/>
      </rPr>
      <t xml:space="preserve">
当初計画に見直しが発生する場合は、チェック項目を再確認し、新たなリスクがないかを確認する。</t>
    </r>
    <rPh sb="58" eb="60">
      <t>トウガイ</t>
    </rPh>
    <rPh sb="67" eb="69">
      <t>アンケン</t>
    </rPh>
    <rPh sb="69" eb="71">
      <t>キボ</t>
    </rPh>
    <rPh sb="72" eb="73">
      <t>オウ</t>
    </rPh>
    <rPh sb="79" eb="81">
      <t>タイショウ</t>
    </rPh>
    <rPh sb="81" eb="83">
      <t>コウモク</t>
    </rPh>
    <rPh sb="84" eb="86">
      <t>センタク</t>
    </rPh>
    <rPh sb="92" eb="94">
      <t>ゲンソク</t>
    </rPh>
    <rPh sb="98" eb="101">
      <t>ゼンコウモク</t>
    </rPh>
    <rPh sb="113" eb="114">
      <t>ノゾ</t>
    </rPh>
    <rPh sb="128" eb="130">
      <t>イカ</t>
    </rPh>
    <rPh sb="144" eb="146">
      <t>キサイ</t>
    </rPh>
    <rPh sb="149" eb="151">
      <t>コウモク</t>
    </rPh>
    <rPh sb="160" eb="161">
      <t>カ</t>
    </rPh>
    <rPh sb="173" eb="175">
      <t>ナイヨウ</t>
    </rPh>
    <rPh sb="176" eb="177">
      <t>オウ</t>
    </rPh>
    <rPh sb="180" eb="182">
      <t>テキギ</t>
    </rPh>
    <rPh sb="186" eb="188">
      <t>タイショウ</t>
    </rPh>
    <rPh sb="188" eb="190">
      <t>コウモク</t>
    </rPh>
    <rPh sb="191" eb="193">
      <t>ケントウ</t>
    </rPh>
    <rPh sb="229" eb="231">
      <t>ブショ</t>
    </rPh>
    <rPh sb="282" eb="283">
      <t>ア</t>
    </rPh>
    <rPh sb="366" eb="367">
      <t>アラ</t>
    </rPh>
    <rPh sb="368" eb="369">
      <t>ダ</t>
    </rPh>
    <rPh sb="388" eb="390">
      <t>キニュウ</t>
    </rPh>
    <rPh sb="399" eb="400">
      <t>サイ</t>
    </rPh>
    <rPh sb="419" eb="421">
      <t>コウモク</t>
    </rPh>
    <rPh sb="437" eb="438">
      <t>ヒモ</t>
    </rPh>
    <rPh sb="472" eb="473">
      <t>フク</t>
    </rPh>
    <rPh sb="485" eb="487">
      <t>キョウユウ</t>
    </rPh>
    <rPh sb="501" eb="503">
      <t>トウショ</t>
    </rPh>
    <rPh sb="503" eb="505">
      <t>ケイカク</t>
    </rPh>
    <rPh sb="506" eb="508">
      <t>ミナオ</t>
    </rPh>
    <rPh sb="510" eb="512">
      <t>ハッセイ</t>
    </rPh>
    <rPh sb="514" eb="516">
      <t>バアイ</t>
    </rPh>
    <rPh sb="522" eb="524">
      <t>コウモク</t>
    </rPh>
    <rPh sb="525" eb="526">
      <t>サイ</t>
    </rPh>
    <rPh sb="526" eb="528">
      <t>カクニン</t>
    </rPh>
    <rPh sb="530" eb="531">
      <t>アラ</t>
    </rPh>
    <rPh sb="541" eb="543">
      <t>カクニン</t>
    </rPh>
    <phoneticPr fontId="1"/>
  </si>
  <si>
    <t>作成者</t>
    <rPh sb="0" eb="3">
      <t>サクセイシャ</t>
    </rPh>
    <phoneticPr fontId="1"/>
  </si>
  <si>
    <t>PM(SE)、担当営業両者で意見調整を行い、協力して作成する。
PMと営業が一体となり、意識を合わせてプロジェクトを推進することが重要。</t>
    <rPh sb="65" eb="67">
      <t>ジュウヨウ</t>
    </rPh>
    <phoneticPr fontId="1"/>
  </si>
  <si>
    <t>作成・共有タイミング</t>
    <rPh sb="0" eb="2">
      <t>サクセイ</t>
    </rPh>
    <rPh sb="3" eb="5">
      <t>キョウユウ</t>
    </rPh>
    <phoneticPr fontId="1"/>
  </si>
  <si>
    <t>PM(SE)、担当営業が顧客への見積・提案書提示前までに作成し、プロジェクト管理責任者、営業責任者に共有しておく。
RA・見積レビューの対象となる案件の場合は、RA・見積レビュー実施前までにプロジェクト管理責任者、営業責任者に共有しておく。</t>
    <rPh sb="16" eb="18">
      <t>ミツモリ</t>
    </rPh>
    <rPh sb="28" eb="30">
      <t>サクセイ</t>
    </rPh>
    <rPh sb="50" eb="52">
      <t>キョウユウ</t>
    </rPh>
    <rPh sb="61" eb="63">
      <t>ミツモリ</t>
    </rPh>
    <rPh sb="68" eb="70">
      <t>タイショウ</t>
    </rPh>
    <rPh sb="73" eb="75">
      <t>アンケン</t>
    </rPh>
    <rPh sb="76" eb="78">
      <t>バアイ</t>
    </rPh>
    <rPh sb="89" eb="91">
      <t>ジッシ</t>
    </rPh>
    <rPh sb="91" eb="92">
      <t>マエ</t>
    </rPh>
    <rPh sb="113" eb="115">
      <t>キョウユウ</t>
    </rPh>
    <phoneticPr fontId="1"/>
  </si>
  <si>
    <t>案件チェックリスト</t>
    <rPh sb="0" eb="2">
      <t>アンケン</t>
    </rPh>
    <phoneticPr fontId="1"/>
  </si>
  <si>
    <t>顧客名/SI案件名：</t>
    <rPh sb="0" eb="2">
      <t>コキャク</t>
    </rPh>
    <rPh sb="2" eb="3">
      <t>メイ</t>
    </rPh>
    <phoneticPr fontId="1"/>
  </si>
  <si>
    <t>案件名：</t>
    <rPh sb="0" eb="2">
      <t>アンケン</t>
    </rPh>
    <rPh sb="2" eb="3">
      <t>メイ</t>
    </rPh>
    <phoneticPr fontId="1"/>
  </si>
  <si>
    <t>日付：</t>
    <rPh sb="0" eb="2">
      <t>ヒヅケ</t>
    </rPh>
    <phoneticPr fontId="1"/>
  </si>
  <si>
    <t>契約違反時の損害賠償の上限：</t>
    <rPh sb="0" eb="2">
      <t>ケイヤク</t>
    </rPh>
    <rPh sb="2" eb="4">
      <t>イハン</t>
    </rPh>
    <rPh sb="4" eb="5">
      <t>ジ</t>
    </rPh>
    <rPh sb="6" eb="8">
      <t>ソンガイ</t>
    </rPh>
    <rPh sb="8" eb="10">
      <t>バイショウ</t>
    </rPh>
    <rPh sb="11" eb="13">
      <t>ジョウゲン</t>
    </rPh>
    <phoneticPr fontId="1"/>
  </si>
  <si>
    <t>№</t>
    <phoneticPr fontId="1"/>
  </si>
  <si>
    <t>案件
規模</t>
    <rPh sb="0" eb="2">
      <t>アンケン</t>
    </rPh>
    <rPh sb="3" eb="5">
      <t>キボ</t>
    </rPh>
    <phoneticPr fontId="1"/>
  </si>
  <si>
    <t>リスク観点</t>
    <rPh sb="3" eb="5">
      <t>カンテン</t>
    </rPh>
    <phoneticPr fontId="1"/>
  </si>
  <si>
    <t>チェック項目</t>
    <rPh sb="4" eb="6">
      <t>コウモク</t>
    </rPh>
    <phoneticPr fontId="1"/>
  </si>
  <si>
    <t>回答</t>
    <rPh sb="0" eb="2">
      <t>カイトウ</t>
    </rPh>
    <phoneticPr fontId="1"/>
  </si>
  <si>
    <t>説明</t>
    <rPh sb="0" eb="2">
      <t>セツメイ</t>
    </rPh>
    <phoneticPr fontId="1"/>
  </si>
  <si>
    <t>リスク有無</t>
    <rPh sb="3" eb="5">
      <t>ウム</t>
    </rPh>
    <phoneticPr fontId="1"/>
  </si>
  <si>
    <t>1.スコープ定義</t>
    <rPh sb="6" eb="8">
      <t>テイギ</t>
    </rPh>
    <phoneticPr fontId="1"/>
  </si>
  <si>
    <t>3000万円以上</t>
    <rPh sb="4" eb="6">
      <t>マンエン</t>
    </rPh>
    <rPh sb="6" eb="8">
      <t>イジョウ</t>
    </rPh>
    <phoneticPr fontId="1"/>
  </si>
  <si>
    <t>顧客</t>
    <rPh sb="0" eb="2">
      <t>コキャク</t>
    </rPh>
    <phoneticPr fontId="1"/>
  </si>
  <si>
    <t>顧客はプロジェクトの主体性をもっているか。</t>
    <phoneticPr fontId="1"/>
  </si>
  <si>
    <t>No</t>
  </si>
  <si>
    <t>主体性を持っている場合YES</t>
    <rPh sb="0" eb="3">
      <t>シュタイセイ</t>
    </rPh>
    <phoneticPr fontId="1"/>
  </si>
  <si>
    <r>
      <t xml:space="preserve">顧客に主体性がないと要件や仕様などの決定・判断が遅れ、プロジェクト全体のスケジュールに影響を及ぼす。
</t>
    </r>
    <r>
      <rPr>
        <sz val="10"/>
        <rFont val="メイリオ"/>
        <family val="3"/>
        <charset val="128"/>
      </rPr>
      <t xml:space="preserve">
</t>
    </r>
    <r>
      <rPr>
        <sz val="10"/>
        <color indexed="12"/>
        <rFont val="メイリオ"/>
        <family val="3"/>
        <charset val="128"/>
      </rPr>
      <t xml:space="preserve">　《YES回答に該当するか否かの判断条件例》
　・仕様などの決定者が予め規定されている場合
　・仕様・運用などの決定に、エンドユーザーやステークホルダーの参画が見込まれる場合
　・選任チームの構築など、顧客側が主体性を持って臨んでいる場合
</t>
    </r>
    <rPh sb="0" eb="2">
      <t>コキャク</t>
    </rPh>
    <rPh sb="3" eb="6">
      <t>シュタイセイ</t>
    </rPh>
    <rPh sb="10" eb="12">
      <t>ヨウケン</t>
    </rPh>
    <rPh sb="13" eb="15">
      <t>シヨウ</t>
    </rPh>
    <rPh sb="18" eb="20">
      <t>ケッテイ</t>
    </rPh>
    <rPh sb="21" eb="23">
      <t>ハンダン</t>
    </rPh>
    <rPh sb="24" eb="25">
      <t>オク</t>
    </rPh>
    <rPh sb="33" eb="35">
      <t>ゼンタイ</t>
    </rPh>
    <rPh sb="43" eb="45">
      <t>エイキョウ</t>
    </rPh>
    <rPh sb="46" eb="47">
      <t>オヨ</t>
    </rPh>
    <rPh sb="86" eb="87">
      <t>アラカジ</t>
    </rPh>
    <rPh sb="100" eb="102">
      <t>シヨウ</t>
    </rPh>
    <rPh sb="103" eb="105">
      <t>ウンヨウ</t>
    </rPh>
    <rPh sb="108" eb="110">
      <t>ケッテイ</t>
    </rPh>
    <rPh sb="129" eb="131">
      <t>サンカク</t>
    </rPh>
    <rPh sb="132" eb="134">
      <t>ミコ</t>
    </rPh>
    <rPh sb="137" eb="139">
      <t>バアイ</t>
    </rPh>
    <rPh sb="142" eb="144">
      <t>センニン</t>
    </rPh>
    <rPh sb="148" eb="150">
      <t>コウチク</t>
    </rPh>
    <rPh sb="153" eb="155">
      <t>コキャク</t>
    </rPh>
    <rPh sb="155" eb="156">
      <t>ガワ</t>
    </rPh>
    <rPh sb="157" eb="160">
      <t>シュタイセイ</t>
    </rPh>
    <rPh sb="161" eb="162">
      <t>モ</t>
    </rPh>
    <rPh sb="164" eb="165">
      <t>ノゾ</t>
    </rPh>
    <rPh sb="169" eb="171">
      <t>バアイ</t>
    </rPh>
    <phoneticPr fontId="1"/>
  </si>
  <si>
    <t>No
の場合リスク有</t>
    <rPh sb="4" eb="6">
      <t>バアイ</t>
    </rPh>
    <rPh sb="9" eb="10">
      <t>アリ</t>
    </rPh>
    <phoneticPr fontId="1"/>
  </si>
  <si>
    <t>Yes</t>
    <phoneticPr fontId="1"/>
  </si>
  <si>
    <t>顧客・体制</t>
    <rPh sb="0" eb="2">
      <t>コキャク</t>
    </rPh>
    <rPh sb="3" eb="5">
      <t>タイセイ</t>
    </rPh>
    <phoneticPr fontId="1"/>
  </si>
  <si>
    <t>顧客体制の大きな変更が予想されるか。</t>
    <rPh sb="11" eb="13">
      <t>ヨソウ</t>
    </rPh>
    <phoneticPr fontId="1"/>
  </si>
  <si>
    <t>Yes / No</t>
  </si>
  <si>
    <t>変更が予想される場合YES</t>
    <phoneticPr fontId="1"/>
  </si>
  <si>
    <r>
      <t>顧客体制にてキーマンが変更になる場合は、これまでの決定事項や課題などを再度説明したり、決定事項を反故にされる可能性がある。</t>
    </r>
    <r>
      <rPr>
        <sz val="10"/>
        <rFont val="メイリオ"/>
        <family val="3"/>
        <charset val="128"/>
      </rPr>
      <t xml:space="preserve">
</t>
    </r>
    <r>
      <rPr>
        <sz val="10"/>
        <color indexed="12"/>
        <rFont val="メイリオ"/>
        <family val="3"/>
        <charset val="128"/>
      </rPr>
      <t xml:space="preserve">　《YES回答に該当するか否かの判断条件例》
　・プロジェクトが長期間（1年以上）に渡る場合
　・期をまたぐスケジュールである場合
　・機構変更などが発生すると一気に体制が変更になる可能性がある場合
</t>
    </r>
    <rPh sb="0" eb="2">
      <t>コキャク</t>
    </rPh>
    <rPh sb="2" eb="4">
      <t>タイセイ</t>
    </rPh>
    <rPh sb="11" eb="13">
      <t>ヘンコウ</t>
    </rPh>
    <rPh sb="16" eb="18">
      <t>バアイ</t>
    </rPh>
    <rPh sb="25" eb="27">
      <t>ケッテイ</t>
    </rPh>
    <rPh sb="27" eb="29">
      <t>ジコウ</t>
    </rPh>
    <rPh sb="30" eb="32">
      <t>カダイ</t>
    </rPh>
    <rPh sb="35" eb="37">
      <t>サイド</t>
    </rPh>
    <rPh sb="37" eb="39">
      <t>セツメイ</t>
    </rPh>
    <rPh sb="43" eb="45">
      <t>ケッテイ</t>
    </rPh>
    <rPh sb="45" eb="47">
      <t>ジコウ</t>
    </rPh>
    <rPh sb="48" eb="50">
      <t>ホゴ</t>
    </rPh>
    <rPh sb="54" eb="57">
      <t>カノウセイ</t>
    </rPh>
    <rPh sb="131" eb="133">
      <t>キコウ</t>
    </rPh>
    <rPh sb="133" eb="135">
      <t>ヘンコウ</t>
    </rPh>
    <rPh sb="138" eb="140">
      <t>ハッセイ</t>
    </rPh>
    <rPh sb="143" eb="145">
      <t>イッキ</t>
    </rPh>
    <rPh sb="146" eb="148">
      <t>タイセイ</t>
    </rPh>
    <rPh sb="149" eb="151">
      <t>ヘンコウ</t>
    </rPh>
    <rPh sb="154" eb="157">
      <t>カノウセイ</t>
    </rPh>
    <rPh sb="160" eb="162">
      <t>バアイ</t>
    </rPh>
    <phoneticPr fontId="1"/>
  </si>
  <si>
    <t>Yes
の場合リスク有</t>
    <rPh sb="5" eb="7">
      <t>バアイ</t>
    </rPh>
    <rPh sb="10" eb="11">
      <t>アリ</t>
    </rPh>
    <phoneticPr fontId="1"/>
  </si>
  <si>
    <t>No</t>
    <phoneticPr fontId="1"/>
  </si>
  <si>
    <t>全案件</t>
    <rPh sb="0" eb="1">
      <t>ゼン</t>
    </rPh>
    <rPh sb="1" eb="3">
      <t>アンケン</t>
    </rPh>
    <phoneticPr fontId="1"/>
  </si>
  <si>
    <t>顧客・契約</t>
    <rPh sb="0" eb="2">
      <t>コキャク</t>
    </rPh>
    <rPh sb="3" eb="5">
      <t>ケイヤク</t>
    </rPh>
    <phoneticPr fontId="1"/>
  </si>
  <si>
    <t>顧客との契約において、不要な責任を負うことを回避できているか。</t>
    <rPh sb="11" eb="13">
      <t>フヨウ</t>
    </rPh>
    <rPh sb="14" eb="16">
      <t>セキニン</t>
    </rPh>
    <rPh sb="17" eb="18">
      <t>オ</t>
    </rPh>
    <rPh sb="22" eb="24">
      <t>カイヒ</t>
    </rPh>
    <phoneticPr fontId="1"/>
  </si>
  <si>
    <t>回避できている場合
YES</t>
    <rPh sb="0" eb="2">
      <t>カイヒ</t>
    </rPh>
    <rPh sb="7" eb="9">
      <t>バアイ</t>
    </rPh>
    <phoneticPr fontId="1"/>
  </si>
  <si>
    <r>
      <t xml:space="preserve">責任範囲が曖昧な契約は、想定していない損害賠償責任を負う可能性がある。交渉の際にも、不利な条件を受け入れざるを得ないリスクを負う。
</t>
    </r>
    <r>
      <rPr>
        <sz val="10"/>
        <rFont val="メイリオ"/>
        <family val="3"/>
        <charset val="128"/>
      </rPr>
      <t xml:space="preserve">
</t>
    </r>
    <r>
      <rPr>
        <sz val="10"/>
        <color indexed="12"/>
        <rFont val="メイリオ"/>
        <family val="3"/>
        <charset val="128"/>
      </rPr>
      <t xml:space="preserve">　《YES回答に該当するか否かの判断条件例》
  ・請負契約とすべできない作業を準委任契約にしている場合
  ・CTCの免責条件が明記され、明確である場合
  ・権利帰属、知的財産権侵害に関する条項が存在し、明確である場合
  ・オープンソースを利用する場合、基本契約書、或いは、覚書によって不要な責任を負わないことを明確にしている場合
</t>
    </r>
    <rPh sb="5" eb="7">
      <t>アイマイ</t>
    </rPh>
    <rPh sb="8" eb="10">
      <t>ケイヤク</t>
    </rPh>
    <rPh sb="62" eb="63">
      <t>オ</t>
    </rPh>
    <rPh sb="93" eb="95">
      <t>ウケオイ</t>
    </rPh>
    <rPh sb="95" eb="97">
      <t>ケイヤク</t>
    </rPh>
    <rPh sb="104" eb="106">
      <t>サギョウ</t>
    </rPh>
    <rPh sb="117" eb="119">
      <t>バアイ</t>
    </rPh>
    <rPh sb="127" eb="129">
      <t>メンセキ</t>
    </rPh>
    <rPh sb="129" eb="131">
      <t>ジョウケン</t>
    </rPh>
    <rPh sb="132" eb="134">
      <t>メイキ</t>
    </rPh>
    <rPh sb="142" eb="144">
      <t>バアイ</t>
    </rPh>
    <rPh sb="148" eb="150">
      <t>ケンリ</t>
    </rPh>
    <rPh sb="150" eb="152">
      <t>キゾク</t>
    </rPh>
    <rPh sb="157" eb="158">
      <t>ケン</t>
    </rPh>
    <rPh sb="161" eb="162">
      <t>カン</t>
    </rPh>
    <rPh sb="164" eb="166">
      <t>ジョウコウ</t>
    </rPh>
    <rPh sb="167" eb="169">
      <t>ソンザイ</t>
    </rPh>
    <rPh sb="176" eb="178">
      <t>バアイ</t>
    </rPh>
    <rPh sb="190" eb="192">
      <t>リヨウ</t>
    </rPh>
    <rPh sb="194" eb="196">
      <t>バアイ</t>
    </rPh>
    <rPh sb="197" eb="199">
      <t>キホン</t>
    </rPh>
    <rPh sb="199" eb="202">
      <t>ケイヤクショ</t>
    </rPh>
    <rPh sb="203" eb="204">
      <t>アル</t>
    </rPh>
    <rPh sb="207" eb="209">
      <t>オボエガキ</t>
    </rPh>
    <rPh sb="213" eb="215">
      <t>フヨウ</t>
    </rPh>
    <rPh sb="216" eb="218">
      <t>セキニン</t>
    </rPh>
    <rPh sb="219" eb="220">
      <t>オ</t>
    </rPh>
    <rPh sb="226" eb="228">
      <t>メイカク</t>
    </rPh>
    <rPh sb="233" eb="235">
      <t>バアイ</t>
    </rPh>
    <phoneticPr fontId="1"/>
  </si>
  <si>
    <t>社内・体制</t>
    <rPh sb="0" eb="2">
      <t>シャナイ</t>
    </rPh>
    <rPh sb="3" eb="5">
      <t>タイセイ</t>
    </rPh>
    <phoneticPr fontId="1"/>
  </si>
  <si>
    <t>社内体制の大きな変更が予想されるか。</t>
    <rPh sb="0" eb="2">
      <t>シャナイ</t>
    </rPh>
    <rPh sb="2" eb="4">
      <t>タイセイ</t>
    </rPh>
    <rPh sb="5" eb="6">
      <t>オオ</t>
    </rPh>
    <rPh sb="8" eb="10">
      <t>ヘンコウ</t>
    </rPh>
    <rPh sb="11" eb="13">
      <t>ヨソウ</t>
    </rPh>
    <phoneticPr fontId="1"/>
  </si>
  <si>
    <r>
      <t>社内体制にてキーマンが変更になる場合は、引継ぎ・立上がり工数の発生や変更になったメンバのスキルアンマッチといったことが想定される。</t>
    </r>
    <r>
      <rPr>
        <sz val="10"/>
        <rFont val="メイリオ"/>
        <family val="3"/>
        <charset val="128"/>
      </rPr>
      <t xml:space="preserve">
</t>
    </r>
    <r>
      <rPr>
        <sz val="10"/>
        <color indexed="12"/>
        <rFont val="メイリオ"/>
        <family val="3"/>
        <charset val="128"/>
      </rPr>
      <t xml:space="preserve">　《YES回答に該当するか否かの判断条件例》
　・プロジェクトが長期間（1年以上）に渡る場合
　・期をまたぐスケジュールである場合
</t>
    </r>
    <rPh sb="0" eb="2">
      <t>シャナイ</t>
    </rPh>
    <rPh sb="2" eb="4">
      <t>タイセイ</t>
    </rPh>
    <rPh sb="11" eb="13">
      <t>ヘンコウ</t>
    </rPh>
    <rPh sb="16" eb="18">
      <t>バアイ</t>
    </rPh>
    <rPh sb="20" eb="22">
      <t>ヒキツ</t>
    </rPh>
    <rPh sb="24" eb="26">
      <t>タチア</t>
    </rPh>
    <rPh sb="28" eb="30">
      <t>コウスウ</t>
    </rPh>
    <rPh sb="31" eb="33">
      <t>ハッセイ</t>
    </rPh>
    <rPh sb="34" eb="36">
      <t>ヘンコウ</t>
    </rPh>
    <rPh sb="59" eb="61">
      <t>ソウテイ</t>
    </rPh>
    <rPh sb="75" eb="77">
      <t>ガイトウ</t>
    </rPh>
    <rPh sb="80" eb="81">
      <t>イナ</t>
    </rPh>
    <rPh sb="83" eb="85">
      <t>ハンダン</t>
    </rPh>
    <rPh sb="85" eb="87">
      <t>ジョウケン</t>
    </rPh>
    <rPh sb="87" eb="88">
      <t>レイ</t>
    </rPh>
    <rPh sb="99" eb="102">
      <t>チョウキカン</t>
    </rPh>
    <rPh sb="109" eb="110">
      <t>ワタ</t>
    </rPh>
    <rPh sb="111" eb="113">
      <t>バアイ</t>
    </rPh>
    <rPh sb="116" eb="117">
      <t>キ</t>
    </rPh>
    <rPh sb="130" eb="132">
      <t>バアイ</t>
    </rPh>
    <phoneticPr fontId="1"/>
  </si>
  <si>
    <t>工期・納期</t>
    <rPh sb="0" eb="2">
      <t>コウキ</t>
    </rPh>
    <rPh sb="3" eb="5">
      <t>ノウキ</t>
    </rPh>
    <phoneticPr fontId="1"/>
  </si>
  <si>
    <t>根拠に基づいた適正な工期を確保しているか。</t>
    <rPh sb="0" eb="2">
      <t>コンキョ</t>
    </rPh>
    <rPh sb="3" eb="4">
      <t>モト</t>
    </rPh>
    <rPh sb="7" eb="9">
      <t>テキセイ</t>
    </rPh>
    <rPh sb="10" eb="12">
      <t>コウキ</t>
    </rPh>
    <rPh sb="13" eb="15">
      <t>カクホ</t>
    </rPh>
    <phoneticPr fontId="1"/>
  </si>
  <si>
    <t>根拠に基づいている場合YES</t>
    <phoneticPr fontId="1"/>
  </si>
  <si>
    <r>
      <t xml:space="preserve">適正な工期を正しく確保せず短納期となる場合、作業品質の劣化・レビューの省略・課題の先送りなどにつながり、納期が間延びしている場合、不要なコスト増につながる。
</t>
    </r>
    <r>
      <rPr>
        <sz val="10"/>
        <rFont val="メイリオ"/>
        <family val="3"/>
        <charset val="128"/>
      </rPr>
      <t xml:space="preserve">
</t>
    </r>
    <r>
      <rPr>
        <sz val="10"/>
        <color indexed="12"/>
        <rFont val="メイリオ"/>
        <family val="3"/>
        <charset val="128"/>
      </rPr>
      <t xml:space="preserve">　《YES回答に該当するか否かの判断条件例》
　・標準工期に比べて長すぎたり、短すぎたりしていない場合
　・各工程の工期比率が適正である場合
　・実現性のあるマイルストーン、クリティカルパスが設定されている場合
</t>
    </r>
    <rPh sb="0" eb="2">
      <t>テキセイ</t>
    </rPh>
    <rPh sb="6" eb="7">
      <t>タダ</t>
    </rPh>
    <rPh sb="9" eb="11">
      <t>カクホ</t>
    </rPh>
    <rPh sb="13" eb="16">
      <t>タンノウキ</t>
    </rPh>
    <rPh sb="19" eb="21">
      <t>バアイ</t>
    </rPh>
    <rPh sb="22" eb="24">
      <t>サギョウ</t>
    </rPh>
    <rPh sb="24" eb="26">
      <t>ヒンシツ</t>
    </rPh>
    <rPh sb="27" eb="29">
      <t>レッカ</t>
    </rPh>
    <rPh sb="35" eb="37">
      <t>ショウリャク</t>
    </rPh>
    <rPh sb="38" eb="40">
      <t>カダイ</t>
    </rPh>
    <rPh sb="41" eb="43">
      <t>サキオク</t>
    </rPh>
    <rPh sb="52" eb="54">
      <t>ノウキ</t>
    </rPh>
    <rPh sb="55" eb="57">
      <t>マノ</t>
    </rPh>
    <rPh sb="62" eb="64">
      <t>バアイ</t>
    </rPh>
    <rPh sb="65" eb="67">
      <t>フヨウ</t>
    </rPh>
    <rPh sb="71" eb="72">
      <t>ゾウ</t>
    </rPh>
    <rPh sb="105" eb="107">
      <t>ヒョウジュン</t>
    </rPh>
    <rPh sb="107" eb="109">
      <t>コウキ</t>
    </rPh>
    <rPh sb="110" eb="111">
      <t>クラ</t>
    </rPh>
    <rPh sb="113" eb="114">
      <t>ナガ</t>
    </rPh>
    <rPh sb="119" eb="120">
      <t>ミジカ</t>
    </rPh>
    <rPh sb="129" eb="131">
      <t>バアイ</t>
    </rPh>
    <rPh sb="134" eb="137">
      <t>カクコウテイ</t>
    </rPh>
    <rPh sb="138" eb="140">
      <t>コウキ</t>
    </rPh>
    <rPh sb="140" eb="142">
      <t>ヒリツ</t>
    </rPh>
    <rPh sb="143" eb="145">
      <t>テキセイ</t>
    </rPh>
    <rPh sb="148" eb="150">
      <t>バアイ</t>
    </rPh>
    <phoneticPr fontId="1"/>
  </si>
  <si>
    <t>2.要件洗い出し</t>
    <rPh sb="2" eb="4">
      <t>ヨウケン</t>
    </rPh>
    <rPh sb="4" eb="5">
      <t>アラ</t>
    </rPh>
    <rPh sb="6" eb="7">
      <t>ダ</t>
    </rPh>
    <phoneticPr fontId="1"/>
  </si>
  <si>
    <t>役割・責任</t>
    <rPh sb="0" eb="2">
      <t>ヤクワリ</t>
    </rPh>
    <rPh sb="3" eb="5">
      <t>セキニン</t>
    </rPh>
    <phoneticPr fontId="1"/>
  </si>
  <si>
    <t>顧客・CTC・委託先の役割・責任範囲は明確になっているか。</t>
    <rPh sb="0" eb="2">
      <t>コキャク</t>
    </rPh>
    <rPh sb="7" eb="10">
      <t>イタクサキ</t>
    </rPh>
    <rPh sb="11" eb="13">
      <t>ヤクワリ</t>
    </rPh>
    <rPh sb="14" eb="16">
      <t>セキニン</t>
    </rPh>
    <rPh sb="16" eb="18">
      <t>ハンイ</t>
    </rPh>
    <rPh sb="19" eb="21">
      <t>メイカク</t>
    </rPh>
    <phoneticPr fontId="1"/>
  </si>
  <si>
    <t>明確な場合YES</t>
    <phoneticPr fontId="1"/>
  </si>
  <si>
    <r>
      <t xml:space="preserve">役割・責任範囲を明確にしないと、見積範囲外の作業についても要求される可能性がある。プロジェクトの進捗に支障が出てくると、Sierに任せた事を強調し作業を押しつけてくる顧客もいる。
</t>
    </r>
    <r>
      <rPr>
        <sz val="10"/>
        <rFont val="メイリオ"/>
        <family val="3"/>
        <charset val="128"/>
      </rPr>
      <t xml:space="preserve">
</t>
    </r>
    <r>
      <rPr>
        <sz val="10"/>
        <color indexed="12"/>
        <rFont val="メイリオ"/>
        <family val="3"/>
        <charset val="128"/>
      </rPr>
      <t xml:space="preserve">　《YES回答に該当するか否かの判断条件例》
　・ロールと役割分担が顧客：CTC：委託先間で定義されている場合
　・受託した工程・作業に対する役割が明確である場合
</t>
    </r>
    <rPh sb="5" eb="7">
      <t>ハンイ</t>
    </rPh>
    <rPh sb="8" eb="10">
      <t>メイカク</t>
    </rPh>
    <rPh sb="16" eb="18">
      <t>ミツ</t>
    </rPh>
    <rPh sb="18" eb="20">
      <t>ハンイ</t>
    </rPh>
    <rPh sb="20" eb="21">
      <t>ガイ</t>
    </rPh>
    <rPh sb="22" eb="24">
      <t>サギョウ</t>
    </rPh>
    <rPh sb="29" eb="31">
      <t>ヨウキュウ</t>
    </rPh>
    <rPh sb="34" eb="37">
      <t>カノウセイ</t>
    </rPh>
    <rPh sb="48" eb="50">
      <t>シンチョク</t>
    </rPh>
    <rPh sb="51" eb="53">
      <t>シショウ</t>
    </rPh>
    <rPh sb="54" eb="55">
      <t>デ</t>
    </rPh>
    <rPh sb="65" eb="66">
      <t>マカ</t>
    </rPh>
    <rPh sb="68" eb="69">
      <t>コト</t>
    </rPh>
    <rPh sb="70" eb="72">
      <t>キョウチョウ</t>
    </rPh>
    <rPh sb="73" eb="75">
      <t>サギョウ</t>
    </rPh>
    <rPh sb="76" eb="77">
      <t>オ</t>
    </rPh>
    <rPh sb="83" eb="85">
      <t>コキャク</t>
    </rPh>
    <rPh sb="120" eb="122">
      <t>ヤクワリ</t>
    </rPh>
    <rPh sb="122" eb="124">
      <t>ブンタン</t>
    </rPh>
    <rPh sb="125" eb="127">
      <t>コキャク</t>
    </rPh>
    <rPh sb="132" eb="135">
      <t>イタクサキ</t>
    </rPh>
    <rPh sb="135" eb="136">
      <t>カン</t>
    </rPh>
    <rPh sb="144" eb="146">
      <t>バアイ</t>
    </rPh>
    <phoneticPr fontId="1"/>
  </si>
  <si>
    <t>コミュニケーション</t>
    <phoneticPr fontId="1"/>
  </si>
  <si>
    <t>顧客・委託先との会議体・窓口などのコミュニケーションルートは明確か。</t>
    <rPh sb="0" eb="2">
      <t>コキャク</t>
    </rPh>
    <rPh sb="3" eb="6">
      <t>イタクサキ</t>
    </rPh>
    <rPh sb="8" eb="10">
      <t>カイギ</t>
    </rPh>
    <rPh sb="10" eb="11">
      <t>タイ</t>
    </rPh>
    <rPh sb="12" eb="13">
      <t>マド</t>
    </rPh>
    <rPh sb="13" eb="14">
      <t>クチ</t>
    </rPh>
    <rPh sb="30" eb="32">
      <t>メイカク</t>
    </rPh>
    <phoneticPr fontId="1"/>
  </si>
  <si>
    <r>
      <t xml:space="preserve">会議体やコミュニケーション・ルートが確立されていないと、情報が適切に伝達されず、決定事項が覆る可能性がある。また、問題発生時に、迅速かつ適切な判断・意思決定ができなくなる。
</t>
    </r>
    <r>
      <rPr>
        <sz val="10"/>
        <rFont val="メイリオ"/>
        <family val="3"/>
        <charset val="128"/>
      </rPr>
      <t xml:space="preserve">
</t>
    </r>
    <r>
      <rPr>
        <sz val="10"/>
        <color indexed="12"/>
        <rFont val="メイリオ"/>
        <family val="3"/>
        <charset val="128"/>
      </rPr>
      <t xml:space="preserve">　《YES回答に該当するか否かの判断条件例》
　・顧客や委託先との会議体が定義・共有されている場合
　・顧客や委託先とのコミュニケーションパス（IPT図）が定義・共有されている場合
</t>
    </r>
    <rPh sb="0" eb="2">
      <t>カイギ</t>
    </rPh>
    <rPh sb="2" eb="3">
      <t>タイ</t>
    </rPh>
    <rPh sb="18" eb="20">
      <t>カクリツ</t>
    </rPh>
    <rPh sb="40" eb="42">
      <t>ケッテイ</t>
    </rPh>
    <rPh sb="42" eb="44">
      <t>ジコウ</t>
    </rPh>
    <rPh sb="45" eb="46">
      <t>クツガエ</t>
    </rPh>
    <rPh sb="47" eb="50">
      <t>カノウセイ</t>
    </rPh>
    <rPh sb="71" eb="73">
      <t>ハンダン</t>
    </rPh>
    <rPh sb="113" eb="115">
      <t>コキャク</t>
    </rPh>
    <rPh sb="116" eb="119">
      <t>イタクサキ</t>
    </rPh>
    <rPh sb="121" eb="123">
      <t>カイギ</t>
    </rPh>
    <rPh sb="123" eb="124">
      <t>タイ</t>
    </rPh>
    <rPh sb="125" eb="127">
      <t>テイギ</t>
    </rPh>
    <rPh sb="128" eb="130">
      <t>キョウユウ</t>
    </rPh>
    <rPh sb="135" eb="137">
      <t>バアイ</t>
    </rPh>
    <rPh sb="163" eb="164">
      <t>ズ</t>
    </rPh>
    <phoneticPr fontId="1"/>
  </si>
  <si>
    <t>要求・要件</t>
    <rPh sb="0" eb="2">
      <t>ヨウキュウ</t>
    </rPh>
    <rPh sb="3" eb="5">
      <t>ヨウケン</t>
    </rPh>
    <phoneticPr fontId="1"/>
  </si>
  <si>
    <t>顧客要求を思い込みや想定で、判断していないか。</t>
    <rPh sb="2" eb="4">
      <t>ヨウキュウ</t>
    </rPh>
    <rPh sb="14" eb="16">
      <t>ハンダン</t>
    </rPh>
    <phoneticPr fontId="1"/>
  </si>
  <si>
    <t>Yes / No</t>
    <phoneticPr fontId="1"/>
  </si>
  <si>
    <t>思い込みや想定で判断していない場合YES</t>
    <phoneticPr fontId="1"/>
  </si>
  <si>
    <r>
      <t xml:space="preserve">顧客要求を理解しているつもりであっても、認識・理解が相違している場合がある。特に、システムの重要度（性能・信頼性）やシステムの利用範囲（利用対象国，機密情報・個人情報取扱の有無）などの非機能要件については差異が生じやすい。プロジェクト開始後に認識の差異が発生し発覚した場合、顧客との調整に期間を要し、合意が得られない場合にはスケジュール変更や、追加の設計のためのリソース追加が発生するリスクが生じる。
</t>
    </r>
    <r>
      <rPr>
        <sz val="10"/>
        <rFont val="メイリオ"/>
        <family val="3"/>
        <charset val="128"/>
      </rPr>
      <t xml:space="preserve">
</t>
    </r>
    <r>
      <rPr>
        <sz val="10"/>
        <color indexed="12"/>
        <rFont val="メイリオ"/>
        <family val="3"/>
        <charset val="128"/>
      </rPr>
      <t xml:space="preserve">　《YES回答に該当するか否かの判断条件例》
　・顧客要求を元に、要件を明文化している場合
　・実装できない部分や対象外となる機能を明文化している場合
　・ベンダ／メーカーや委託先の見解を鵜呑みにせず、しっかり裏どりしている場合
  ・「現行維持」要求に対して、現行システムを十分に調査している場合
</t>
    </r>
    <r>
      <rPr>
        <sz val="10"/>
        <rFont val="メイリオ"/>
        <family val="3"/>
        <charset val="128"/>
      </rPr>
      <t xml:space="preserve">
※アプリケーション開発の非機能要件の抜け漏れ確認には、本ファイル内の「【参考】非機能一覧(開発見積用）」シートをご活用ください。</t>
    </r>
    <rPh sb="38" eb="39">
      <t>トク</t>
    </rPh>
    <rPh sb="92" eb="93">
      <t>ヒ</t>
    </rPh>
    <rPh sb="93" eb="95">
      <t>キノウ</t>
    </rPh>
    <rPh sb="95" eb="97">
      <t>ヨウケン</t>
    </rPh>
    <rPh sb="102" eb="104">
      <t>サイ</t>
    </rPh>
    <rPh sb="105" eb="106">
      <t>ショウ</t>
    </rPh>
    <rPh sb="134" eb="136">
      <t>バアイ</t>
    </rPh>
    <rPh sb="137" eb="139">
      <t>コキャク</t>
    </rPh>
    <rPh sb="141" eb="143">
      <t>チョウセイ</t>
    </rPh>
    <rPh sb="144" eb="146">
      <t>キカン</t>
    </rPh>
    <rPh sb="147" eb="148">
      <t>ヨウ</t>
    </rPh>
    <rPh sb="150" eb="152">
      <t>ゴウイ</t>
    </rPh>
    <rPh sb="153" eb="154">
      <t>エ</t>
    </rPh>
    <rPh sb="158" eb="160">
      <t>バアイ</t>
    </rPh>
    <rPh sb="168" eb="170">
      <t>ヘンコウ</t>
    </rPh>
    <rPh sb="172" eb="174">
      <t>ツイカ</t>
    </rPh>
    <rPh sb="175" eb="177">
      <t>セッケイ</t>
    </rPh>
    <rPh sb="185" eb="187">
      <t>ツイカ</t>
    </rPh>
    <rPh sb="188" eb="190">
      <t>ハッセイ</t>
    </rPh>
    <rPh sb="196" eb="197">
      <t>ショウ</t>
    </rPh>
    <rPh sb="235" eb="237">
      <t>ヨウケン</t>
    </rPh>
    <rPh sb="238" eb="241">
      <t>メイブンカ</t>
    </rPh>
    <rPh sb="362" eb="364">
      <t>カイハツ</t>
    </rPh>
    <rPh sb="380" eb="381">
      <t>ホン</t>
    </rPh>
    <rPh sb="385" eb="386">
      <t>ナイ</t>
    </rPh>
    <rPh sb="389" eb="391">
      <t>サンコウ</t>
    </rPh>
    <phoneticPr fontId="1"/>
  </si>
  <si>
    <t>RFP、ヒアリング等で顧客要求が具体的でなく、要求変更につながる曖昧な部分があるか。</t>
    <phoneticPr fontId="1"/>
  </si>
  <si>
    <t>具体的でなく曖昧な部分がある場合YES</t>
    <phoneticPr fontId="1"/>
  </si>
  <si>
    <r>
      <t>顧客要求の不明確さ、曖昧さは手戻りやトラブルになりやすく、コスト増加だけでなくプロジェクトの成否も左右しかねない。また、顧客要求を実現するための要件として定義する場合、この要件を基に見積を実施することになる為、曖昧な定義や具体化されていない定義は、見積がぶれやすくなる。</t>
    </r>
    <r>
      <rPr>
        <sz val="10"/>
        <rFont val="メイリオ"/>
        <family val="3"/>
        <charset val="128"/>
      </rPr>
      <t xml:space="preserve">
</t>
    </r>
    <r>
      <rPr>
        <sz val="10"/>
        <color indexed="12"/>
        <rFont val="メイリオ"/>
        <family val="3"/>
        <charset val="128"/>
      </rPr>
      <t xml:space="preserve">　《YES回答に該当するか否かの判断条件例》
　・要求を満たすためにどのような業務改善をするのか5W2Hなどで具体化されていない場合
　・業務要件を満たすためにどのような技術・製品を利用するのか、非機能面でも定量的に記載がなく、システム要件として具体化されていない場合
　・不明確な部分について明確化するための、要件定義工程、事前検証などが実施できない場合
</t>
    </r>
    <r>
      <rPr>
        <b/>
        <sz val="10"/>
        <color indexed="12"/>
        <rFont val="メイリオ"/>
        <family val="3"/>
        <charset val="128"/>
      </rPr>
      <t>　</t>
    </r>
    <r>
      <rPr>
        <sz val="10"/>
        <color indexed="12"/>
        <rFont val="メイリオ"/>
        <family val="3"/>
        <charset val="128"/>
      </rPr>
      <t xml:space="preserve">・変更プロセス等を明文化していない場合
</t>
    </r>
    <r>
      <rPr>
        <sz val="10"/>
        <rFont val="メイリオ"/>
        <family val="3"/>
        <charset val="128"/>
      </rPr>
      <t xml:space="preserve">
※アプリケーション開発の非機能要件の抜け漏れ確認には、本ファイル内の「【参考】非機能一覧(開発見積用）」シートをご活用ください。</t>
    </r>
    <rPh sb="32" eb="34">
      <t>ゾウカ</t>
    </rPh>
    <rPh sb="60" eb="62">
      <t>コキャク</t>
    </rPh>
    <rPh sb="62" eb="64">
      <t>ヨウキュウ</t>
    </rPh>
    <rPh sb="65" eb="67">
      <t>ジツゲン</t>
    </rPh>
    <rPh sb="72" eb="74">
      <t>ヨウケン</t>
    </rPh>
    <rPh sb="77" eb="79">
      <t>テイギ</t>
    </rPh>
    <rPh sb="81" eb="83">
      <t>バアイ</t>
    </rPh>
    <rPh sb="86" eb="88">
      <t>ヨウケン</t>
    </rPh>
    <rPh sb="89" eb="90">
      <t>モト</t>
    </rPh>
    <rPh sb="91" eb="93">
      <t>ミツモリ</t>
    </rPh>
    <rPh sb="94" eb="96">
      <t>ジッシ</t>
    </rPh>
    <rPh sb="103" eb="104">
      <t>タメ</t>
    </rPh>
    <rPh sb="105" eb="107">
      <t>アイマイ</t>
    </rPh>
    <rPh sb="108" eb="110">
      <t>テイギ</t>
    </rPh>
    <rPh sb="111" eb="114">
      <t>グタイカ</t>
    </rPh>
    <rPh sb="120" eb="122">
      <t>テイギ</t>
    </rPh>
    <rPh sb="124" eb="126">
      <t>ミツモリ</t>
    </rPh>
    <rPh sb="162" eb="164">
      <t>ヨウキュウ</t>
    </rPh>
    <rPh sb="165" eb="166">
      <t>ミ</t>
    </rPh>
    <rPh sb="176" eb="178">
      <t>ギョウム</t>
    </rPh>
    <rPh sb="178" eb="180">
      <t>カイゼン</t>
    </rPh>
    <rPh sb="192" eb="195">
      <t>グタイカ</t>
    </rPh>
    <rPh sb="201" eb="203">
      <t>バアイ</t>
    </rPh>
    <rPh sb="206" eb="208">
      <t>ギョウム</t>
    </rPh>
    <rPh sb="208" eb="210">
      <t>ヨウケン</t>
    </rPh>
    <rPh sb="211" eb="212">
      <t>ミ</t>
    </rPh>
    <rPh sb="222" eb="224">
      <t>ギジュツ</t>
    </rPh>
    <rPh sb="225" eb="227">
      <t>セイヒン</t>
    </rPh>
    <rPh sb="228" eb="230">
      <t>リヨウ</t>
    </rPh>
    <rPh sb="235" eb="236">
      <t>ヒ</t>
    </rPh>
    <rPh sb="236" eb="238">
      <t>キノウ</t>
    </rPh>
    <rPh sb="238" eb="239">
      <t>メン</t>
    </rPh>
    <rPh sb="241" eb="244">
      <t>テイリョウテキ</t>
    </rPh>
    <rPh sb="245" eb="247">
      <t>キサイ</t>
    </rPh>
    <rPh sb="255" eb="257">
      <t>ヨウケン</t>
    </rPh>
    <rPh sb="269" eb="271">
      <t>バアイ</t>
    </rPh>
    <rPh sb="274" eb="277">
      <t>フメイカク</t>
    </rPh>
    <rPh sb="278" eb="280">
      <t>ブブン</t>
    </rPh>
    <rPh sb="284" eb="287">
      <t>メイカクカ</t>
    </rPh>
    <rPh sb="293" eb="295">
      <t>ヨウケン</t>
    </rPh>
    <rPh sb="295" eb="297">
      <t>テイギ</t>
    </rPh>
    <rPh sb="297" eb="299">
      <t>コウテイ</t>
    </rPh>
    <rPh sb="300" eb="302">
      <t>ジゼン</t>
    </rPh>
    <rPh sb="302" eb="304">
      <t>ケンショウ</t>
    </rPh>
    <rPh sb="307" eb="309">
      <t>ジッシ</t>
    </rPh>
    <rPh sb="313" eb="315">
      <t>バアイ</t>
    </rPh>
    <rPh sb="326" eb="329">
      <t>メイブンカ</t>
    </rPh>
    <rPh sb="334" eb="336">
      <t>バアイ</t>
    </rPh>
    <phoneticPr fontId="1"/>
  </si>
  <si>
    <t>見積の変動要素となる要件を抜け漏れなく定義できているか。</t>
    <rPh sb="0" eb="2">
      <t>ミツ</t>
    </rPh>
    <rPh sb="13" eb="14">
      <t>ヌ</t>
    </rPh>
    <rPh sb="15" eb="16">
      <t>モ</t>
    </rPh>
    <rPh sb="19" eb="21">
      <t>テイギ</t>
    </rPh>
    <phoneticPr fontId="1"/>
  </si>
  <si>
    <t>漏れがない場合YES</t>
    <phoneticPr fontId="1"/>
  </si>
  <si>
    <r>
      <t>システムの機能要件、非機能要件の実現方式、付帯サービスに抜け漏れがあると、追加のドキュメント作成や仕様変更を飲まざるを得なくなり、手戻りによる納期遅延や工数増加が発生する。</t>
    </r>
    <r>
      <rPr>
        <sz val="10"/>
        <rFont val="メイリオ"/>
        <family val="3"/>
        <charset val="128"/>
      </rPr>
      <t xml:space="preserve">
</t>
    </r>
    <r>
      <rPr>
        <sz val="10"/>
        <color indexed="12"/>
        <rFont val="メイリオ"/>
        <family val="3"/>
        <charset val="128"/>
      </rPr>
      <t xml:space="preserve">　《YES回答に該当するか否かの判断条件例》
　・提供するシステム機能・作成するドキュメントの記載範囲・記載粒度・承認プロセスなどが明確である場合
　・性能・信頼性の要件を丸呑みしておらず、実現方法・前提条件を明らかにしている場合
　・利用者向け教育・マニュアルの作成や稼動後の顧客サポートなどの付帯サービスが明確である場合
</t>
    </r>
    <r>
      <rPr>
        <sz val="10"/>
        <color indexed="10"/>
        <rFont val="メイリオ"/>
        <family val="3"/>
        <charset val="128"/>
      </rPr>
      <t xml:space="preserve">
</t>
    </r>
    <r>
      <rPr>
        <sz val="10"/>
        <rFont val="メイリオ"/>
        <family val="3"/>
        <charset val="128"/>
      </rPr>
      <t>※アプリケーション開発の非機能要件の抜け漏れ確認には、本ファイル内の「【参考】非機能一覧(開発見積用）」シートをご活用ください。</t>
    </r>
    <rPh sb="5" eb="7">
      <t>キノウ</t>
    </rPh>
    <rPh sb="7" eb="9">
      <t>ヨウケン</t>
    </rPh>
    <rPh sb="16" eb="18">
      <t>ジツゲン</t>
    </rPh>
    <rPh sb="18" eb="20">
      <t>ホウシキ</t>
    </rPh>
    <rPh sb="21" eb="23">
      <t>フタイ</t>
    </rPh>
    <rPh sb="28" eb="29">
      <t>ヌ</t>
    </rPh>
    <rPh sb="30" eb="31">
      <t>モ</t>
    </rPh>
    <rPh sb="124" eb="126">
      <t>サクセイ</t>
    </rPh>
    <rPh sb="135" eb="137">
      <t>キサイ</t>
    </rPh>
    <rPh sb="137" eb="139">
      <t>ハンイ</t>
    </rPh>
    <rPh sb="140" eb="142">
      <t>キサイ</t>
    </rPh>
    <rPh sb="142" eb="144">
      <t>リュウド</t>
    </rPh>
    <rPh sb="145" eb="147">
      <t>ショウニン</t>
    </rPh>
    <rPh sb="154" eb="156">
      <t>メイカク</t>
    </rPh>
    <rPh sb="159" eb="161">
      <t>バアイ</t>
    </rPh>
    <rPh sb="171" eb="173">
      <t>ヨウケン</t>
    </rPh>
    <rPh sb="174" eb="176">
      <t>マルノ</t>
    </rPh>
    <rPh sb="183" eb="185">
      <t>ジツゲン</t>
    </rPh>
    <rPh sb="185" eb="187">
      <t>ホウホウ</t>
    </rPh>
    <rPh sb="188" eb="190">
      <t>ゼンテイ</t>
    </rPh>
    <rPh sb="190" eb="192">
      <t>ジョウケン</t>
    </rPh>
    <rPh sb="193" eb="194">
      <t>アキ</t>
    </rPh>
    <rPh sb="201" eb="203">
      <t>バアイ</t>
    </rPh>
    <rPh sb="206" eb="209">
      <t>リヨウシャ</t>
    </rPh>
    <rPh sb="209" eb="210">
      <t>ム</t>
    </rPh>
    <rPh sb="220" eb="222">
      <t>サクセイ</t>
    </rPh>
    <rPh sb="223" eb="225">
      <t>カドウ</t>
    </rPh>
    <rPh sb="225" eb="226">
      <t>ゴ</t>
    </rPh>
    <rPh sb="227" eb="229">
      <t>コキャク</t>
    </rPh>
    <rPh sb="236" eb="238">
      <t>フタイ</t>
    </rPh>
    <rPh sb="248" eb="250">
      <t>バアイ</t>
    </rPh>
    <phoneticPr fontId="1"/>
  </si>
  <si>
    <t>要件・難易度</t>
    <rPh sb="0" eb="2">
      <t>ヨウケン</t>
    </rPh>
    <rPh sb="3" eb="6">
      <t>ナンイド</t>
    </rPh>
    <phoneticPr fontId="1"/>
  </si>
  <si>
    <t>要件に対する案件の（業務的・技術的）難易度を把握しているか。</t>
    <rPh sb="0" eb="2">
      <t>ヨウケン</t>
    </rPh>
    <rPh sb="3" eb="4">
      <t>タイ</t>
    </rPh>
    <rPh sb="6" eb="7">
      <t>アン</t>
    </rPh>
    <rPh sb="7" eb="8">
      <t>ケン</t>
    </rPh>
    <rPh sb="18" eb="21">
      <t>ナンイド</t>
    </rPh>
    <rPh sb="22" eb="24">
      <t>ハアク</t>
    </rPh>
    <phoneticPr fontId="1"/>
  </si>
  <si>
    <t>難易度を把握している場合YES</t>
    <rPh sb="0" eb="3">
      <t>ナンイド</t>
    </rPh>
    <rPh sb="4" eb="6">
      <t>ハアク</t>
    </rPh>
    <rPh sb="10" eb="12">
      <t>バアイ</t>
    </rPh>
    <phoneticPr fontId="1"/>
  </si>
  <si>
    <r>
      <t xml:space="preserve">顧客要求実現に向けた業務領域の新規性、システムに求められる性能・信頼性レベルを把握しているか否かは、見積もり精度に特に影響を及ぼす。
</t>
    </r>
    <r>
      <rPr>
        <sz val="10"/>
        <rFont val="メイリオ"/>
        <family val="3"/>
        <charset val="128"/>
      </rPr>
      <t xml:space="preserve">
</t>
    </r>
    <r>
      <rPr>
        <sz val="10"/>
        <color indexed="12"/>
        <rFont val="メイリオ"/>
        <family val="3"/>
        <charset val="128"/>
      </rPr>
      <t xml:space="preserve">　《YES回答に該当するか否かの判断条件例》
　・業務要求に対して顧客自体が明確な解を持っている場合
　・CTC社内に参考に出来る同類の案件が存在する場合
　・特別な法律や会計方式など、要件を実現する専門知識を有している場合
  ・性能やUI等に実現困難な要件が隠れていないことを確認している場合
</t>
    </r>
    <rPh sb="0" eb="2">
      <t>コキャク</t>
    </rPh>
    <rPh sb="2" eb="4">
      <t>ヨウキュウ</t>
    </rPh>
    <rPh sb="4" eb="6">
      <t>ジツゲン</t>
    </rPh>
    <rPh sb="7" eb="8">
      <t>ム</t>
    </rPh>
    <rPh sb="10" eb="11">
      <t>ギョウ</t>
    </rPh>
    <rPh sb="11" eb="12">
      <t>ム</t>
    </rPh>
    <rPh sb="12" eb="14">
      <t>リョウイキ</t>
    </rPh>
    <rPh sb="15" eb="18">
      <t>シンキセイ</t>
    </rPh>
    <rPh sb="24" eb="25">
      <t>モト</t>
    </rPh>
    <rPh sb="39" eb="41">
      <t>ハアク</t>
    </rPh>
    <rPh sb="46" eb="47">
      <t>イナ</t>
    </rPh>
    <rPh sb="50" eb="52">
      <t>ミツ</t>
    </rPh>
    <rPh sb="54" eb="56">
      <t>セイド</t>
    </rPh>
    <rPh sb="59" eb="61">
      <t>エイキョウ</t>
    </rPh>
    <rPh sb="62" eb="63">
      <t>オヨ</t>
    </rPh>
    <phoneticPr fontId="1"/>
  </si>
  <si>
    <t>要件・法令</t>
    <rPh sb="0" eb="2">
      <t>ヨウケン</t>
    </rPh>
    <rPh sb="3" eb="5">
      <t>ホウレイ</t>
    </rPh>
    <phoneticPr fontId="1"/>
  </si>
  <si>
    <t>顧客要求/要件の中に、全社管理の法律、法令以外に個別に遵守すべき法律はないか。</t>
    <rPh sb="0" eb="2">
      <t>コキャク</t>
    </rPh>
    <rPh sb="2" eb="4">
      <t>ヨウキュウ</t>
    </rPh>
    <rPh sb="5" eb="7">
      <t>ヨウケン</t>
    </rPh>
    <rPh sb="8" eb="9">
      <t>ナカ</t>
    </rPh>
    <rPh sb="11" eb="13">
      <t>ゼンシャ</t>
    </rPh>
    <rPh sb="13" eb="15">
      <t>カンリ</t>
    </rPh>
    <rPh sb="16" eb="18">
      <t>ホウリツ</t>
    </rPh>
    <rPh sb="19" eb="21">
      <t>ホウレイ</t>
    </rPh>
    <rPh sb="21" eb="23">
      <t>イガイ</t>
    </rPh>
    <rPh sb="24" eb="26">
      <t>コベツ</t>
    </rPh>
    <rPh sb="27" eb="29">
      <t>ジュンシュ</t>
    </rPh>
    <rPh sb="32" eb="34">
      <t>ホウリツ</t>
    </rPh>
    <phoneticPr fontId="1"/>
  </si>
  <si>
    <t>個別に遵守すべき法律がない場合YES</t>
    <rPh sb="0" eb="2">
      <t>コベツ</t>
    </rPh>
    <rPh sb="3" eb="5">
      <t>ジュンシュ</t>
    </rPh>
    <rPh sb="8" eb="10">
      <t>ホウリツ</t>
    </rPh>
    <rPh sb="13" eb="15">
      <t>バアイ</t>
    </rPh>
    <phoneticPr fontId="1"/>
  </si>
  <si>
    <r>
      <t>全社管理の法律・法令以外に、顧客要求/要件の中に含まれる案件特有の遵守すべき法律がある場合、遵守しないと社会的信頼を失墜するなど重大な損失につながる可能性がある。</t>
    </r>
    <r>
      <rPr>
        <sz val="10"/>
        <rFont val="メイリオ"/>
        <family val="3"/>
        <charset val="128"/>
      </rPr>
      <t xml:space="preserve">
</t>
    </r>
    <r>
      <rPr>
        <sz val="10"/>
        <color indexed="12"/>
        <rFont val="メイリオ"/>
        <family val="3"/>
        <charset val="128"/>
      </rPr>
      <t xml:space="preserve">　《YES回答に該当するか否かの判断条件例》
　・提供するシステムサービスを構築するにあたり、全社管理の法律、法令以外に顧客が属する業界における法律を遵守する必要がない場合
　　（民法、会社法、独占禁止法、不正競争防止法、労働法、消費者保護法、知的財産権法など全社管理法令以外）
</t>
    </r>
    <rPh sb="43" eb="45">
      <t>バアイ</t>
    </rPh>
    <rPh sb="100" eb="102">
      <t>テイキョウ</t>
    </rPh>
    <rPh sb="113" eb="115">
      <t>コウチク</t>
    </rPh>
    <rPh sb="132" eb="134">
      <t>イガイ</t>
    </rPh>
    <rPh sb="135" eb="137">
      <t>コキャク</t>
    </rPh>
    <rPh sb="138" eb="139">
      <t>ゾク</t>
    </rPh>
    <rPh sb="141" eb="143">
      <t>ギョウカイ</t>
    </rPh>
    <rPh sb="150" eb="152">
      <t>ジュンシュ</t>
    </rPh>
    <rPh sb="154" eb="156">
      <t>ヒツヨウ</t>
    </rPh>
    <rPh sb="159" eb="161">
      <t>バアイ</t>
    </rPh>
    <rPh sb="196" eb="198">
      <t>チテキ</t>
    </rPh>
    <rPh sb="198" eb="201">
      <t>ザイサンケン</t>
    </rPh>
    <rPh sb="201" eb="202">
      <t>ホウ</t>
    </rPh>
    <rPh sb="205" eb="207">
      <t>ゼンシャ</t>
    </rPh>
    <rPh sb="207" eb="209">
      <t>カンリ</t>
    </rPh>
    <rPh sb="209" eb="211">
      <t>ホウレイ</t>
    </rPh>
    <rPh sb="211" eb="213">
      <t>イガイ</t>
    </rPh>
    <phoneticPr fontId="1"/>
  </si>
  <si>
    <t>要件・コンプライアンス</t>
    <rPh sb="0" eb="2">
      <t>ヨウケン</t>
    </rPh>
    <phoneticPr fontId="1"/>
  </si>
  <si>
    <t>顧客要求/要件が法律、法令、コンプライアンスに抵触していないか。</t>
    <rPh sb="0" eb="2">
      <t>コキャク</t>
    </rPh>
    <rPh sb="2" eb="4">
      <t>ヨウキュウ</t>
    </rPh>
    <rPh sb="5" eb="7">
      <t>ヨウケン</t>
    </rPh>
    <rPh sb="23" eb="25">
      <t>テイショク</t>
    </rPh>
    <phoneticPr fontId="1"/>
  </si>
  <si>
    <t>抵触していない場合YES</t>
    <rPh sb="0" eb="2">
      <t>テイショク</t>
    </rPh>
    <rPh sb="7" eb="9">
      <t>バアイ</t>
    </rPh>
    <phoneticPr fontId="1"/>
  </si>
  <si>
    <r>
      <t>顧客要求、機能の実現方式、顧客への提供方法などが、コンプライアンスに抵触する場合、法令違反になる可能性があり、社会的信頼を失墜するなど重大な損失につながる。</t>
    </r>
    <r>
      <rPr>
        <sz val="10"/>
        <rFont val="メイリオ"/>
        <family val="3"/>
        <charset val="128"/>
      </rPr>
      <t xml:space="preserve">
</t>
    </r>
    <r>
      <rPr>
        <sz val="10"/>
        <color indexed="12"/>
        <rFont val="メイリオ"/>
        <family val="3"/>
        <charset val="128"/>
      </rPr>
      <t xml:space="preserve">　《YES回答に該当するか否かの判断条件例》
　・提供するシステムサービスが各種法令違反やコンプライアンスに抵触していない場合
　　（民法、会社法、独占禁止法、不正競争防止法、労働法、消費者保護法、知的財産権法など）
</t>
    </r>
    <rPh sb="0" eb="2">
      <t>コキャク</t>
    </rPh>
    <rPh sb="2" eb="4">
      <t>ヨウキュウ</t>
    </rPh>
    <rPh sb="5" eb="7">
      <t>キノウ</t>
    </rPh>
    <rPh sb="8" eb="10">
      <t>ジツゲン</t>
    </rPh>
    <rPh sb="10" eb="12">
      <t>ホウシキ</t>
    </rPh>
    <rPh sb="13" eb="15">
      <t>コキャク</t>
    </rPh>
    <rPh sb="17" eb="19">
      <t>テイキョウ</t>
    </rPh>
    <rPh sb="19" eb="21">
      <t>ホウホウ</t>
    </rPh>
    <rPh sb="34" eb="36">
      <t>テイショク</t>
    </rPh>
    <rPh sb="38" eb="40">
      <t>バアイ</t>
    </rPh>
    <rPh sb="41" eb="43">
      <t>ホウレイ</t>
    </rPh>
    <rPh sb="43" eb="45">
      <t>イハン</t>
    </rPh>
    <rPh sb="48" eb="51">
      <t>カノウセイ</t>
    </rPh>
    <rPh sb="55" eb="58">
      <t>シャカイテキ</t>
    </rPh>
    <rPh sb="58" eb="60">
      <t>シンライ</t>
    </rPh>
    <rPh sb="61" eb="63">
      <t>シッツイ</t>
    </rPh>
    <rPh sb="70" eb="72">
      <t>ソンシツ</t>
    </rPh>
    <rPh sb="118" eb="120">
      <t>カクシュ</t>
    </rPh>
    <rPh sb="120" eb="122">
      <t>ホウレイ</t>
    </rPh>
    <rPh sb="122" eb="124">
      <t>イハン</t>
    </rPh>
    <rPh sb="134" eb="136">
      <t>テイショク</t>
    </rPh>
    <rPh sb="141" eb="143">
      <t>バアイ</t>
    </rPh>
    <rPh sb="179" eb="181">
      <t>チテキ</t>
    </rPh>
    <rPh sb="181" eb="184">
      <t>ザイサンケン</t>
    </rPh>
    <rPh sb="184" eb="185">
      <t>ホウ</t>
    </rPh>
    <phoneticPr fontId="1"/>
  </si>
  <si>
    <t>パッケージ・製品</t>
    <rPh sb="6" eb="8">
      <t>セイヒン</t>
    </rPh>
    <phoneticPr fontId="1"/>
  </si>
  <si>
    <t>選定したパッケージや製品は顧客要求・要件を満たしているか。</t>
    <rPh sb="0" eb="2">
      <t>センテイ</t>
    </rPh>
    <rPh sb="10" eb="12">
      <t>セイヒン</t>
    </rPh>
    <rPh sb="13" eb="15">
      <t>コキャク</t>
    </rPh>
    <rPh sb="15" eb="17">
      <t>ヨウキュウ</t>
    </rPh>
    <rPh sb="18" eb="20">
      <t>ヨウケン</t>
    </rPh>
    <rPh sb="21" eb="22">
      <t>ミ</t>
    </rPh>
    <phoneticPr fontId="1"/>
  </si>
  <si>
    <t>要求・要件を満たしている場合YES</t>
    <rPh sb="0" eb="2">
      <t>ヨウキュウ</t>
    </rPh>
    <rPh sb="3" eb="5">
      <t>ヨウケン</t>
    </rPh>
    <rPh sb="6" eb="7">
      <t>ミ</t>
    </rPh>
    <rPh sb="12" eb="14">
      <t>バアイ</t>
    </rPh>
    <phoneticPr fontId="1"/>
  </si>
  <si>
    <r>
      <t>選定したパッケージソフトウェアが顧客要求・要件を満たしていない場合、後々スクラッチ部分の拡大、パッケージのカスタマイズ、再選定等により、スケジュール遅延、コスト超過等を引き起こす。インフラ製品も同様である。</t>
    </r>
    <r>
      <rPr>
        <b/>
        <sz val="10"/>
        <color indexed="10"/>
        <rFont val="メイリオ"/>
        <family val="3"/>
        <charset val="128"/>
      </rPr>
      <t xml:space="preserve">
</t>
    </r>
    <r>
      <rPr>
        <b/>
        <sz val="10"/>
        <rFont val="メイリオ"/>
        <family val="3"/>
        <charset val="128"/>
      </rPr>
      <t xml:space="preserve">
</t>
    </r>
    <r>
      <rPr>
        <sz val="10"/>
        <color indexed="12"/>
        <rFont val="メイリオ"/>
        <family val="3"/>
        <charset val="128"/>
      </rPr>
      <t xml:space="preserve">　《YES回答に該当するか否かの判断条件例》
　・以下の項目が確認できており、顧客と合意できている場合
　　・顧客要求・要件との整合性
　　　　- 機能整合性（機能レベルでのFit&amp;Gap）
　　　　- カスタマイズが前提である場合、機能拡張性やカスタマイズ可否
　　　　- 顧客使用条件（ユーザ数、アクセス頻度、拠点数、同時アクセス、ピークトラフィック　など）への対応可否
　　　　- 外部システムとの接続がある場合の対向性、親和性
　　　　- 可用性／品質／性能／耐障害性／セキュリティの脆弱性／保守性
　　　　- その他制限事項
　　・製品の導入実績（社内、国内、海外）が豊富にあり製品の信頼性が高い場合
　　・アップグレードポリシー
　　・ライセンス／保守期限
　　・費用対効果
　　・選定したパッケージが顧客要件を満たさない場合の代替製品への切替方法
</t>
    </r>
    <rPh sb="31" eb="33">
      <t>バアイ</t>
    </rPh>
    <rPh sb="94" eb="96">
      <t>セイヒン</t>
    </rPh>
    <rPh sb="97" eb="99">
      <t>ドウヨウ</t>
    </rPh>
    <rPh sb="376" eb="378">
      <t>セイヒン</t>
    </rPh>
    <rPh sb="399" eb="401">
      <t>セイヒン</t>
    </rPh>
    <rPh sb="435" eb="437">
      <t>ホシュ</t>
    </rPh>
    <rPh sb="437" eb="439">
      <t>キゲン</t>
    </rPh>
    <phoneticPr fontId="1"/>
  </si>
  <si>
    <t>AIシステム</t>
    <phoneticPr fontId="1"/>
  </si>
  <si>
    <t>AIシステム (AIソフトを構成要素として含むシステム)である場合、AIリスクの把握・対策を検討しているか。</t>
    <rPh sb="40" eb="42">
      <t>ハアク</t>
    </rPh>
    <rPh sb="43" eb="45">
      <t>タイサク</t>
    </rPh>
    <rPh sb="46" eb="48">
      <t>ケントウ</t>
    </rPh>
    <phoneticPr fontId="1"/>
  </si>
  <si>
    <t>把握・対策をしている場合YES</t>
    <rPh sb="0" eb="2">
      <t>ハアク</t>
    </rPh>
    <rPh sb="3" eb="5">
      <t>タイサク</t>
    </rPh>
    <rPh sb="10" eb="12">
      <t>バアイ</t>
    </rPh>
    <phoneticPr fontId="1"/>
  </si>
  <si>
    <r>
      <t xml:space="preserve">AIシステム (AIソフトを構成要素として含むシステムを指す。例えば、AIソフトを実装したクラウドシステムはこれに含まれる)の場合、AIリスクの把握・対策をしていない場合、様々な倫理コンプライアンス・セキュリティ問題(例：人種差別、性差別、プライバシー侵害、なりすまし）や、人命に関わるクリティカルな問題(例：自動運転車の事故、誤診、サイバー攻撃、軍事利用)を引き起こす可能性がある。
</t>
    </r>
    <r>
      <rPr>
        <sz val="10"/>
        <color rgb="FF0000FF"/>
        <rFont val="メイリオ"/>
        <family val="3"/>
        <charset val="128"/>
      </rPr>
      <t xml:space="preserve">   《YES回答に該当するか否かのチェック方法》
　</t>
    </r>
    <r>
      <rPr>
        <b/>
        <sz val="10"/>
        <color rgb="FFFF0000"/>
        <rFont val="メイリオ"/>
        <family val="3"/>
        <charset val="128"/>
      </rPr>
      <t>※ AIシステムである場合、必ず 『AIシステム開発・提供ガイドライン』を用いてリスク状況をチェックし考慮・対策すること</t>
    </r>
    <r>
      <rPr>
        <sz val="10"/>
        <color rgb="FF0000FF"/>
        <rFont val="メイリオ"/>
        <family val="3"/>
        <charset val="128"/>
      </rPr>
      <t xml:space="preserve">
　・『AIシステム開発・提供ガイドライン』『AIシステム開発・提供チェックリスト』を用いてリスク状況をチェックし、適宜対策を講じている場合は"YES"
　・AIソフトを構成要素として含まないシステムの場合は "YES"
</t>
    </r>
    <r>
      <rPr>
        <b/>
        <sz val="10"/>
        <rFont val="メイリオ"/>
        <family val="3"/>
        <charset val="128"/>
      </rPr>
      <t>　　</t>
    </r>
    <rPh sb="28" eb="29">
      <t>サ</t>
    </rPh>
    <rPh sb="63" eb="65">
      <t>バアイ</t>
    </rPh>
    <rPh sb="72" eb="74">
      <t>ハアク</t>
    </rPh>
    <rPh sb="75" eb="77">
      <t>タイサク</t>
    </rPh>
    <rPh sb="83" eb="85">
      <t>バアイ</t>
    </rPh>
    <rPh sb="86" eb="88">
      <t>サマザマ</t>
    </rPh>
    <rPh sb="89" eb="91">
      <t>リンリ</t>
    </rPh>
    <rPh sb="106" eb="108">
      <t>モンダイ</t>
    </rPh>
    <rPh sb="109" eb="110">
      <t>レイ</t>
    </rPh>
    <rPh sb="111" eb="113">
      <t>ジンシュ</t>
    </rPh>
    <rPh sb="113" eb="115">
      <t>サベツ</t>
    </rPh>
    <rPh sb="116" eb="119">
      <t>セイサベツ</t>
    </rPh>
    <rPh sb="126" eb="128">
      <t>シンガイ</t>
    </rPh>
    <rPh sb="153" eb="154">
      <t>レイ</t>
    </rPh>
    <rPh sb="180" eb="181">
      <t>ヒ</t>
    </rPh>
    <rPh sb="182" eb="183">
      <t>オ</t>
    </rPh>
    <rPh sb="185" eb="188">
      <t>カノウセイ</t>
    </rPh>
    <rPh sb="216" eb="218">
      <t>ホウホウ</t>
    </rPh>
    <rPh sb="245" eb="247">
      <t>カイハツ</t>
    </rPh>
    <rPh sb="248" eb="250">
      <t>テイキョウ</t>
    </rPh>
    <rPh sb="272" eb="274">
      <t>コウリョ</t>
    </rPh>
    <rPh sb="275" eb="277">
      <t>タイサク</t>
    </rPh>
    <rPh sb="291" eb="293">
      <t>カイハツ</t>
    </rPh>
    <rPh sb="294" eb="296">
      <t>テイキョウ</t>
    </rPh>
    <rPh sb="310" eb="312">
      <t>カイハツ</t>
    </rPh>
    <rPh sb="313" eb="315">
      <t>テイキョウ</t>
    </rPh>
    <rPh sb="324" eb="325">
      <t>モチ</t>
    </rPh>
    <rPh sb="330" eb="332">
      <t>ジョウキョウ</t>
    </rPh>
    <rPh sb="339" eb="341">
      <t>テキギ</t>
    </rPh>
    <rPh sb="341" eb="343">
      <t>タイサク</t>
    </rPh>
    <rPh sb="344" eb="345">
      <t>コウ</t>
    </rPh>
    <rPh sb="349" eb="351">
      <t>バアイ</t>
    </rPh>
    <rPh sb="382" eb="384">
      <t>バアイ</t>
    </rPh>
    <phoneticPr fontId="1"/>
  </si>
  <si>
    <t>3.作業洗い出し(WBS)</t>
    <rPh sb="2" eb="4">
      <t>サギョウ</t>
    </rPh>
    <rPh sb="4" eb="5">
      <t>アラ</t>
    </rPh>
    <rPh sb="6" eb="7">
      <t>ダ</t>
    </rPh>
    <phoneticPr fontId="1"/>
  </si>
  <si>
    <t>成果物、タスク</t>
    <rPh sb="0" eb="2">
      <t>セイカ</t>
    </rPh>
    <rPh sb="2" eb="3">
      <t>モノ</t>
    </rPh>
    <phoneticPr fontId="1"/>
  </si>
  <si>
    <t>必要なタスク／成果物に抜け漏れが無いか。</t>
    <rPh sb="0" eb="2">
      <t>ヒツヨウ</t>
    </rPh>
    <rPh sb="7" eb="9">
      <t>セイカ</t>
    </rPh>
    <rPh sb="9" eb="10">
      <t>ブツ</t>
    </rPh>
    <rPh sb="11" eb="12">
      <t>ヌ</t>
    </rPh>
    <rPh sb="13" eb="14">
      <t>モ</t>
    </rPh>
    <rPh sb="16" eb="17">
      <t>ナ</t>
    </rPh>
    <phoneticPr fontId="1"/>
  </si>
  <si>
    <t>抜け漏れがない場合YES</t>
    <rPh sb="0" eb="1">
      <t>ヌ</t>
    </rPh>
    <rPh sb="2" eb="3">
      <t>モ</t>
    </rPh>
    <rPh sb="7" eb="9">
      <t>バアイ</t>
    </rPh>
    <phoneticPr fontId="1"/>
  </si>
  <si>
    <r>
      <t>重要なタスク・成果物の抜け漏れがあるとタスク追加が発生し、コスト超過・スケジュール遅延を起こす可能性がある。</t>
    </r>
    <r>
      <rPr>
        <sz val="10"/>
        <rFont val="メイリオ"/>
        <family val="3"/>
        <charset val="128"/>
      </rPr>
      <t xml:space="preserve">
</t>
    </r>
    <r>
      <rPr>
        <sz val="10"/>
        <color indexed="12"/>
        <rFont val="メイリオ"/>
        <family val="3"/>
        <charset val="128"/>
      </rPr>
      <t xml:space="preserve">　《YES回答に該当するか否かの判断条件例》
　・RFPに定義された成果物と比較して抜け漏れ確認を行っている場合
　・SINAVIの標準WBSと比較して抜け漏れ確認を行っている場合
　・有識者によるWBSのレビューを受けている場合
</t>
    </r>
    <rPh sb="0" eb="2">
      <t>ジュウヨウ</t>
    </rPh>
    <rPh sb="7" eb="9">
      <t>セイカ</t>
    </rPh>
    <rPh sb="9" eb="10">
      <t>ブツ</t>
    </rPh>
    <rPh sb="11" eb="12">
      <t>ヌ</t>
    </rPh>
    <rPh sb="13" eb="14">
      <t>モ</t>
    </rPh>
    <rPh sb="22" eb="24">
      <t>ツイカ</t>
    </rPh>
    <rPh sb="25" eb="27">
      <t>ハッセイ</t>
    </rPh>
    <rPh sb="32" eb="34">
      <t>チョウカ</t>
    </rPh>
    <rPh sb="41" eb="43">
      <t>チエン</t>
    </rPh>
    <rPh sb="44" eb="45">
      <t>オ</t>
    </rPh>
    <rPh sb="47" eb="50">
      <t>カノウセイ</t>
    </rPh>
    <rPh sb="85" eb="87">
      <t>テイギ</t>
    </rPh>
    <rPh sb="90" eb="92">
      <t>セイカ</t>
    </rPh>
    <rPh sb="92" eb="93">
      <t>ブツ</t>
    </rPh>
    <rPh sb="122" eb="124">
      <t>ヒョウジュン</t>
    </rPh>
    <rPh sb="128" eb="130">
      <t>ヒカク</t>
    </rPh>
    <rPh sb="132" eb="133">
      <t>ヌ</t>
    </rPh>
    <rPh sb="134" eb="135">
      <t>モ</t>
    </rPh>
    <rPh sb="136" eb="138">
      <t>カクニン</t>
    </rPh>
    <rPh sb="139" eb="140">
      <t>オコナ</t>
    </rPh>
    <rPh sb="144" eb="146">
      <t>バアイ</t>
    </rPh>
    <rPh sb="149" eb="152">
      <t>ユウシキシャ</t>
    </rPh>
    <phoneticPr fontId="1"/>
  </si>
  <si>
    <t>選定したパッケージや製品に対して事前の検証作業が計画されているか。</t>
    <rPh sb="0" eb="2">
      <t>センテイ</t>
    </rPh>
    <rPh sb="10" eb="12">
      <t>セイヒン</t>
    </rPh>
    <rPh sb="13" eb="14">
      <t>タイ</t>
    </rPh>
    <rPh sb="16" eb="18">
      <t>ジゼン</t>
    </rPh>
    <rPh sb="19" eb="21">
      <t>ケンショウ</t>
    </rPh>
    <rPh sb="21" eb="23">
      <t>サギョウ</t>
    </rPh>
    <rPh sb="24" eb="26">
      <t>ケイカク</t>
    </rPh>
    <phoneticPr fontId="1"/>
  </si>
  <si>
    <t>検証されいる場合YES</t>
    <rPh sb="0" eb="2">
      <t>ケンショウ</t>
    </rPh>
    <rPh sb="6" eb="8">
      <t>バアイ</t>
    </rPh>
    <phoneticPr fontId="1"/>
  </si>
  <si>
    <r>
      <t xml:space="preserve">パッケージソフトウェアを利用する上で、事前の機能検証やFit&amp;Gapが出来ていない場合、後々スクラッチ部分の拡大、パッケージのカスタマイズ、再選定等により、スケジュール遅延、コスト超過等を引き起こす。インフラ製品は事前の組み合わせ検証が不足していると、後々製品問題を引き起こす可能性がある。
</t>
    </r>
    <r>
      <rPr>
        <sz val="10"/>
        <rFont val="メイリオ"/>
        <family val="3"/>
        <charset val="128"/>
      </rPr>
      <t xml:space="preserve">
</t>
    </r>
    <r>
      <rPr>
        <sz val="10"/>
        <color indexed="12"/>
        <rFont val="メイリオ"/>
        <family val="3"/>
        <charset val="128"/>
      </rPr>
      <t xml:space="preserve">　《YES回答に該当するか否かの判断条件例》
　・以下の事前検証作業等をタスク・スケジュール化できている場合
　　　　- 事前機能検証
　　　　- Fit&amp;Gapの整理作業
　　　　- ユーザ側でのトライアル検証
　　　　- 外部システムとの接続試験
　　　　- セキュリティ診断
　　　　- 性能検証作業
         - 組み合わせ機能検証
</t>
    </r>
    <rPh sb="12" eb="14">
      <t>リヨウ</t>
    </rPh>
    <rPh sb="16" eb="17">
      <t>ウエ</t>
    </rPh>
    <rPh sb="19" eb="21">
      <t>ジゼン</t>
    </rPh>
    <rPh sb="22" eb="24">
      <t>キノウ</t>
    </rPh>
    <rPh sb="24" eb="26">
      <t>ケンショウ</t>
    </rPh>
    <rPh sb="35" eb="37">
      <t>デキ</t>
    </rPh>
    <rPh sb="41" eb="43">
      <t>バアイ</t>
    </rPh>
    <rPh sb="73" eb="74">
      <t>トウ</t>
    </rPh>
    <rPh sb="107" eb="109">
      <t>ジゼン</t>
    </rPh>
    <rPh sb="110" eb="111">
      <t>ク</t>
    </rPh>
    <rPh sb="112" eb="113">
      <t>ア</t>
    </rPh>
    <rPh sb="115" eb="117">
      <t>ケンショウ</t>
    </rPh>
    <rPh sb="118" eb="120">
      <t>フソク</t>
    </rPh>
    <rPh sb="126" eb="128">
      <t>アトアト</t>
    </rPh>
    <rPh sb="128" eb="130">
      <t>セイヒン</t>
    </rPh>
    <rPh sb="130" eb="132">
      <t>モンダイ</t>
    </rPh>
    <rPh sb="133" eb="134">
      <t>ヒ</t>
    </rPh>
    <rPh sb="135" eb="136">
      <t>オ</t>
    </rPh>
    <rPh sb="138" eb="141">
      <t>カノウセイ</t>
    </rPh>
    <rPh sb="172" eb="174">
      <t>イカ</t>
    </rPh>
    <rPh sb="181" eb="182">
      <t>トウ</t>
    </rPh>
    <rPh sb="210" eb="212">
      <t>キノウ</t>
    </rPh>
    <rPh sb="212" eb="214">
      <t>ケンショウ</t>
    </rPh>
    <rPh sb="229" eb="231">
      <t>セイリ</t>
    </rPh>
    <rPh sb="231" eb="233">
      <t>サギョウ</t>
    </rPh>
    <rPh sb="243" eb="244">
      <t>ガワ</t>
    </rPh>
    <rPh sb="251" eb="253">
      <t>ケンショウ</t>
    </rPh>
    <rPh sb="260" eb="262">
      <t>ガイブ</t>
    </rPh>
    <rPh sb="268" eb="270">
      <t>セツゾク</t>
    </rPh>
    <rPh sb="270" eb="272">
      <t>シケン</t>
    </rPh>
    <rPh sb="285" eb="287">
      <t>シンダン</t>
    </rPh>
    <rPh sb="296" eb="298">
      <t>ケンショウ</t>
    </rPh>
    <rPh sb="298" eb="300">
      <t>サギョウ</t>
    </rPh>
    <rPh sb="312" eb="313">
      <t>ク</t>
    </rPh>
    <rPh sb="314" eb="315">
      <t>ア</t>
    </rPh>
    <rPh sb="317" eb="319">
      <t>キノウ</t>
    </rPh>
    <rPh sb="319" eb="321">
      <t>ケンショウ</t>
    </rPh>
    <phoneticPr fontId="1"/>
  </si>
  <si>
    <t>オフショア</t>
    <phoneticPr fontId="1"/>
  </si>
  <si>
    <t>オフショア特有の作業や経費を考慮しているか。</t>
    <phoneticPr fontId="1"/>
  </si>
  <si>
    <t>考慮している場合YES</t>
    <rPh sb="0" eb="2">
      <t>コウリョ</t>
    </rPh>
    <rPh sb="6" eb="8">
      <t>バアイ</t>
    </rPh>
    <phoneticPr fontId="1"/>
  </si>
  <si>
    <r>
      <t xml:space="preserve">オフショア特有の作業や経費を考慮していない場合、認識合わせのための渡航費の増加やテイクオーバーのミスによる品質悪化の可能性がある。
</t>
    </r>
    <r>
      <rPr>
        <sz val="10"/>
        <rFont val="メイリオ"/>
        <family val="3"/>
        <charset val="128"/>
      </rPr>
      <t xml:space="preserve">
</t>
    </r>
    <r>
      <rPr>
        <sz val="10"/>
        <color indexed="12"/>
        <rFont val="メイリオ"/>
        <family val="3"/>
        <charset val="128"/>
      </rPr>
      <t xml:space="preserve">　《チェックに該当するか否かの判断条件例》
　・BridgeSEの工数を加算している場合
　・オーバーラップ分の工数を見込んでいる場合
　・出張費、通信費、通訳費用などを見込んでいる場合
</t>
    </r>
    <rPh sb="5" eb="7">
      <t>トクユウ</t>
    </rPh>
    <rPh sb="8" eb="10">
      <t>サギョウ</t>
    </rPh>
    <rPh sb="11" eb="13">
      <t>ケイヒ</t>
    </rPh>
    <rPh sb="14" eb="16">
      <t>コウリョ</t>
    </rPh>
    <rPh sb="21" eb="23">
      <t>バアイ</t>
    </rPh>
    <rPh sb="24" eb="26">
      <t>ニンシキ</t>
    </rPh>
    <rPh sb="26" eb="27">
      <t>ア</t>
    </rPh>
    <rPh sb="33" eb="36">
      <t>トコウヒ</t>
    </rPh>
    <rPh sb="37" eb="39">
      <t>ゾウカ</t>
    </rPh>
    <rPh sb="53" eb="55">
      <t>ヒンシツ</t>
    </rPh>
    <rPh sb="55" eb="57">
      <t>アッカ</t>
    </rPh>
    <rPh sb="58" eb="61">
      <t>カノウセイ</t>
    </rPh>
    <rPh sb="100" eb="102">
      <t>コウスウ</t>
    </rPh>
    <rPh sb="103" eb="105">
      <t>カサン</t>
    </rPh>
    <rPh sb="109" eb="111">
      <t>バアイ</t>
    </rPh>
    <rPh sb="126" eb="128">
      <t>ミコ</t>
    </rPh>
    <rPh sb="132" eb="134">
      <t>バアイ</t>
    </rPh>
    <rPh sb="147" eb="149">
      <t>ヒヨウ</t>
    </rPh>
    <rPh sb="152" eb="154">
      <t>ミコ</t>
    </rPh>
    <rPh sb="158" eb="160">
      <t>バアイ</t>
    </rPh>
    <phoneticPr fontId="1"/>
  </si>
  <si>
    <t>4.要員計画</t>
    <rPh sb="2" eb="4">
      <t>ヨウイン</t>
    </rPh>
    <rPh sb="4" eb="6">
      <t>ケイカク</t>
    </rPh>
    <phoneticPr fontId="1"/>
  </si>
  <si>
    <t>PM</t>
    <phoneticPr fontId="1"/>
  </si>
  <si>
    <t>PMは当該プロジェクトと同等の業務・規模の経験を有しているか。</t>
    <rPh sb="3" eb="5">
      <t>トウガイ</t>
    </rPh>
    <rPh sb="12" eb="14">
      <t>ドウトウ</t>
    </rPh>
    <rPh sb="15" eb="17">
      <t>ギョウム</t>
    </rPh>
    <rPh sb="18" eb="20">
      <t>キボ</t>
    </rPh>
    <rPh sb="21" eb="23">
      <t>ケイケン</t>
    </rPh>
    <rPh sb="24" eb="25">
      <t>ユウ</t>
    </rPh>
    <phoneticPr fontId="1"/>
  </si>
  <si>
    <t>経験がある場合YES</t>
    <rPh sb="0" eb="2">
      <t>ケイケン</t>
    </rPh>
    <rPh sb="5" eb="7">
      <t>バアイ</t>
    </rPh>
    <phoneticPr fontId="1"/>
  </si>
  <si>
    <r>
      <t>PMの統率力・知識・経験が不足していると、プロジェクトの遂行が難しくなる。</t>
    </r>
    <r>
      <rPr>
        <sz val="10"/>
        <color indexed="8"/>
        <rFont val="メイリオ"/>
        <family val="3"/>
        <charset val="128"/>
      </rPr>
      <t xml:space="preserve">
</t>
    </r>
    <r>
      <rPr>
        <sz val="10"/>
        <color rgb="FF0000FF"/>
        <rFont val="メイリオ"/>
        <family val="3"/>
        <charset val="128"/>
      </rPr>
      <t xml:space="preserve">　《YES回答に該当するか否かの判断条件例》
　・PMが同等の業務システムの知識・経験がある場合
　・PMが同等の規模に対する統率力やマネジメント経験がある場合
</t>
    </r>
    <rPh sb="3" eb="6">
      <t>トウソツリョク</t>
    </rPh>
    <rPh sb="7" eb="9">
      <t>チシキ</t>
    </rPh>
    <rPh sb="10" eb="12">
      <t>ケイケン</t>
    </rPh>
    <rPh sb="13" eb="15">
      <t>フソク</t>
    </rPh>
    <rPh sb="28" eb="30">
      <t>スイコウ</t>
    </rPh>
    <rPh sb="31" eb="32">
      <t>ムズカ</t>
    </rPh>
    <rPh sb="44" eb="46">
      <t>カイトウ</t>
    </rPh>
    <rPh sb="67" eb="69">
      <t>ドウトウ</t>
    </rPh>
    <rPh sb="70" eb="72">
      <t>ギョウム</t>
    </rPh>
    <rPh sb="77" eb="79">
      <t>チシキ</t>
    </rPh>
    <rPh sb="80" eb="82">
      <t>ケイケン</t>
    </rPh>
    <rPh sb="85" eb="87">
      <t>バアイ</t>
    </rPh>
    <rPh sb="96" eb="98">
      <t>キボ</t>
    </rPh>
    <rPh sb="99" eb="100">
      <t>タイ</t>
    </rPh>
    <rPh sb="112" eb="114">
      <t>ケイケン</t>
    </rPh>
    <rPh sb="117" eb="119">
      <t>バアイ</t>
    </rPh>
    <phoneticPr fontId="1"/>
  </si>
  <si>
    <t>プロジェクトで求められるスキルを有した要員確保の目処は立っているか。</t>
    <rPh sb="7" eb="8">
      <t>モト</t>
    </rPh>
    <rPh sb="16" eb="17">
      <t>ユウ</t>
    </rPh>
    <rPh sb="19" eb="21">
      <t>ヨウイン</t>
    </rPh>
    <rPh sb="21" eb="23">
      <t>カクホ</t>
    </rPh>
    <rPh sb="24" eb="26">
      <t>メド</t>
    </rPh>
    <rPh sb="27" eb="28">
      <t>タ</t>
    </rPh>
    <phoneticPr fontId="1"/>
  </si>
  <si>
    <t>目途が立っている場合YES</t>
    <rPh sb="0" eb="2">
      <t>メド</t>
    </rPh>
    <rPh sb="3" eb="4">
      <t>タ</t>
    </rPh>
    <rPh sb="8" eb="10">
      <t>バアイ</t>
    </rPh>
    <phoneticPr fontId="1"/>
  </si>
  <si>
    <r>
      <t>PM、PLやプロジェクトのキーとなる要素（業務、製品、要素技術など）に関するスキルや知見を有した要員を確保できていないと、見積精度の悪化やマネジメント欠如、成果物品質の悪化、リスクが見通せないなどプロジェクト遂行にあたり大きな問題となる。</t>
    </r>
    <r>
      <rPr>
        <sz val="10"/>
        <rFont val="メイリオ"/>
        <family val="3"/>
        <charset val="128"/>
      </rPr>
      <t xml:space="preserve">
</t>
    </r>
    <r>
      <rPr>
        <sz val="10"/>
        <color indexed="12"/>
        <rFont val="メイリオ"/>
        <family val="3"/>
        <charset val="128"/>
      </rPr>
      <t xml:space="preserve">　《YES回答に該当するか否かの判断条件例》
　・PMやアーキテクト、適用するパッケージの有識者などのキーマンが専任である場合
　・プロジェクトピーク時に必要となる要員数を把握できている場合
</t>
    </r>
    <rPh sb="126" eb="128">
      <t>カイトウ</t>
    </rPh>
    <rPh sb="156" eb="158">
      <t>テキヨウ</t>
    </rPh>
    <rPh sb="166" eb="169">
      <t>ユウシキシャ</t>
    </rPh>
    <rPh sb="177" eb="179">
      <t>センニン</t>
    </rPh>
    <rPh sb="182" eb="184">
      <t>バアイ</t>
    </rPh>
    <rPh sb="196" eb="197">
      <t>ジ</t>
    </rPh>
    <rPh sb="198" eb="200">
      <t>ヒツヨウ</t>
    </rPh>
    <rPh sb="203" eb="206">
      <t>ヨウインスウ</t>
    </rPh>
    <rPh sb="207" eb="209">
      <t>ハアク</t>
    </rPh>
    <rPh sb="214" eb="216">
      <t>バアイ</t>
    </rPh>
    <phoneticPr fontId="1"/>
  </si>
  <si>
    <t>社内・組織支援</t>
    <rPh sb="0" eb="2">
      <t>シャナイ</t>
    </rPh>
    <rPh sb="3" eb="5">
      <t>ソシキ</t>
    </rPh>
    <rPh sb="5" eb="7">
      <t>シエン</t>
    </rPh>
    <phoneticPr fontId="1"/>
  </si>
  <si>
    <t>組織の支援体制が計画されているか。</t>
    <rPh sb="0" eb="2">
      <t>ソシキ</t>
    </rPh>
    <rPh sb="3" eb="5">
      <t>シエン</t>
    </rPh>
    <rPh sb="5" eb="7">
      <t>タイセイ</t>
    </rPh>
    <rPh sb="8" eb="10">
      <t>ケイカク</t>
    </rPh>
    <phoneticPr fontId="1"/>
  </si>
  <si>
    <t>計画されている場合YES</t>
    <rPh sb="0" eb="2">
      <t>ケイカク</t>
    </rPh>
    <rPh sb="7" eb="9">
      <t>バアイ</t>
    </rPh>
    <phoneticPr fontId="1"/>
  </si>
  <si>
    <r>
      <t xml:space="preserve">組織の支援体制が確立されていないと、問題発生時に組織としての増員や顧客申入などの判断・対応が後手に回る。
</t>
    </r>
    <r>
      <rPr>
        <sz val="10"/>
        <rFont val="メイリオ"/>
        <family val="3"/>
        <charset val="128"/>
      </rPr>
      <t xml:space="preserve">
</t>
    </r>
    <r>
      <rPr>
        <sz val="10"/>
        <color indexed="12"/>
        <rFont val="メイリオ"/>
        <family val="3"/>
        <charset val="128"/>
      </rPr>
      <t xml:space="preserve">　《YES回答に該当するか否かの判断条件例》
　・プロジェクト責任者／ライン長の役割が定義されている場合
　・プロジェクト責任者／ライン長への報告の場が計画されている場合
</t>
    </r>
    <rPh sb="0" eb="2">
      <t>ソシキ</t>
    </rPh>
    <rPh sb="3" eb="5">
      <t>シエン</t>
    </rPh>
    <rPh sb="5" eb="7">
      <t>タイセイ</t>
    </rPh>
    <rPh sb="8" eb="10">
      <t>カクリツ</t>
    </rPh>
    <rPh sb="18" eb="20">
      <t>モンダイ</t>
    </rPh>
    <rPh sb="20" eb="22">
      <t>ハッセイ</t>
    </rPh>
    <rPh sb="22" eb="23">
      <t>ジ</t>
    </rPh>
    <rPh sb="24" eb="26">
      <t>ソシキ</t>
    </rPh>
    <rPh sb="30" eb="32">
      <t>ゾウイン</t>
    </rPh>
    <rPh sb="33" eb="35">
      <t>コキャク</t>
    </rPh>
    <rPh sb="35" eb="36">
      <t>モウ</t>
    </rPh>
    <rPh sb="36" eb="37">
      <t>イ</t>
    </rPh>
    <rPh sb="40" eb="42">
      <t>ハンダン</t>
    </rPh>
    <rPh sb="43" eb="45">
      <t>タイオウ</t>
    </rPh>
    <rPh sb="46" eb="48">
      <t>ゴテ</t>
    </rPh>
    <rPh sb="49" eb="50">
      <t>マワ</t>
    </rPh>
    <rPh sb="85" eb="88">
      <t>セキニンシャ</t>
    </rPh>
    <rPh sb="92" eb="93">
      <t>チョウ</t>
    </rPh>
    <rPh sb="94" eb="96">
      <t>ヤクワリ</t>
    </rPh>
    <rPh sb="97" eb="99">
      <t>テイギ</t>
    </rPh>
    <rPh sb="104" eb="106">
      <t>バアイ</t>
    </rPh>
    <rPh sb="125" eb="127">
      <t>ホウコク</t>
    </rPh>
    <rPh sb="128" eb="129">
      <t>バ</t>
    </rPh>
    <rPh sb="130" eb="132">
      <t>ケイカク</t>
    </rPh>
    <rPh sb="137" eb="139">
      <t>バアイ</t>
    </rPh>
    <phoneticPr fontId="1"/>
  </si>
  <si>
    <t>委託先・見積</t>
    <rPh sb="0" eb="2">
      <t>イタク</t>
    </rPh>
    <rPh sb="2" eb="3">
      <t>サキ</t>
    </rPh>
    <rPh sb="4" eb="6">
      <t>ミツモリ</t>
    </rPh>
    <phoneticPr fontId="1"/>
  </si>
  <si>
    <t>委託先の見積が適正な範囲であり、見積根拠は妥当であるか。</t>
  </si>
  <si>
    <t>適正且妥当な場合YES</t>
    <rPh sb="0" eb="2">
      <t>テキセイ</t>
    </rPh>
    <rPh sb="2" eb="3">
      <t>カツ</t>
    </rPh>
    <rPh sb="3" eb="5">
      <t>ダトウ</t>
    </rPh>
    <rPh sb="6" eb="8">
      <t>バアイ</t>
    </rPh>
    <phoneticPr fontId="1"/>
  </si>
  <si>
    <r>
      <t xml:space="preserve">委託先の見積の妥当性を確認していないと、過剰見積の場合、失注リスクとなり、過少見積の場合、スケジュール遅延・品質悪化などの問題が発生する。
</t>
    </r>
    <r>
      <rPr>
        <sz val="10"/>
        <rFont val="メイリオ"/>
        <family val="3"/>
        <charset val="128"/>
      </rPr>
      <t xml:space="preserve">
</t>
    </r>
    <r>
      <rPr>
        <sz val="10"/>
        <color indexed="12"/>
        <rFont val="メイリオ"/>
        <family val="3"/>
        <charset val="128"/>
      </rPr>
      <t xml:space="preserve">　《YES回答に該当するか否かの判断条件例》
　・見積手法、算出根拠が明確であり、過去の委託実績や他社と比べて適正である場合
　・遵守する規定や標準が見積条件に記載されている場合
　・品質管理方法が明確であり、品質作業の実施が提示されている場合
</t>
    </r>
    <rPh sb="0" eb="3">
      <t>イタクサキ</t>
    </rPh>
    <rPh sb="4" eb="6">
      <t>ミツモリ</t>
    </rPh>
    <rPh sb="7" eb="10">
      <t>ダトウセイ</t>
    </rPh>
    <rPh sb="11" eb="13">
      <t>カクニン</t>
    </rPh>
    <rPh sb="20" eb="22">
      <t>カジョウ</t>
    </rPh>
    <rPh sb="22" eb="24">
      <t>ミツモリ</t>
    </rPh>
    <rPh sb="25" eb="27">
      <t>バアイ</t>
    </rPh>
    <rPh sb="28" eb="29">
      <t>シッ</t>
    </rPh>
    <rPh sb="29" eb="30">
      <t>チュウ</t>
    </rPh>
    <rPh sb="37" eb="39">
      <t>カショウ</t>
    </rPh>
    <rPh sb="39" eb="41">
      <t>ミツモリ</t>
    </rPh>
    <rPh sb="42" eb="44">
      <t>バアイ</t>
    </rPh>
    <rPh sb="51" eb="53">
      <t>チエン</t>
    </rPh>
    <rPh sb="54" eb="56">
      <t>ヒンシツ</t>
    </rPh>
    <rPh sb="56" eb="58">
      <t>アッカ</t>
    </rPh>
    <rPh sb="61" eb="63">
      <t>モンダイ</t>
    </rPh>
    <rPh sb="64" eb="66">
      <t>ハッセイ</t>
    </rPh>
    <rPh sb="106" eb="108">
      <t>メイカク</t>
    </rPh>
    <rPh sb="131" eb="133">
      <t>バアイ</t>
    </rPh>
    <rPh sb="136" eb="138">
      <t>ジュンシュ</t>
    </rPh>
    <rPh sb="140" eb="142">
      <t>キテイ</t>
    </rPh>
    <rPh sb="143" eb="145">
      <t>ヒョウジュン</t>
    </rPh>
    <rPh sb="148" eb="150">
      <t>ジョウケン</t>
    </rPh>
    <rPh sb="151" eb="153">
      <t>キサイ</t>
    </rPh>
    <rPh sb="158" eb="160">
      <t>バアイ</t>
    </rPh>
    <rPh sb="163" eb="165">
      <t>ヒンシツ</t>
    </rPh>
    <rPh sb="165" eb="167">
      <t>カンリ</t>
    </rPh>
    <rPh sb="167" eb="169">
      <t>ホウホウ</t>
    </rPh>
    <rPh sb="170" eb="172">
      <t>メイカク</t>
    </rPh>
    <rPh sb="176" eb="178">
      <t>ヒンシツ</t>
    </rPh>
    <rPh sb="178" eb="180">
      <t>サギョウ</t>
    </rPh>
    <rPh sb="181" eb="183">
      <t>ジッシ</t>
    </rPh>
    <rPh sb="184" eb="186">
      <t>テイジ</t>
    </rPh>
    <rPh sb="191" eb="193">
      <t>バアイ</t>
    </rPh>
    <phoneticPr fontId="1"/>
  </si>
  <si>
    <t>委託先・動員力</t>
    <rPh sb="0" eb="3">
      <t>イタクサキ</t>
    </rPh>
    <rPh sb="4" eb="7">
      <t>ドウインリョク</t>
    </rPh>
    <phoneticPr fontId="1"/>
  </si>
  <si>
    <t>委託先は専任のアサイン、緊急時の要員の追加など柔軟に対応可能か。</t>
    <rPh sb="0" eb="3">
      <t>イタクサキ</t>
    </rPh>
    <rPh sb="12" eb="15">
      <t>キンキュウジ</t>
    </rPh>
    <rPh sb="16" eb="18">
      <t>ヨウイン</t>
    </rPh>
    <rPh sb="19" eb="21">
      <t>ツイカ</t>
    </rPh>
    <rPh sb="23" eb="25">
      <t>ジュウナン</t>
    </rPh>
    <rPh sb="26" eb="28">
      <t>タイオウ</t>
    </rPh>
    <rPh sb="28" eb="30">
      <t>カノウ</t>
    </rPh>
    <phoneticPr fontId="1"/>
  </si>
  <si>
    <t>対応可能な場合YES</t>
    <rPh sb="0" eb="2">
      <t>タイオウ</t>
    </rPh>
    <rPh sb="2" eb="4">
      <t>カノウ</t>
    </rPh>
    <rPh sb="5" eb="7">
      <t>バアイ</t>
    </rPh>
    <phoneticPr fontId="1"/>
  </si>
  <si>
    <r>
      <t>要員を専任でアサインできない場合、緊急時に迅速な対応ができない可能性がある。また、プロジェクトの進行途中で問題発生時に、要員追加を柔軟に行えないと、CTCが要員アサインに奔走することになる。</t>
    </r>
    <r>
      <rPr>
        <sz val="10"/>
        <rFont val="メイリオ"/>
        <family val="3"/>
        <charset val="128"/>
      </rPr>
      <t xml:space="preserve">
</t>
    </r>
    <r>
      <rPr>
        <sz val="10"/>
        <color indexed="12"/>
        <rFont val="メイリオ"/>
        <family val="3"/>
        <charset val="128"/>
      </rPr>
      <t xml:space="preserve">　《YES回答に該当するか否かの判断条件例》
　・必要な要員数を確保できる場合
　・PM、技術リーダー、類似のシステム開発（構築）経験者などのキーマンを専任化している場合
　・特化技術に関するノウハウや技術を保持している場合
</t>
    </r>
    <rPh sb="0" eb="2">
      <t>ヨウイン</t>
    </rPh>
    <rPh sb="17" eb="20">
      <t>キンキュウジ</t>
    </rPh>
    <rPh sb="21" eb="23">
      <t>ジンソク</t>
    </rPh>
    <rPh sb="24" eb="26">
      <t>タイオウ</t>
    </rPh>
    <rPh sb="31" eb="34">
      <t>カノウセイ</t>
    </rPh>
    <rPh sb="57" eb="58">
      <t>ジ</t>
    </rPh>
    <rPh sb="122" eb="124">
      <t>ヒツヨウ</t>
    </rPh>
    <rPh sb="125" eb="127">
      <t>ヨウイン</t>
    </rPh>
    <rPh sb="127" eb="128">
      <t>スウ</t>
    </rPh>
    <rPh sb="129" eb="131">
      <t>カクホ</t>
    </rPh>
    <rPh sb="134" eb="136">
      <t>バアイ</t>
    </rPh>
    <rPh sb="142" eb="144">
      <t>ギジュツ</t>
    </rPh>
    <rPh sb="173" eb="175">
      <t>センニン</t>
    </rPh>
    <rPh sb="175" eb="176">
      <t>カ</t>
    </rPh>
    <rPh sb="180" eb="182">
      <t>バアイ</t>
    </rPh>
    <rPh sb="185" eb="187">
      <t>トッカ</t>
    </rPh>
    <rPh sb="187" eb="189">
      <t>ギジュツ</t>
    </rPh>
    <rPh sb="201" eb="203">
      <t>ホジ</t>
    </rPh>
    <rPh sb="207" eb="209">
      <t>バアイ</t>
    </rPh>
    <phoneticPr fontId="1"/>
  </si>
  <si>
    <t>委託先・経営状況</t>
    <rPh sb="0" eb="3">
      <t>イタクサキ</t>
    </rPh>
    <rPh sb="4" eb="6">
      <t>ケイエイ</t>
    </rPh>
    <rPh sb="6" eb="8">
      <t>ジョウキョウ</t>
    </rPh>
    <phoneticPr fontId="1"/>
  </si>
  <si>
    <t>委託先の経営状況に問題はないか。</t>
    <rPh sb="0" eb="3">
      <t>イタクサキ</t>
    </rPh>
    <rPh sb="4" eb="6">
      <t>ケイエイ</t>
    </rPh>
    <rPh sb="6" eb="8">
      <t>ジョウキョウ</t>
    </rPh>
    <rPh sb="9" eb="11">
      <t>モンダイ</t>
    </rPh>
    <phoneticPr fontId="1"/>
  </si>
  <si>
    <t>問題がない場合YES</t>
    <rPh sb="0" eb="2">
      <t>モンダイ</t>
    </rPh>
    <rPh sb="5" eb="7">
      <t>バアイ</t>
    </rPh>
    <phoneticPr fontId="1"/>
  </si>
  <si>
    <r>
      <t xml:space="preserve">委託先が倒産すると、代替の委託先の選定・引継ぎなどスケジュールに影響を受ける。最悪の場合、案件を継続できなくなる可能性がある。
</t>
    </r>
    <r>
      <rPr>
        <sz val="10"/>
        <rFont val="メイリオ"/>
        <family val="3"/>
        <charset val="128"/>
      </rPr>
      <t xml:space="preserve">
</t>
    </r>
    <r>
      <rPr>
        <sz val="10"/>
        <color indexed="12"/>
        <rFont val="メイリオ"/>
        <family val="3"/>
        <charset val="128"/>
      </rPr>
      <t xml:space="preserve">　《YES回答に該当するか否かの判断条件例》
　・事前に企業調査情報を入手し、経営状況に問題がないことを確認している場合
</t>
    </r>
    <rPh sb="4" eb="6">
      <t>トウサン</t>
    </rPh>
    <rPh sb="10" eb="12">
      <t>ダイタイ</t>
    </rPh>
    <rPh sb="35" eb="36">
      <t>ウ</t>
    </rPh>
    <rPh sb="56" eb="59">
      <t>カノウセイ</t>
    </rPh>
    <rPh sb="90" eb="92">
      <t>ジゼン</t>
    </rPh>
    <rPh sb="93" eb="95">
      <t>キギョウ</t>
    </rPh>
    <rPh sb="95" eb="97">
      <t>チョウサ</t>
    </rPh>
    <rPh sb="97" eb="99">
      <t>ジョウホウ</t>
    </rPh>
    <rPh sb="100" eb="102">
      <t>ニュウシュ</t>
    </rPh>
    <rPh sb="104" eb="106">
      <t>ケイエイ</t>
    </rPh>
    <rPh sb="106" eb="108">
      <t>ジョウキョウ</t>
    </rPh>
    <rPh sb="109" eb="111">
      <t>モンダイ</t>
    </rPh>
    <rPh sb="117" eb="119">
      <t>カクニン</t>
    </rPh>
    <rPh sb="123" eb="125">
      <t>バアイ</t>
    </rPh>
    <phoneticPr fontId="1"/>
  </si>
  <si>
    <t>選定したパッケージや製品のベンダから必要な支援が受けられるか。</t>
    <rPh sb="0" eb="2">
      <t>センテイ</t>
    </rPh>
    <rPh sb="10" eb="12">
      <t>セイヒン</t>
    </rPh>
    <rPh sb="18" eb="20">
      <t>ヒツヨウ</t>
    </rPh>
    <rPh sb="21" eb="23">
      <t>シエン</t>
    </rPh>
    <rPh sb="24" eb="25">
      <t>ウ</t>
    </rPh>
    <phoneticPr fontId="1"/>
  </si>
  <si>
    <t>支援が受けられる場合YES</t>
    <rPh sb="0" eb="2">
      <t>シエン</t>
    </rPh>
    <rPh sb="3" eb="4">
      <t>ウ</t>
    </rPh>
    <rPh sb="8" eb="10">
      <t>バアイ</t>
    </rPh>
    <phoneticPr fontId="1"/>
  </si>
  <si>
    <r>
      <t xml:space="preserve">パッケージソフトウェアやインフラ製品に不具合が見つかったとき、ベンダ/メーカーからの迅速な対応を受けられないと、スケジュール遅延、コスト超過等につながる。
</t>
    </r>
    <r>
      <rPr>
        <sz val="10"/>
        <color indexed="12"/>
        <rFont val="メイリオ"/>
        <family val="3"/>
        <charset val="128"/>
      </rPr>
      <t>　《YES回答に該当するか否かの判断条件例》
　・社内のテクニカルサポート体制が十分である場合
　・ベンダ／メーカの開発力、サポート力、サポート体制、プロフェッショナルサービス、導入実績が十分である場合
　・ベンダ／メーカの経営状況、与信に問題がない場合</t>
    </r>
    <rPh sb="16" eb="18">
      <t>セイヒン</t>
    </rPh>
    <rPh sb="19" eb="22">
      <t>フグアイ</t>
    </rPh>
    <rPh sb="23" eb="24">
      <t>ミ</t>
    </rPh>
    <rPh sb="42" eb="44">
      <t>ジンソク</t>
    </rPh>
    <rPh sb="45" eb="47">
      <t>タイオウ</t>
    </rPh>
    <rPh sb="48" eb="49">
      <t>ウ</t>
    </rPh>
    <rPh sb="168" eb="170">
      <t>ドウニュウ</t>
    </rPh>
    <rPh sb="170" eb="172">
      <t>ジッセキ</t>
    </rPh>
    <phoneticPr fontId="1"/>
  </si>
  <si>
    <t>5.作業計画</t>
    <rPh sb="2" eb="4">
      <t>サギョウ</t>
    </rPh>
    <rPh sb="4" eb="6">
      <t>ケイカク</t>
    </rPh>
    <phoneticPr fontId="1"/>
  </si>
  <si>
    <t>成果物の量と品質に応じた作業工数・作業期間が計画されているか。</t>
    <rPh sb="0" eb="2">
      <t>セイカ</t>
    </rPh>
    <rPh sb="2" eb="3">
      <t>ブツ</t>
    </rPh>
    <rPh sb="4" eb="5">
      <t>リョウ</t>
    </rPh>
    <rPh sb="6" eb="8">
      <t>ヒンシツ</t>
    </rPh>
    <rPh sb="9" eb="10">
      <t>オウ</t>
    </rPh>
    <rPh sb="12" eb="14">
      <t>サギョウ</t>
    </rPh>
    <rPh sb="14" eb="16">
      <t>コウスウ</t>
    </rPh>
    <rPh sb="17" eb="19">
      <t>サギョウ</t>
    </rPh>
    <rPh sb="19" eb="21">
      <t>キカン</t>
    </rPh>
    <rPh sb="22" eb="24">
      <t>ケイカク</t>
    </rPh>
    <phoneticPr fontId="1"/>
  </si>
  <si>
    <r>
      <t xml:space="preserve">成果物の作成量と品質に応じた作業工数・作業期間が計画されていないと、品質劣化に伴う手戻りの発生、レビュー・テスト工数の増加の可能性がある。また、顧客が要求するドキュメントの質を把握しておかないと成果物の作成に想定外の工数が必要になる。
</t>
    </r>
    <r>
      <rPr>
        <sz val="10"/>
        <rFont val="メイリオ"/>
        <family val="3"/>
        <charset val="128"/>
      </rPr>
      <t xml:space="preserve">
</t>
    </r>
    <r>
      <rPr>
        <sz val="10"/>
        <color indexed="12"/>
        <rFont val="メイリオ"/>
        <family val="3"/>
        <charset val="128"/>
      </rPr>
      <t xml:space="preserve">　《YES回答に該当するか否かの判断条件例》
　・成果物サンプルを作成し、顧客・CTC・委託先で合意している場合
　・成果物の作成量が見積もられ、顧客・CTC・委託先で合意している場合
　・顧客レビューの要否、レビュー期間、作業場所、タスク間の依存関係を考慮し、適切な作業計画が作成されている場合
</t>
    </r>
    <rPh sb="4" eb="6">
      <t>サクセイ</t>
    </rPh>
    <rPh sb="24" eb="26">
      <t>ケイカク</t>
    </rPh>
    <rPh sb="34" eb="36">
      <t>ヒンシツ</t>
    </rPh>
    <rPh sb="36" eb="38">
      <t>レッカ</t>
    </rPh>
    <rPh sb="39" eb="40">
      <t>トモナ</t>
    </rPh>
    <rPh sb="41" eb="42">
      <t>テ</t>
    </rPh>
    <rPh sb="42" eb="43">
      <t>モド</t>
    </rPh>
    <rPh sb="45" eb="47">
      <t>ハッセイ</t>
    </rPh>
    <rPh sb="56" eb="58">
      <t>コウスウ</t>
    </rPh>
    <rPh sb="59" eb="61">
      <t>ゾウカ</t>
    </rPh>
    <rPh sb="62" eb="65">
      <t>カノウセイ</t>
    </rPh>
    <rPh sb="72" eb="74">
      <t>コキャク</t>
    </rPh>
    <rPh sb="75" eb="77">
      <t>ヨウキュウ</t>
    </rPh>
    <rPh sb="86" eb="87">
      <t>シツ</t>
    </rPh>
    <rPh sb="88" eb="90">
      <t>ハアク</t>
    </rPh>
    <rPh sb="97" eb="100">
      <t>セイカブツ</t>
    </rPh>
    <rPh sb="101" eb="103">
      <t>サクセイ</t>
    </rPh>
    <rPh sb="104" eb="106">
      <t>ソウテイ</t>
    </rPh>
    <rPh sb="106" eb="107">
      <t>ガイ</t>
    </rPh>
    <rPh sb="108" eb="110">
      <t>コウスウ</t>
    </rPh>
    <rPh sb="111" eb="113">
      <t>ヒツヨウ</t>
    </rPh>
    <rPh sb="144" eb="146">
      <t>セイカ</t>
    </rPh>
    <rPh sb="146" eb="147">
      <t>ブツ</t>
    </rPh>
    <rPh sb="152" eb="154">
      <t>サクセイ</t>
    </rPh>
    <rPh sb="167" eb="169">
      <t>ゴウイ</t>
    </rPh>
    <rPh sb="173" eb="175">
      <t>バアイ</t>
    </rPh>
    <rPh sb="178" eb="180">
      <t>セイカ</t>
    </rPh>
    <rPh sb="180" eb="181">
      <t>ブツ</t>
    </rPh>
    <rPh sb="182" eb="184">
      <t>サクセイ</t>
    </rPh>
    <rPh sb="184" eb="185">
      <t>リョウ</t>
    </rPh>
    <rPh sb="186" eb="188">
      <t>ミツ</t>
    </rPh>
    <rPh sb="209" eb="211">
      <t>バアイ</t>
    </rPh>
    <rPh sb="214" eb="216">
      <t>コキャク</t>
    </rPh>
    <rPh sb="221" eb="223">
      <t>ヨウヒ</t>
    </rPh>
    <rPh sb="228" eb="230">
      <t>キカン</t>
    </rPh>
    <rPh sb="231" eb="233">
      <t>サギョウ</t>
    </rPh>
    <rPh sb="233" eb="235">
      <t>バショ</t>
    </rPh>
    <rPh sb="239" eb="240">
      <t>アイダ</t>
    </rPh>
    <rPh sb="241" eb="243">
      <t>イゾン</t>
    </rPh>
    <rPh sb="243" eb="245">
      <t>カンケイ</t>
    </rPh>
    <rPh sb="246" eb="248">
      <t>コウリョ</t>
    </rPh>
    <rPh sb="250" eb="252">
      <t>テキセツ</t>
    </rPh>
    <rPh sb="253" eb="255">
      <t>サギョウ</t>
    </rPh>
    <rPh sb="255" eb="257">
      <t>ケイカク</t>
    </rPh>
    <rPh sb="258" eb="260">
      <t>サクセイ</t>
    </rPh>
    <rPh sb="265" eb="267">
      <t>バアイ</t>
    </rPh>
    <phoneticPr fontId="1"/>
  </si>
  <si>
    <t>※ 認識されたリスクは「リスク管理計画シート」に記載してリスク管理を実行してください。</t>
    <rPh sb="2" eb="4">
      <t>ニンシキ</t>
    </rPh>
    <rPh sb="15" eb="17">
      <t>カンリ</t>
    </rPh>
    <rPh sb="17" eb="19">
      <t>ケイカク</t>
    </rPh>
    <rPh sb="24" eb="26">
      <t>キサイ</t>
    </rPh>
    <rPh sb="31" eb="33">
      <t>カンリ</t>
    </rPh>
    <rPh sb="34" eb="36">
      <t>ジッコウ</t>
    </rPh>
    <phoneticPr fontId="1"/>
  </si>
  <si>
    <t>リスク管理計画立案手順ガイド</t>
    <rPh sb="3" eb="5">
      <t>カンリ</t>
    </rPh>
    <rPh sb="5" eb="7">
      <t>ケイカク</t>
    </rPh>
    <rPh sb="7" eb="9">
      <t>リツアン</t>
    </rPh>
    <rPh sb="9" eb="11">
      <t>テジュン</t>
    </rPh>
    <phoneticPr fontId="1"/>
  </si>
  <si>
    <t>顧客名／SI案件名 ：</t>
    <rPh sb="6" eb="8">
      <t>アンケン</t>
    </rPh>
    <rPh sb="8" eb="9">
      <t>メイ</t>
    </rPh>
    <phoneticPr fontId="1"/>
  </si>
  <si>
    <t>プロジェクト名 ：</t>
    <phoneticPr fontId="1"/>
  </si>
  <si>
    <t>作成日：</t>
    <rPh sb="0" eb="2">
      <t>サクセイ</t>
    </rPh>
    <rPh sb="2" eb="3">
      <t>ビ</t>
    </rPh>
    <phoneticPr fontId="1"/>
  </si>
  <si>
    <t>作成者：</t>
    <phoneticPr fontId="1"/>
  </si>
  <si>
    <t xml:space="preserve"> </t>
    <phoneticPr fontId="1"/>
  </si>
  <si>
    <t>SI案件コード ：</t>
    <rPh sb="2" eb="4">
      <t>アンケン</t>
    </rPh>
    <phoneticPr fontId="1"/>
  </si>
  <si>
    <t>プロジェクトコード(複数可) ：</t>
    <rPh sb="10" eb="12">
      <t>フクスウ</t>
    </rPh>
    <rPh sb="12" eb="13">
      <t>カ</t>
    </rPh>
    <phoneticPr fontId="1"/>
  </si>
  <si>
    <t>更新日：</t>
    <rPh sb="0" eb="3">
      <t>コウシンビ</t>
    </rPh>
    <phoneticPr fontId="1"/>
  </si>
  <si>
    <t>更新者：</t>
    <phoneticPr fontId="1"/>
  </si>
  <si>
    <t>リスク見直しの予定</t>
    <rPh sb="3" eb="5">
      <t>ミナオ</t>
    </rPh>
    <rPh sb="7" eb="9">
      <t>ヨテイ</t>
    </rPh>
    <phoneticPr fontId="1"/>
  </si>
  <si>
    <t>リスク見直しの実績</t>
    <rPh sb="3" eb="5">
      <t>ミナオ</t>
    </rPh>
    <rPh sb="7" eb="9">
      <t>ジッセキ</t>
    </rPh>
    <phoneticPr fontId="1"/>
  </si>
  <si>
    <t>リスク計画の変更有無</t>
    <phoneticPr fontId="1"/>
  </si>
  <si>
    <t>例</t>
    <rPh sb="0" eb="1">
      <t>レイ</t>
    </rPh>
    <phoneticPr fontId="1"/>
  </si>
  <si>
    <t>基本設計終了時</t>
    <rPh sb="0" eb="2">
      <t>キホン</t>
    </rPh>
    <rPh sb="2" eb="4">
      <t>セッケイ</t>
    </rPh>
    <rPh sb="4" eb="7">
      <t>シュウリョウジ</t>
    </rPh>
    <phoneticPr fontId="1"/>
  </si>
  <si>
    <t>有</t>
    <rPh sb="0" eb="1">
      <t>アリ</t>
    </rPh>
    <phoneticPr fontId="1"/>
  </si>
  <si>
    <t>記入日</t>
  </si>
  <si>
    <t>リスクイベント</t>
  </si>
  <si>
    <t>確率
（%）</t>
    <phoneticPr fontId="1"/>
  </si>
  <si>
    <t>リスクインパクト</t>
    <phoneticPr fontId="1"/>
  </si>
  <si>
    <t>金額 (\M)</t>
  </si>
  <si>
    <t>予測値
(\M)</t>
  </si>
  <si>
    <t>Top20</t>
    <phoneticPr fontId="1"/>
  </si>
  <si>
    <t>対応
方針</t>
    <rPh sb="0" eb="2">
      <t>タイオウ</t>
    </rPh>
    <rPh sb="3" eb="5">
      <t>ホウシン</t>
    </rPh>
    <phoneticPr fontId="1"/>
  </si>
  <si>
    <t>リスクを顕在化させない
ための対応策</t>
    <rPh sb="4" eb="7">
      <t>ケンザイカ</t>
    </rPh>
    <phoneticPr fontId="1"/>
  </si>
  <si>
    <t>対応
期限</t>
    <rPh sb="0" eb="2">
      <t>タイオウ</t>
    </rPh>
    <phoneticPr fontId="1"/>
  </si>
  <si>
    <t>対応
責任者</t>
    <rPh sb="0" eb="2">
      <t>タイオウ</t>
    </rPh>
    <rPh sb="3" eb="6">
      <t>セキニンシャ</t>
    </rPh>
    <phoneticPr fontId="1"/>
  </si>
  <si>
    <t>対応策実施
完了日</t>
    <rPh sb="0" eb="2">
      <t>タイオウ</t>
    </rPh>
    <rPh sb="2" eb="3">
      <t>サク</t>
    </rPh>
    <rPh sb="6" eb="9">
      <t>カンリョウビ</t>
    </rPh>
    <phoneticPr fontId="1"/>
  </si>
  <si>
    <t>コンティンジェンシー予備費　(\M)</t>
    <rPh sb="10" eb="13">
      <t>ヨビヒ</t>
    </rPh>
    <phoneticPr fontId="1"/>
  </si>
  <si>
    <t>監視
期限</t>
    <phoneticPr fontId="1"/>
  </si>
  <si>
    <t>トリガー</t>
    <phoneticPr fontId="1"/>
  </si>
  <si>
    <t>リスクが顕在化したときの処置</t>
    <rPh sb="4" eb="7">
      <t>ケンザイカ</t>
    </rPh>
    <phoneticPr fontId="1"/>
  </si>
  <si>
    <t>状況
確認日</t>
    <rPh sb="0" eb="2">
      <t>ジョウキョウ</t>
    </rPh>
    <rPh sb="3" eb="5">
      <t>カクニン</t>
    </rPh>
    <rPh sb="5" eb="6">
      <t>ビ</t>
    </rPh>
    <phoneticPr fontId="1"/>
  </si>
  <si>
    <t>確認
結果</t>
    <rPh sb="0" eb="2">
      <t>カクニン</t>
    </rPh>
    <rPh sb="3" eb="5">
      <t>ケッカ</t>
    </rPh>
    <phoneticPr fontId="1"/>
  </si>
  <si>
    <t>確認状況</t>
    <rPh sb="0" eb="2">
      <t>カクニン</t>
    </rPh>
    <rPh sb="2" eb="4">
      <t>ジョウキョウ</t>
    </rPh>
    <phoneticPr fontId="1"/>
  </si>
  <si>
    <t>リスク顕在化による対応費用実績(\M)</t>
    <rPh sb="3" eb="6">
      <t>ケンザイカ</t>
    </rPh>
    <rPh sb="9" eb="11">
      <t>タイオウ</t>
    </rPh>
    <rPh sb="11" eb="13">
      <t>ヒヨウ</t>
    </rPh>
    <rPh sb="13" eb="15">
      <t>ジッセキ</t>
    </rPh>
    <phoneticPr fontId="1"/>
  </si>
  <si>
    <t xml:space="preserve">  </t>
  </si>
  <si>
    <t>リスク管理計画シート</t>
    <rPh sb="3" eb="5">
      <t>カンリ</t>
    </rPh>
    <rPh sb="5" eb="7">
      <t>ケイカク</t>
    </rPh>
    <phoneticPr fontId="1"/>
  </si>
  <si>
    <t>▼対応方針についての詳細説明はこちら</t>
    <rPh sb="1" eb="3">
      <t>タイオウ</t>
    </rPh>
    <phoneticPr fontId="1"/>
  </si>
  <si>
    <t>対応方針</t>
    <rPh sb="0" eb="2">
      <t>タイオウ</t>
    </rPh>
    <rPh sb="2" eb="4">
      <t>ホウシン</t>
    </rPh>
    <phoneticPr fontId="1"/>
  </si>
  <si>
    <t xml:space="preserve">対応策
実施
完了日
</t>
    <rPh sb="0" eb="2">
      <t>タイオウ</t>
    </rPh>
    <rPh sb="2" eb="3">
      <t>サク</t>
    </rPh>
    <rPh sb="4" eb="6">
      <t>ジッシ</t>
    </rPh>
    <rPh sb="7" eb="9">
      <t>カンリョウ</t>
    </rPh>
    <rPh sb="9" eb="10">
      <t>ビ</t>
    </rPh>
    <phoneticPr fontId="1"/>
  </si>
  <si>
    <t>コンティンジェンシー
予備費(\M)</t>
    <rPh sb="11" eb="14">
      <t>ヨビヒ</t>
    </rPh>
    <phoneticPr fontId="1"/>
  </si>
  <si>
    <t>確認結果</t>
    <rPh sb="0" eb="2">
      <t>カクニン</t>
    </rPh>
    <rPh sb="2" eb="4">
      <t>ケッカ</t>
    </rPh>
    <phoneticPr fontId="1"/>
  </si>
  <si>
    <t>記入方法・例</t>
    <rPh sb="0" eb="2">
      <t>キニュウ</t>
    </rPh>
    <rPh sb="2" eb="4">
      <t>ホウホウ</t>
    </rPh>
    <rPh sb="5" eb="6">
      <t>レイ</t>
    </rPh>
    <phoneticPr fontId="1"/>
  </si>
  <si>
    <t>当該行の記入日付を記入します。一度作成した行は削除せず、グレーアウトします。</t>
    <phoneticPr fontId="1"/>
  </si>
  <si>
    <t>リスクの要因とその影響による
現象を記入します。</t>
    <phoneticPr fontId="1"/>
  </si>
  <si>
    <t>案件チェックリストで「リスク有」となった項目のリスク観点を選択します。
案件チェックリストで洗い出したリスクでなければ、「該当なし」を選択します。</t>
    <rPh sb="14" eb="15">
      <t>ユウ</t>
    </rPh>
    <phoneticPr fontId="1"/>
  </si>
  <si>
    <t>リスクが顕在化する確率を記入します。
※確率は、リスクの査定をするためのものです。
対応策をとる前の発生確率を記入してください。</t>
  </si>
  <si>
    <t>リスクが顕在化した場合のプロジェクトへのダメージ内容を記入します。金額を算出するための根拠となる数値も記入してください。</t>
  </si>
  <si>
    <t>リスクが顕在化した場合に、必要となる対応コストの金額を見積り、記入します。</t>
  </si>
  <si>
    <t>予測値＝リスクインパクト（金額）×確率
※予測値は、リスクの順位付け、対応策の検討、コンティンジェンシー予備費の検討に使用します。</t>
    <phoneticPr fontId="1"/>
  </si>
  <si>
    <t>・原則、予測値の大きいものから順位付けします。ただし、社会的信用の失墜等コストに換算できないリスクは、プロジェクトマネージャの判断で順位を付番してください。
・上位20位のリスクを対応対象としていますが、対応数は、プロジェクトマネージャ(責任者)の判断で増減してください。</t>
    <phoneticPr fontId="1"/>
  </si>
  <si>
    <t>リスクの対応方針をプルダウンリストから選択します。
・回避
・転嫁
・軽減
・受容</t>
    <phoneticPr fontId="1"/>
  </si>
  <si>
    <t>リスクを回避、もしくは軽減するための対応策の内容を記入します。</t>
  </si>
  <si>
    <t>リスク対応策の実施期限を記入します。</t>
    <phoneticPr fontId="1"/>
  </si>
  <si>
    <t>リスク対応策の対応責任者を記入します。</t>
    <phoneticPr fontId="1"/>
  </si>
  <si>
    <t xml:space="preserve">リスク対応策について実施完了した日付を記入します。
</t>
  </si>
  <si>
    <t>コンティンジェンシーを確保した場合に該当金額を記入します。</t>
  </si>
  <si>
    <t>リスクの監視期限を
記入します。
例) 基本設計完了まで</t>
    <phoneticPr fontId="1"/>
  </si>
  <si>
    <t>リスクが顕在化したことを認識する現象を記入します。
例)工程遅延が1ヶ月</t>
    <phoneticPr fontId="1"/>
  </si>
  <si>
    <t>リスクが顕在化した場合に想定される、取るべき処置を記入します。</t>
    <phoneticPr fontId="1"/>
  </si>
  <si>
    <t>リスク状況(監視継続/顕在化/消滅)を確認した日付を記入します。</t>
    <phoneticPr fontId="1"/>
  </si>
  <si>
    <t>確認結果を選択します。
(監視継続/顕在化/消滅)
※新たなリスクが発生した場合には、別行にリスクを追加します。</t>
    <phoneticPr fontId="1"/>
  </si>
  <si>
    <t>リスクが"消滅"となった場合には、消滅の根拠を記入します。
リスクが"顕在化"した場合には、顕在化したリスクに対して行った対策内容を記入します。</t>
  </si>
  <si>
    <t>リスクが顕在化した場合に、使用した費用の実績を記入します。</t>
    <phoneticPr fontId="1"/>
  </si>
  <si>
    <t>金額・予測値合計</t>
    <rPh sb="0" eb="2">
      <t>キンガク</t>
    </rPh>
    <rPh sb="3" eb="5">
      <t>ヨソク</t>
    </rPh>
    <rPh sb="5" eb="6">
      <t>アタイ</t>
    </rPh>
    <rPh sb="6" eb="8">
      <t>ゴウケイ</t>
    </rPh>
    <phoneticPr fontId="1"/>
  </si>
  <si>
    <t>コンティンジェンシー予備費合計</t>
    <rPh sb="10" eb="13">
      <t>ヨビヒ</t>
    </rPh>
    <rPh sb="13" eb="15">
      <t>ゴウケイ</t>
    </rPh>
    <phoneticPr fontId="1"/>
  </si>
  <si>
    <t>対応費用実績合計</t>
    <phoneticPr fontId="1"/>
  </si>
  <si>
    <t>※網掛け部分は記入しないでください（自動計算です)。</t>
    <rPh sb="1" eb="3">
      <t>アミカ</t>
    </rPh>
    <rPh sb="4" eb="6">
      <t>ブブン</t>
    </rPh>
    <rPh sb="7" eb="9">
      <t>キニュウ</t>
    </rPh>
    <rPh sb="18" eb="20">
      <t>ジドウ</t>
    </rPh>
    <rPh sb="20" eb="22">
      <t>ケイサン</t>
    </rPh>
    <phoneticPr fontId="1"/>
  </si>
  <si>
    <t>【参考】非機能一覧(開発見積用）</t>
    <phoneticPr fontId="1"/>
  </si>
  <si>
    <t>項番</t>
    <rPh sb="0" eb="1">
      <t>コウ</t>
    </rPh>
    <rPh sb="1" eb="2">
      <t>バン</t>
    </rPh>
    <phoneticPr fontId="12"/>
  </si>
  <si>
    <t>大項目（6）</t>
    <rPh sb="0" eb="1">
      <t>ダイ</t>
    </rPh>
    <rPh sb="1" eb="3">
      <t>コウモク</t>
    </rPh>
    <phoneticPr fontId="12"/>
  </si>
  <si>
    <t>中項目（21）</t>
    <rPh sb="0" eb="1">
      <t>チュウ</t>
    </rPh>
    <rPh sb="1" eb="3">
      <t>コウモク</t>
    </rPh>
    <phoneticPr fontId="12"/>
  </si>
  <si>
    <t>非機能要件（47）</t>
    <rPh sb="0" eb="1">
      <t>ヒ</t>
    </rPh>
    <rPh sb="1" eb="3">
      <t>キノウ</t>
    </rPh>
    <rPh sb="3" eb="5">
      <t>ヨウケン</t>
    </rPh>
    <phoneticPr fontId="12"/>
  </si>
  <si>
    <t>非機能要求
グレード
項番</t>
    <rPh sb="0" eb="1">
      <t>ヒ</t>
    </rPh>
    <rPh sb="1" eb="3">
      <t>キノウ</t>
    </rPh>
    <rPh sb="3" eb="5">
      <t>ヨウキュウ</t>
    </rPh>
    <rPh sb="11" eb="13">
      <t>コウバン</t>
    </rPh>
    <phoneticPr fontId="12"/>
  </si>
  <si>
    <t>非機能要件説明</t>
    <rPh sb="0" eb="1">
      <t>ヒ</t>
    </rPh>
    <rPh sb="1" eb="3">
      <t>キノウ</t>
    </rPh>
    <rPh sb="3" eb="5">
      <t>ヨウケン</t>
    </rPh>
    <rPh sb="5" eb="7">
      <t>セツメイ</t>
    </rPh>
    <phoneticPr fontId="1"/>
  </si>
  <si>
    <t>見積影響理由</t>
    <rPh sb="0" eb="2">
      <t>ミツモリ</t>
    </rPh>
    <rPh sb="2" eb="4">
      <t>エイキョウ</t>
    </rPh>
    <rPh sb="4" eb="6">
      <t>リユウ</t>
    </rPh>
    <phoneticPr fontId="1"/>
  </si>
  <si>
    <t>見積変動要素（確認項目）</t>
    <phoneticPr fontId="12"/>
  </si>
  <si>
    <t>確認済
チェック</t>
    <rPh sb="2" eb="3">
      <t>ズ</t>
    </rPh>
    <phoneticPr fontId="12"/>
  </si>
  <si>
    <t>システム環境</t>
    <rPh sb="4" eb="6">
      <t>カンキョウ</t>
    </rPh>
    <phoneticPr fontId="1"/>
  </si>
  <si>
    <t>システム制約/前提条件</t>
    <phoneticPr fontId="1"/>
  </si>
  <si>
    <t>構築時の制約条件</t>
    <rPh sb="0" eb="2">
      <t>コウチク</t>
    </rPh>
    <rPh sb="2" eb="3">
      <t>ジ</t>
    </rPh>
    <rPh sb="4" eb="6">
      <t>セイヤク</t>
    </rPh>
    <rPh sb="6" eb="8">
      <t>ジョウケン</t>
    </rPh>
    <phoneticPr fontId="12"/>
  </si>
  <si>
    <t>F.1.1.1</t>
    <phoneticPr fontId="1"/>
  </si>
  <si>
    <t>構築時の制約となる顧客の社内基準や法令、各地方自治体の条例などの制約が存在しているかの項目。</t>
    <rPh sb="9" eb="11">
      <t>コキャク</t>
    </rPh>
    <rPh sb="17" eb="19">
      <t>ホウレイ</t>
    </rPh>
    <rPh sb="32" eb="34">
      <t>セイヤク</t>
    </rPh>
    <rPh sb="35" eb="37">
      <t>ソンザイ</t>
    </rPh>
    <rPh sb="43" eb="45">
      <t>コウモク</t>
    </rPh>
    <phoneticPr fontId="12"/>
  </si>
  <si>
    <t>開発全般に影響する。</t>
    <phoneticPr fontId="1"/>
  </si>
  <si>
    <t xml:space="preserve">ステークホルダーの調整工数
開発環境の制限(生産性)
法令・条例
顧客社内基準
コンプライアンス
</t>
    <rPh sb="33" eb="35">
      <t>コキャク</t>
    </rPh>
    <rPh sb="35" eb="37">
      <t>シャナイ</t>
    </rPh>
    <rPh sb="37" eb="39">
      <t>キジュン</t>
    </rPh>
    <phoneticPr fontId="12"/>
  </si>
  <si>
    <t>運用時の制約条件</t>
    <rPh sb="0" eb="2">
      <t>ウンヨウ</t>
    </rPh>
    <rPh sb="2" eb="3">
      <t>ジ</t>
    </rPh>
    <rPh sb="4" eb="6">
      <t>セイヤク</t>
    </rPh>
    <rPh sb="6" eb="8">
      <t>ジョウケン</t>
    </rPh>
    <phoneticPr fontId="12"/>
  </si>
  <si>
    <t>F.1.2.1</t>
    <phoneticPr fontId="1"/>
  </si>
  <si>
    <t>運用時の制約となる顧客の社内基準や法令、各地方自治体の条例などの制約が存在しているかの項目。</t>
    <rPh sb="0" eb="2">
      <t>ウンヨウ</t>
    </rPh>
    <rPh sb="9" eb="11">
      <t>コキャク</t>
    </rPh>
    <rPh sb="17" eb="19">
      <t>ホウレイ</t>
    </rPh>
    <rPh sb="32" eb="34">
      <t>セイヤク</t>
    </rPh>
    <phoneticPr fontId="12"/>
  </si>
  <si>
    <t>運用設計、本番運用に影響する。</t>
    <rPh sb="0" eb="2">
      <t>ウンヨウ</t>
    </rPh>
    <rPh sb="2" eb="4">
      <t>セッケイ</t>
    </rPh>
    <rPh sb="5" eb="7">
      <t>ホンバン</t>
    </rPh>
    <rPh sb="7" eb="9">
      <t>ウンヨウ</t>
    </rPh>
    <rPh sb="10" eb="12">
      <t>エイキョウ</t>
    </rPh>
    <phoneticPr fontId="1"/>
  </si>
  <si>
    <t xml:space="preserve">法令・条例
顧客社内基準
コンプライアンス
</t>
    <phoneticPr fontId="12"/>
  </si>
  <si>
    <t>システム特性</t>
    <rPh sb="4" eb="6">
      <t>トクセイ</t>
    </rPh>
    <phoneticPr fontId="1"/>
  </si>
  <si>
    <t>地域的広がり</t>
    <rPh sb="0" eb="3">
      <t>チイキテキ</t>
    </rPh>
    <rPh sb="3" eb="4">
      <t>ヒロ</t>
    </rPh>
    <phoneticPr fontId="1"/>
  </si>
  <si>
    <t>F.2.4.1</t>
    <phoneticPr fontId="1"/>
  </si>
  <si>
    <t xml:space="preserve">システムが稼働する地域的な広がり。
</t>
    <rPh sb="9" eb="12">
      <t>チイキテキ</t>
    </rPh>
    <rPh sb="13" eb="14">
      <t>ヒロ</t>
    </rPh>
    <phoneticPr fontId="1"/>
  </si>
  <si>
    <t xml:space="preserve">開発全般に影響する。
</t>
    <rPh sb="0" eb="2">
      <t>カイハツ</t>
    </rPh>
    <rPh sb="2" eb="4">
      <t>ゼンパン</t>
    </rPh>
    <rPh sb="5" eb="7">
      <t>エイキョウ</t>
    </rPh>
    <phoneticPr fontId="1"/>
  </si>
  <si>
    <t xml:space="preserve">各国の法令・条例
輸出の手続きの手間
各国の電気・通信インフラ環境
時差
通貨・為替レート
</t>
    <rPh sb="0" eb="2">
      <t>カッコク</t>
    </rPh>
    <rPh sb="3" eb="5">
      <t>ホウレイ</t>
    </rPh>
    <rPh sb="6" eb="8">
      <t>ジョウレイ</t>
    </rPh>
    <rPh sb="9" eb="11">
      <t>ユシュツ</t>
    </rPh>
    <rPh sb="12" eb="14">
      <t>テツヅ</t>
    </rPh>
    <rPh sb="16" eb="18">
      <t>テマ</t>
    </rPh>
    <rPh sb="19" eb="21">
      <t>カッコク</t>
    </rPh>
    <rPh sb="22" eb="24">
      <t>デンキ</t>
    </rPh>
    <rPh sb="25" eb="27">
      <t>ツウシン</t>
    </rPh>
    <rPh sb="31" eb="33">
      <t>カンキョウ</t>
    </rPh>
    <rPh sb="34" eb="36">
      <t>ジサ</t>
    </rPh>
    <rPh sb="37" eb="39">
      <t>ツウカ</t>
    </rPh>
    <rPh sb="40" eb="42">
      <t>カワセ</t>
    </rPh>
    <phoneticPr fontId="1"/>
  </si>
  <si>
    <t>特定製品指定</t>
    <rPh sb="0" eb="2">
      <t>トクテイ</t>
    </rPh>
    <rPh sb="2" eb="4">
      <t>セイヒン</t>
    </rPh>
    <rPh sb="4" eb="6">
      <t>シテイ</t>
    </rPh>
    <phoneticPr fontId="1"/>
  </si>
  <si>
    <t>F.2.5.1</t>
    <phoneticPr fontId="1"/>
  </si>
  <si>
    <t xml:space="preserve">ユーザの指定によるオープンソース製品や第三者製品(ISV/IHV)などの採用の有無を確認する項目。
</t>
    <rPh sb="42" eb="44">
      <t>カクニン</t>
    </rPh>
    <rPh sb="46" eb="48">
      <t>コウモク</t>
    </rPh>
    <phoneticPr fontId="1"/>
  </si>
  <si>
    <t xml:space="preserve">開発全般（特に事前検証工数が必要）に製品依存の影響がある。
</t>
    <rPh sb="5" eb="6">
      <t>トク</t>
    </rPh>
    <rPh sb="7" eb="9">
      <t>ジゼン</t>
    </rPh>
    <rPh sb="14" eb="16">
      <t>ヒツヨウ</t>
    </rPh>
    <phoneticPr fontId="1"/>
  </si>
  <si>
    <t xml:space="preserve">ユーザ特定製品の採用有無
アプリが稼動するOS
アプリが稼動する製品のバージョン
プロフェッショナルサービスの有無
</t>
    <rPh sb="3" eb="5">
      <t>トクテイ</t>
    </rPh>
    <rPh sb="5" eb="7">
      <t>セイヒン</t>
    </rPh>
    <rPh sb="10" eb="12">
      <t>ウム</t>
    </rPh>
    <rPh sb="28" eb="30">
      <t>カドウ</t>
    </rPh>
    <rPh sb="32" eb="34">
      <t>セイヒン</t>
    </rPh>
    <rPh sb="55" eb="57">
      <t>ウム</t>
    </rPh>
    <phoneticPr fontId="1"/>
  </si>
  <si>
    <t>システム利用範囲</t>
    <rPh sb="4" eb="6">
      <t>リヨウ</t>
    </rPh>
    <rPh sb="6" eb="8">
      <t>ハンイ</t>
    </rPh>
    <phoneticPr fontId="1"/>
  </si>
  <si>
    <t>F.2.6.1</t>
    <phoneticPr fontId="1"/>
  </si>
  <si>
    <t xml:space="preserve">システム利用者が属する属性の広がり。
</t>
    <rPh sb="4" eb="6">
      <t>リヨウ</t>
    </rPh>
    <rPh sb="6" eb="7">
      <t>シャ</t>
    </rPh>
    <rPh sb="8" eb="9">
      <t>ゾク</t>
    </rPh>
    <rPh sb="11" eb="13">
      <t>ゾクセイ</t>
    </rPh>
    <rPh sb="14" eb="15">
      <t>ヒロ</t>
    </rPh>
    <phoneticPr fontId="1"/>
  </si>
  <si>
    <t xml:space="preserve">利用内容により、テスト工数、品質強化の工数に影響する。
（例）
B2B、B2Cなどはテスト工数を大きくする。
</t>
    <rPh sb="0" eb="2">
      <t>リヨウ</t>
    </rPh>
    <rPh sb="2" eb="4">
      <t>ナイヨウ</t>
    </rPh>
    <rPh sb="11" eb="13">
      <t>コウスウ</t>
    </rPh>
    <rPh sb="14" eb="16">
      <t>ヒンシツ</t>
    </rPh>
    <rPh sb="16" eb="18">
      <t>キョウカ</t>
    </rPh>
    <rPh sb="19" eb="21">
      <t>コウスウ</t>
    </rPh>
    <rPh sb="22" eb="24">
      <t>エイキョウ</t>
    </rPh>
    <rPh sb="30" eb="31">
      <t>レイ</t>
    </rPh>
    <rPh sb="46" eb="48">
      <t>コウスウ</t>
    </rPh>
    <rPh sb="49" eb="50">
      <t>オオ</t>
    </rPh>
    <phoneticPr fontId="1"/>
  </si>
  <si>
    <t>システム利用の範囲
　（社内システム、B2B、B2Cなど）</t>
    <rPh sb="4" eb="6">
      <t>リヨウ</t>
    </rPh>
    <rPh sb="7" eb="9">
      <t>ハンイ</t>
    </rPh>
    <phoneticPr fontId="1"/>
  </si>
  <si>
    <t>複数言語対応</t>
    <rPh sb="0" eb="2">
      <t>フクスウ</t>
    </rPh>
    <rPh sb="2" eb="4">
      <t>ゲンゴ</t>
    </rPh>
    <rPh sb="4" eb="6">
      <t>タイオウ</t>
    </rPh>
    <phoneticPr fontId="1"/>
  </si>
  <si>
    <t>F.2.7.1</t>
    <phoneticPr fontId="1"/>
  </si>
  <si>
    <t xml:space="preserve">システム構築の上で使用が必要、またはサービスとして提供しなければならない言語。扱わなければならない言語の数や各言語スキル保持者へのアクセシビリティを考慮。
</t>
    <rPh sb="4" eb="6">
      <t>コウチク</t>
    </rPh>
    <rPh sb="7" eb="8">
      <t>ウエ</t>
    </rPh>
    <rPh sb="9" eb="11">
      <t>シヨウ</t>
    </rPh>
    <rPh sb="12" eb="14">
      <t>ヒツヨウ</t>
    </rPh>
    <rPh sb="25" eb="27">
      <t>テイキョウ</t>
    </rPh>
    <rPh sb="36" eb="38">
      <t>ゲンゴ</t>
    </rPh>
    <rPh sb="39" eb="40">
      <t>アツカ</t>
    </rPh>
    <rPh sb="49" eb="51">
      <t>ゲンゴ</t>
    </rPh>
    <rPh sb="52" eb="53">
      <t>カズ</t>
    </rPh>
    <rPh sb="60" eb="63">
      <t>ホジシャ</t>
    </rPh>
    <phoneticPr fontId="1"/>
  </si>
  <si>
    <t xml:space="preserve">多言語対応により、設計、実装の工数に影響する。
（例）
画面設計工数×言語数、
データ設計工数×言語数、
マニュアル×言語数、
翻訳要員工数
</t>
    <rPh sb="0" eb="3">
      <t>タゲンゴ</t>
    </rPh>
    <rPh sb="3" eb="5">
      <t>タイオウ</t>
    </rPh>
    <rPh sb="9" eb="11">
      <t>セッケイ</t>
    </rPh>
    <rPh sb="12" eb="14">
      <t>ジッソウ</t>
    </rPh>
    <rPh sb="15" eb="17">
      <t>コウスウ</t>
    </rPh>
    <rPh sb="18" eb="20">
      <t>エイキョウ</t>
    </rPh>
    <rPh sb="26" eb="27">
      <t>レイ</t>
    </rPh>
    <phoneticPr fontId="1"/>
  </si>
  <si>
    <t>言語数
言語の特性</t>
    <rPh sb="0" eb="2">
      <t>ゲンゴ</t>
    </rPh>
    <rPh sb="2" eb="3">
      <t>スウ</t>
    </rPh>
    <rPh sb="4" eb="6">
      <t>ゲンゴ</t>
    </rPh>
    <rPh sb="7" eb="9">
      <t>トクセイ</t>
    </rPh>
    <phoneticPr fontId="1"/>
  </si>
  <si>
    <t>可用性</t>
    <rPh sb="0" eb="1">
      <t>カ</t>
    </rPh>
    <rPh sb="1" eb="2">
      <t>ヨウ</t>
    </rPh>
    <rPh sb="2" eb="3">
      <t>セイ</t>
    </rPh>
    <phoneticPr fontId="1"/>
  </si>
  <si>
    <t>継続性</t>
    <rPh sb="0" eb="2">
      <t>ケイゾク</t>
    </rPh>
    <rPh sb="2" eb="3">
      <t>セイ</t>
    </rPh>
    <phoneticPr fontId="1"/>
  </si>
  <si>
    <t>目標復旧水準
（業務停止時）</t>
    <rPh sb="0" eb="2">
      <t>モクヒョウ</t>
    </rPh>
    <rPh sb="2" eb="4">
      <t>フッキュウ</t>
    </rPh>
    <rPh sb="4" eb="6">
      <t>スイジュン</t>
    </rPh>
    <rPh sb="8" eb="10">
      <t>ギョウム</t>
    </rPh>
    <rPh sb="10" eb="12">
      <t>テイシ</t>
    </rPh>
    <rPh sb="12" eb="13">
      <t>ジ</t>
    </rPh>
    <phoneticPr fontId="12"/>
  </si>
  <si>
    <t>A.1.3.1
A.1.3.2
A.1.3.3</t>
    <phoneticPr fontId="1"/>
  </si>
  <si>
    <t xml:space="preserve">業務停止を伴う障害が発生した際、何をどこまで、どれ位で復旧させるかの目標。
</t>
    <rPh sb="0" eb="2">
      <t>ギョウム</t>
    </rPh>
    <rPh sb="2" eb="4">
      <t>テイシ</t>
    </rPh>
    <rPh sb="5" eb="6">
      <t>トモナ</t>
    </rPh>
    <rPh sb="7" eb="9">
      <t>ショウガイ</t>
    </rPh>
    <rPh sb="10" eb="12">
      <t>ハッセイ</t>
    </rPh>
    <rPh sb="14" eb="15">
      <t>サイ</t>
    </rPh>
    <rPh sb="16" eb="17">
      <t>ナニ</t>
    </rPh>
    <rPh sb="25" eb="26">
      <t>クライ</t>
    </rPh>
    <rPh sb="27" eb="29">
      <t>フッキュウ</t>
    </rPh>
    <rPh sb="34" eb="36">
      <t>モクヒョウ</t>
    </rPh>
    <phoneticPr fontId="12"/>
  </si>
  <si>
    <t xml:space="preserve">業務アプリの種類によって、M/W(DB、インスタンスの数、など）を考慮し、運用設計の工数に影響する。
例：ツーフェーズコミットの方式、戻し先の管理（ログ）方式
（基盤で実施されていれば、工数には影響がない）
</t>
    <rPh sb="0" eb="2">
      <t>ギョウム</t>
    </rPh>
    <rPh sb="6" eb="8">
      <t>シュルイ</t>
    </rPh>
    <rPh sb="37" eb="39">
      <t>ウンヨウ</t>
    </rPh>
    <rPh sb="39" eb="41">
      <t>セッケイ</t>
    </rPh>
    <rPh sb="42" eb="44">
      <t>コウスウ</t>
    </rPh>
    <rPh sb="45" eb="47">
      <t>エイキョウ</t>
    </rPh>
    <rPh sb="52" eb="53">
      <t>レイ</t>
    </rPh>
    <rPh sb="65" eb="67">
      <t>ホウシキ</t>
    </rPh>
    <rPh sb="68" eb="69">
      <t>モド</t>
    </rPh>
    <rPh sb="70" eb="71">
      <t>サキ</t>
    </rPh>
    <rPh sb="72" eb="74">
      <t>カンリ</t>
    </rPh>
    <rPh sb="78" eb="80">
      <t>ホウシキ</t>
    </rPh>
    <rPh sb="82" eb="84">
      <t>キバン</t>
    </rPh>
    <rPh sb="85" eb="87">
      <t>ジッシ</t>
    </rPh>
    <rPh sb="94" eb="96">
      <t>コウスウ</t>
    </rPh>
    <rPh sb="98" eb="100">
      <t>エイキョウ</t>
    </rPh>
    <phoneticPr fontId="1"/>
  </si>
  <si>
    <t>RPO（目標復旧地点）
RTO（目標復旧時間）
RLO（目標復旧レベル）
復旧方法</t>
    <rPh sb="4" eb="6">
      <t>モクヒョウ</t>
    </rPh>
    <rPh sb="6" eb="8">
      <t>フッキュウ</t>
    </rPh>
    <rPh sb="8" eb="10">
      <t>チテン</t>
    </rPh>
    <rPh sb="37" eb="39">
      <t>フッキュウ</t>
    </rPh>
    <rPh sb="39" eb="41">
      <t>ホウホウ</t>
    </rPh>
    <phoneticPr fontId="12"/>
  </si>
  <si>
    <t>性能・拡張性</t>
    <rPh sb="0" eb="2">
      <t>セイノウ</t>
    </rPh>
    <rPh sb="3" eb="6">
      <t>カクチョウセイ</t>
    </rPh>
    <phoneticPr fontId="1"/>
  </si>
  <si>
    <t>性能目標値</t>
    <rPh sb="0" eb="2">
      <t>セイノウ</t>
    </rPh>
    <rPh sb="2" eb="5">
      <t>モクヒョウチ</t>
    </rPh>
    <phoneticPr fontId="1"/>
  </si>
  <si>
    <t>オンラインレスポンス</t>
    <phoneticPr fontId="1"/>
  </si>
  <si>
    <t>B.2.1.1
B.2.1.2
B.2.1.3</t>
    <phoneticPr fontId="1"/>
  </si>
  <si>
    <t xml:space="preserve">オンラインシステム利用時に要求されるレスポンス。
システム化する対象業務の特性をふまえ、どの程度のレスポンスが必要かについて確認する。
</t>
    <rPh sb="9" eb="12">
      <t>リヨウジ</t>
    </rPh>
    <rPh sb="13" eb="15">
      <t>ヨウキュウ</t>
    </rPh>
    <rPh sb="46" eb="48">
      <t>テイド</t>
    </rPh>
    <rPh sb="55" eb="57">
      <t>ヒツヨウ</t>
    </rPh>
    <rPh sb="62" eb="64">
      <t>カクニン</t>
    </rPh>
    <phoneticPr fontId="12"/>
  </si>
  <si>
    <t>アプリの性能要件として設計、実装、性能テストの工数に影響する。特に順守率によって事前検証、設計、テスト工数に影響する。</t>
    <rPh sb="4" eb="6">
      <t>セイノウ</t>
    </rPh>
    <rPh sb="6" eb="8">
      <t>ヨウケン</t>
    </rPh>
    <rPh sb="11" eb="13">
      <t>セッケイ</t>
    </rPh>
    <rPh sb="14" eb="16">
      <t>ジッソウ</t>
    </rPh>
    <rPh sb="17" eb="19">
      <t>セイノウ</t>
    </rPh>
    <rPh sb="23" eb="25">
      <t>コウスウ</t>
    </rPh>
    <rPh sb="26" eb="28">
      <t>エイキョウ</t>
    </rPh>
    <phoneticPr fontId="1"/>
  </si>
  <si>
    <t xml:space="preserve">通常時レスポンス順守率
ピーク時レスポンス順守率
縮退時レスポンス順守率
利用者数
同時接続数
データ量
</t>
    <rPh sb="0" eb="3">
      <t>ツウジョウジ</t>
    </rPh>
    <rPh sb="8" eb="10">
      <t>ジュンシュ</t>
    </rPh>
    <rPh sb="10" eb="11">
      <t>リツ</t>
    </rPh>
    <rPh sb="42" eb="44">
      <t>ドウジ</t>
    </rPh>
    <rPh sb="44" eb="46">
      <t>セツゾク</t>
    </rPh>
    <rPh sb="46" eb="47">
      <t>スウ</t>
    </rPh>
    <phoneticPr fontId="12"/>
  </si>
  <si>
    <t>バッチレスポンス
（ターンアラウンドタイム）</t>
    <phoneticPr fontId="1"/>
  </si>
  <si>
    <t>B.2.2.1
B.2.2.2
B.2.2.3</t>
    <phoneticPr fontId="1"/>
  </si>
  <si>
    <t xml:space="preserve">バッチシステム利用時に要求されるレスポンス。
システム化する対象業務の特性をふまえ、どの程度のレスポンス（ターンアラウンドタイム）が必要かについて確認する。
</t>
    <rPh sb="11" eb="13">
      <t>ヨウキュウ</t>
    </rPh>
    <rPh sb="27" eb="28">
      <t>カ</t>
    </rPh>
    <rPh sb="30" eb="32">
      <t>タイショウ</t>
    </rPh>
    <rPh sb="32" eb="34">
      <t>ギョウム</t>
    </rPh>
    <rPh sb="35" eb="37">
      <t>トクセイ</t>
    </rPh>
    <rPh sb="44" eb="46">
      <t>テイド</t>
    </rPh>
    <rPh sb="66" eb="68">
      <t>ヒツヨウ</t>
    </rPh>
    <rPh sb="73" eb="75">
      <t>カクニン</t>
    </rPh>
    <phoneticPr fontId="12"/>
  </si>
  <si>
    <t xml:space="preserve">アプリの性能要件として設計、実装、性能テストの工数に影響する。特に順守率によって事前検証、設計、テスト工数に影響する。
</t>
    <rPh sb="4" eb="6">
      <t>セイノウ</t>
    </rPh>
    <rPh sb="6" eb="8">
      <t>ヨウケン</t>
    </rPh>
    <rPh sb="11" eb="13">
      <t>セッケイ</t>
    </rPh>
    <rPh sb="14" eb="16">
      <t>ジッソウ</t>
    </rPh>
    <rPh sb="17" eb="19">
      <t>セイノウ</t>
    </rPh>
    <rPh sb="23" eb="25">
      <t>コウスウ</t>
    </rPh>
    <rPh sb="26" eb="28">
      <t>エイキョウ</t>
    </rPh>
    <rPh sb="31" eb="32">
      <t>トク</t>
    </rPh>
    <phoneticPr fontId="1"/>
  </si>
  <si>
    <t xml:space="preserve">通常時レスポンス順守率
ピーク時レスポンス順守率
縮退時レスポンス順守率
データ量
多重度
</t>
    <rPh sb="0" eb="3">
      <t>ツウジョウジ</t>
    </rPh>
    <rPh sb="8" eb="10">
      <t>ジュンシュ</t>
    </rPh>
    <rPh sb="10" eb="11">
      <t>リツ</t>
    </rPh>
    <rPh sb="42" eb="44">
      <t>タジュウ</t>
    </rPh>
    <rPh sb="44" eb="45">
      <t>ド</t>
    </rPh>
    <phoneticPr fontId="12"/>
  </si>
  <si>
    <t>オンラインスループット</t>
    <phoneticPr fontId="1"/>
  </si>
  <si>
    <t>B.2.3.1
B.2.3.2
B.2.3.3</t>
    <phoneticPr fontId="1"/>
  </si>
  <si>
    <t xml:space="preserve">オンラインシステム利用時に要求されるスループット。
システム化する対象業務の特性をふまえ、単位時間にどれだけの量の作業ができるかを確認する。
</t>
    <rPh sb="13" eb="15">
      <t>ヨウキュウ</t>
    </rPh>
    <rPh sb="30" eb="31">
      <t>カ</t>
    </rPh>
    <rPh sb="33" eb="35">
      <t>タイショウ</t>
    </rPh>
    <rPh sb="35" eb="37">
      <t>ギョウム</t>
    </rPh>
    <rPh sb="38" eb="40">
      <t>トクセイ</t>
    </rPh>
    <rPh sb="45" eb="47">
      <t>タンイ</t>
    </rPh>
    <rPh sb="47" eb="49">
      <t>ジカン</t>
    </rPh>
    <rPh sb="55" eb="56">
      <t>リョウ</t>
    </rPh>
    <rPh sb="57" eb="59">
      <t>サギョウ</t>
    </rPh>
    <rPh sb="65" eb="67">
      <t>カクニン</t>
    </rPh>
    <phoneticPr fontId="12"/>
  </si>
  <si>
    <t xml:space="preserve">アプリの性能要件として設計、実装、性能テストの工数に影響する。特に余裕率によって事前検証、設計、テスト工数に影響する。
</t>
    <rPh sb="4" eb="6">
      <t>セイノウ</t>
    </rPh>
    <rPh sb="6" eb="8">
      <t>ヨウケン</t>
    </rPh>
    <rPh sb="11" eb="13">
      <t>セッケイ</t>
    </rPh>
    <rPh sb="14" eb="16">
      <t>ジッソウ</t>
    </rPh>
    <rPh sb="17" eb="19">
      <t>セイノウ</t>
    </rPh>
    <rPh sb="23" eb="25">
      <t>コウスウ</t>
    </rPh>
    <rPh sb="26" eb="28">
      <t>エイキョウ</t>
    </rPh>
    <rPh sb="31" eb="32">
      <t>トク</t>
    </rPh>
    <phoneticPr fontId="1"/>
  </si>
  <si>
    <t xml:space="preserve">通常時処理余裕率
ピーク時処理余裕率
縮退時処理余裕率
利用者数
同時接続数
データ量
</t>
    <rPh sb="0" eb="3">
      <t>ツウジョウジ</t>
    </rPh>
    <rPh sb="3" eb="5">
      <t>ショリ</t>
    </rPh>
    <rPh sb="5" eb="7">
      <t>ヨユウ</t>
    </rPh>
    <rPh sb="7" eb="8">
      <t>リツ</t>
    </rPh>
    <phoneticPr fontId="12"/>
  </si>
  <si>
    <t>バッチスループット</t>
    <phoneticPr fontId="1"/>
  </si>
  <si>
    <t>B.2.4.1
B.2.4.2
B.2.4.3</t>
    <phoneticPr fontId="1"/>
  </si>
  <si>
    <t xml:space="preserve">バッチシステム利用時に要求されるスループット。
システム化する対象業務の特性をふまえ、どの程度のスループットを確保すべきか確認する。
</t>
    <rPh sb="11" eb="13">
      <t>ヨウキュウ</t>
    </rPh>
    <rPh sb="28" eb="29">
      <t>カ</t>
    </rPh>
    <rPh sb="31" eb="33">
      <t>タイショウ</t>
    </rPh>
    <rPh sb="33" eb="35">
      <t>ギョウム</t>
    </rPh>
    <rPh sb="36" eb="38">
      <t>トクセイ</t>
    </rPh>
    <rPh sb="45" eb="47">
      <t>テイド</t>
    </rPh>
    <rPh sb="55" eb="57">
      <t>カクホ</t>
    </rPh>
    <rPh sb="61" eb="63">
      <t>カクニン</t>
    </rPh>
    <phoneticPr fontId="12"/>
  </si>
  <si>
    <t>アプリの性能要件として設計、実装、性能テストの工数に影響する。特に余裕率によって事前検証、設計、テスト工数に影響する。</t>
    <rPh sb="4" eb="6">
      <t>セイノウ</t>
    </rPh>
    <rPh sb="6" eb="8">
      <t>ヨウケン</t>
    </rPh>
    <rPh sb="11" eb="13">
      <t>セッケイ</t>
    </rPh>
    <rPh sb="14" eb="16">
      <t>ジッソウ</t>
    </rPh>
    <rPh sb="17" eb="19">
      <t>セイノウ</t>
    </rPh>
    <rPh sb="23" eb="25">
      <t>コウスウ</t>
    </rPh>
    <rPh sb="26" eb="28">
      <t>エイキョウ</t>
    </rPh>
    <phoneticPr fontId="1"/>
  </si>
  <si>
    <t xml:space="preserve">通常時処理余裕率
ピーク時処理余裕率
縮退時処理余裕率
データ量
多重度
</t>
    <rPh sb="0" eb="3">
      <t>ツウジョウジ</t>
    </rPh>
    <rPh sb="3" eb="5">
      <t>ショリ</t>
    </rPh>
    <rPh sb="5" eb="7">
      <t>ヨユウ</t>
    </rPh>
    <rPh sb="7" eb="8">
      <t>リツ</t>
    </rPh>
    <phoneticPr fontId="12"/>
  </si>
  <si>
    <t>帳票印刷能力</t>
    <rPh sb="0" eb="2">
      <t>チョウヒョウ</t>
    </rPh>
    <rPh sb="2" eb="4">
      <t>インサツ</t>
    </rPh>
    <rPh sb="4" eb="6">
      <t>ノウリョク</t>
    </rPh>
    <phoneticPr fontId="1"/>
  </si>
  <si>
    <t>B.2.5.1
B.2.5.2
B.2.5.3</t>
    <phoneticPr fontId="1"/>
  </si>
  <si>
    <t xml:space="preserve">帳票印刷に要求されるスループット。
業務で必要な帳票の出力時期や枚数を考慮し、どの程度のスループットが必要かを確認する。
</t>
    <phoneticPr fontId="12"/>
  </si>
  <si>
    <t xml:space="preserve">アプリの性能要件として設計、実装、性能テストの工数に影響する。特に余裕率によって事前検証、設計、テスト工数に影響する。
例）印刷方式（極度の印刷性能を求められる場合のみ）
</t>
    <rPh sb="4" eb="6">
      <t>セイノウ</t>
    </rPh>
    <rPh sb="6" eb="8">
      <t>ヨウケン</t>
    </rPh>
    <rPh sb="11" eb="13">
      <t>セッケイ</t>
    </rPh>
    <rPh sb="14" eb="16">
      <t>ジッソウ</t>
    </rPh>
    <rPh sb="17" eb="19">
      <t>セイノウ</t>
    </rPh>
    <rPh sb="23" eb="25">
      <t>コウスウ</t>
    </rPh>
    <rPh sb="26" eb="28">
      <t>エイキョウ</t>
    </rPh>
    <rPh sb="61" eb="62">
      <t>レイ</t>
    </rPh>
    <rPh sb="63" eb="65">
      <t>インサツ</t>
    </rPh>
    <rPh sb="65" eb="67">
      <t>ホウシキ</t>
    </rPh>
    <rPh sb="68" eb="70">
      <t>キョクド</t>
    </rPh>
    <rPh sb="71" eb="73">
      <t>インサツ</t>
    </rPh>
    <rPh sb="73" eb="75">
      <t>セイノウ</t>
    </rPh>
    <rPh sb="76" eb="77">
      <t>モト</t>
    </rPh>
    <rPh sb="81" eb="83">
      <t>バアイ</t>
    </rPh>
    <phoneticPr fontId="1"/>
  </si>
  <si>
    <t xml:space="preserve">通常時印刷余裕率
ピーク時印刷余裕率
縮退時印刷余裕率
利用者数
データ量
</t>
    <rPh sb="0" eb="3">
      <t>ツウジョウジ</t>
    </rPh>
    <rPh sb="3" eb="5">
      <t>インサツ</t>
    </rPh>
    <rPh sb="5" eb="7">
      <t>ヨユウ</t>
    </rPh>
    <rPh sb="7" eb="8">
      <t>リツ</t>
    </rPh>
    <phoneticPr fontId="12"/>
  </si>
  <si>
    <t>性能品質保証</t>
    <rPh sb="0" eb="2">
      <t>セイノウ</t>
    </rPh>
    <rPh sb="2" eb="4">
      <t>ヒンシツ</t>
    </rPh>
    <rPh sb="4" eb="6">
      <t>ホショウ</t>
    </rPh>
    <phoneticPr fontId="12"/>
  </si>
  <si>
    <t>性能テスト</t>
    <rPh sb="0" eb="2">
      <t>セイノウ</t>
    </rPh>
    <phoneticPr fontId="12"/>
  </si>
  <si>
    <t>B.4.2.1
B.4.2.2</t>
    <phoneticPr fontId="1"/>
  </si>
  <si>
    <t xml:space="preserve">構築したシステムが性能を発揮できるかのテストの測定頻度と範囲。
</t>
    <rPh sb="0" eb="2">
      <t>コウチク</t>
    </rPh>
    <rPh sb="9" eb="11">
      <t>セイノウ</t>
    </rPh>
    <rPh sb="12" eb="14">
      <t>ハッキ</t>
    </rPh>
    <rPh sb="23" eb="25">
      <t>ソクテイ</t>
    </rPh>
    <rPh sb="25" eb="27">
      <t>ヒンド</t>
    </rPh>
    <rPh sb="28" eb="30">
      <t>ハンイ</t>
    </rPh>
    <phoneticPr fontId="12"/>
  </si>
  <si>
    <t xml:space="preserve">テスト方法によって、テスト実施、テストデータ準備の工数に影響する。
例）前倒しでテストする、事前検証有無、第3者によるテスト、データ作成工数など
</t>
    <rPh sb="13" eb="15">
      <t>ジッシ</t>
    </rPh>
    <rPh sb="22" eb="24">
      <t>ジュンビ</t>
    </rPh>
    <rPh sb="28" eb="30">
      <t>エイキョウ</t>
    </rPh>
    <rPh sb="35" eb="36">
      <t>レイ</t>
    </rPh>
    <rPh sb="37" eb="39">
      <t>マエダオ</t>
    </rPh>
    <rPh sb="47" eb="49">
      <t>ジゼン</t>
    </rPh>
    <rPh sb="49" eb="51">
      <t>ケンショウ</t>
    </rPh>
    <rPh sb="51" eb="53">
      <t>ウム</t>
    </rPh>
    <rPh sb="54" eb="55">
      <t>ダイ</t>
    </rPh>
    <rPh sb="56" eb="57">
      <t>シャ</t>
    </rPh>
    <phoneticPr fontId="1"/>
  </si>
  <si>
    <t xml:space="preserve">測定頻度
　（開始工程、終了工程、実施タイミング）
確認範囲
テスト回数
テストツールの有無
　⇒ツール無しは工数増
</t>
    <rPh sb="0" eb="2">
      <t>ソクテイ</t>
    </rPh>
    <rPh sb="2" eb="4">
      <t>ヒンド</t>
    </rPh>
    <rPh sb="34" eb="36">
      <t>カイスウ</t>
    </rPh>
    <rPh sb="44" eb="46">
      <t>ウム</t>
    </rPh>
    <phoneticPr fontId="12"/>
  </si>
  <si>
    <t>スパイク負荷対応</t>
    <rPh sb="4" eb="6">
      <t>フカ</t>
    </rPh>
    <rPh sb="6" eb="8">
      <t>タイオウ</t>
    </rPh>
    <phoneticPr fontId="12"/>
  </si>
  <si>
    <t>B.4.3.1</t>
    <phoneticPr fontId="1"/>
  </si>
  <si>
    <t xml:space="preserve">通常時の負荷と比較して、非常に大きな負荷が短時間に現れることを指す。業務量の想定されたピークを超えた状態。
</t>
    <phoneticPr fontId="12"/>
  </si>
  <si>
    <t xml:space="preserve">負荷対応の仕組みを構築するための、実装工数、テスト工数に影響
例）トランザクションを落とさないための仕組み（ユーザ制限など）導入、
Sorry動作（一時的な待機画面の表示など）の構築の有無。
</t>
    <rPh sb="0" eb="2">
      <t>フカ</t>
    </rPh>
    <rPh sb="2" eb="4">
      <t>タイオウ</t>
    </rPh>
    <rPh sb="5" eb="7">
      <t>シク</t>
    </rPh>
    <rPh sb="9" eb="11">
      <t>コウチク</t>
    </rPh>
    <rPh sb="17" eb="19">
      <t>ジッソウ</t>
    </rPh>
    <rPh sb="19" eb="21">
      <t>コウスウ</t>
    </rPh>
    <rPh sb="25" eb="27">
      <t>コウスウ</t>
    </rPh>
    <rPh sb="28" eb="30">
      <t>エイキョウ</t>
    </rPh>
    <rPh sb="32" eb="33">
      <t>レイ</t>
    </rPh>
    <rPh sb="43" eb="44">
      <t>オ</t>
    </rPh>
    <rPh sb="51" eb="53">
      <t>シク</t>
    </rPh>
    <rPh sb="58" eb="60">
      <t>セイゲン</t>
    </rPh>
    <rPh sb="63" eb="65">
      <t>ドウニュウ</t>
    </rPh>
    <rPh sb="75" eb="78">
      <t>イチジテキ</t>
    </rPh>
    <rPh sb="79" eb="81">
      <t>タイキ</t>
    </rPh>
    <rPh sb="81" eb="83">
      <t>ガメン</t>
    </rPh>
    <rPh sb="90" eb="92">
      <t>コウチク</t>
    </rPh>
    <rPh sb="93" eb="95">
      <t>ウム</t>
    </rPh>
    <phoneticPr fontId="1"/>
  </si>
  <si>
    <t xml:space="preserve">スパイク負荷への対応の有無
　⇒有りは待機画面等の
　　　機能追加分の工数増
トランザクション保護
利用者数
</t>
    <rPh sb="4" eb="6">
      <t>フカ</t>
    </rPh>
    <rPh sb="8" eb="10">
      <t>タイオウ</t>
    </rPh>
    <rPh sb="11" eb="13">
      <t>ウム</t>
    </rPh>
    <rPh sb="33" eb="34">
      <t>ブン</t>
    </rPh>
    <rPh sb="47" eb="49">
      <t>ホゴ</t>
    </rPh>
    <rPh sb="50" eb="52">
      <t>リヨウ</t>
    </rPh>
    <rPh sb="52" eb="53">
      <t>シャ</t>
    </rPh>
    <rPh sb="53" eb="54">
      <t>スウ</t>
    </rPh>
    <phoneticPr fontId="12"/>
  </si>
  <si>
    <t>運用・保守性</t>
    <rPh sb="0" eb="2">
      <t>ウンヨウ</t>
    </rPh>
    <rPh sb="3" eb="6">
      <t>ホシュセイ</t>
    </rPh>
    <phoneticPr fontId="1"/>
  </si>
  <si>
    <t>通常運用</t>
    <rPh sb="0" eb="2">
      <t>ツウジョウ</t>
    </rPh>
    <rPh sb="2" eb="4">
      <t>ウンヨウ</t>
    </rPh>
    <phoneticPr fontId="12"/>
  </si>
  <si>
    <t>バックアップ</t>
    <phoneticPr fontId="12"/>
  </si>
  <si>
    <t>C.1.2.1～
C.1.2.7</t>
    <phoneticPr fontId="1"/>
  </si>
  <si>
    <t xml:space="preserve">システムが利用するデータのバックアップに関する項目。
</t>
    <rPh sb="5" eb="7">
      <t>リヨウ</t>
    </rPh>
    <rPh sb="20" eb="21">
      <t>カン</t>
    </rPh>
    <rPh sb="23" eb="25">
      <t>コウモク</t>
    </rPh>
    <phoneticPr fontId="12"/>
  </si>
  <si>
    <t>バックアップ方法により、バックアップ設計に影響する。
例）
アプリの稼動時間により取得時間、データのローテーション方法（バックアップ後にデータ削除など）。</t>
    <rPh sb="6" eb="8">
      <t>ホウホウ</t>
    </rPh>
    <rPh sb="18" eb="20">
      <t>セッケイ</t>
    </rPh>
    <rPh sb="21" eb="23">
      <t>エイキョウ</t>
    </rPh>
    <rPh sb="28" eb="29">
      <t>レイ</t>
    </rPh>
    <rPh sb="37" eb="39">
      <t>ジカン</t>
    </rPh>
    <rPh sb="42" eb="44">
      <t>シュトク</t>
    </rPh>
    <rPh sb="44" eb="46">
      <t>ジカン</t>
    </rPh>
    <rPh sb="58" eb="60">
      <t>ホウホウ</t>
    </rPh>
    <rPh sb="72" eb="74">
      <t>サクジョ</t>
    </rPh>
    <phoneticPr fontId="1"/>
  </si>
  <si>
    <t xml:space="preserve">データ復旧範囲
外部データの利用可否
バックアップ利用範囲
バックアップ自動化の範囲
バックアップ取得間隔
バックアップ保存期間
バックアップ方式
</t>
    <rPh sb="3" eb="5">
      <t>フッキュウ</t>
    </rPh>
    <rPh sb="5" eb="7">
      <t>ハンイ</t>
    </rPh>
    <phoneticPr fontId="12"/>
  </si>
  <si>
    <t>運用監視</t>
    <phoneticPr fontId="1"/>
  </si>
  <si>
    <t>C.1.3.1～
C.1.3.9
C.4.5.2</t>
    <phoneticPr fontId="1"/>
  </si>
  <si>
    <t xml:space="preserve">システム全体、あるいはそれを構成するハードウェア・ソフトウェア（業務アプリケーションを含む）に対する監視に関する項目。
</t>
    <rPh sb="4" eb="6">
      <t>ゼンタイ</t>
    </rPh>
    <rPh sb="14" eb="16">
      <t>コウセイ</t>
    </rPh>
    <rPh sb="32" eb="34">
      <t>ギョウム</t>
    </rPh>
    <rPh sb="43" eb="44">
      <t>フク</t>
    </rPh>
    <rPh sb="47" eb="48">
      <t>タイ</t>
    </rPh>
    <rPh sb="50" eb="52">
      <t>カンシ</t>
    </rPh>
    <rPh sb="53" eb="54">
      <t>カン</t>
    </rPh>
    <rPh sb="56" eb="58">
      <t>コウモク</t>
    </rPh>
    <phoneticPr fontId="12"/>
  </si>
  <si>
    <t xml:space="preserve">監視対象と監視方法によって、アプリの設計、実装、テスト、監視設計、運用設計に影響する。
例）
例外（エラー）設計の要否。
</t>
    <rPh sb="0" eb="2">
      <t>カンシ</t>
    </rPh>
    <rPh sb="2" eb="4">
      <t>タイショウ</t>
    </rPh>
    <rPh sb="5" eb="7">
      <t>カンシ</t>
    </rPh>
    <rPh sb="7" eb="9">
      <t>ホウホウ</t>
    </rPh>
    <rPh sb="18" eb="20">
      <t>セッケイ</t>
    </rPh>
    <rPh sb="21" eb="23">
      <t>ジッソウ</t>
    </rPh>
    <rPh sb="28" eb="30">
      <t>カンシ</t>
    </rPh>
    <rPh sb="30" eb="32">
      <t>セッケイ</t>
    </rPh>
    <rPh sb="33" eb="35">
      <t>ウンヨウ</t>
    </rPh>
    <rPh sb="35" eb="37">
      <t>セッケイ</t>
    </rPh>
    <rPh sb="38" eb="40">
      <t>エイキョウ</t>
    </rPh>
    <rPh sb="45" eb="46">
      <t>レイ</t>
    </rPh>
    <rPh sb="58" eb="60">
      <t>ヨウヒ</t>
    </rPh>
    <phoneticPr fontId="1"/>
  </si>
  <si>
    <t xml:space="preserve">監視情報
監視間隔
監視対象（システム、プロセス、DB、
　ストレージ、サーバ、ネットワークなど）
監視ツールの有無
　⇒ツール無しは工数増
</t>
    <rPh sb="0" eb="2">
      <t>カンシ</t>
    </rPh>
    <rPh sb="2" eb="4">
      <t>ジョウホウ</t>
    </rPh>
    <rPh sb="10" eb="12">
      <t>カンシ</t>
    </rPh>
    <rPh sb="12" eb="14">
      <t>タイショウ</t>
    </rPh>
    <rPh sb="50" eb="52">
      <t>カンシ</t>
    </rPh>
    <rPh sb="56" eb="58">
      <t>ウム</t>
    </rPh>
    <phoneticPr fontId="1"/>
  </si>
  <si>
    <t>時刻同期</t>
    <rPh sb="0" eb="2">
      <t>ジコク</t>
    </rPh>
    <rPh sb="2" eb="4">
      <t>ドウキ</t>
    </rPh>
    <phoneticPr fontId="1"/>
  </si>
  <si>
    <t>C.1.4.1</t>
    <phoneticPr fontId="1"/>
  </si>
  <si>
    <t xml:space="preserve">システムを構成する機器の時刻同期に関する項目。
</t>
    <rPh sb="5" eb="7">
      <t>コウセイ</t>
    </rPh>
    <rPh sb="9" eb="11">
      <t>キキ</t>
    </rPh>
    <rPh sb="12" eb="14">
      <t>ジコク</t>
    </rPh>
    <rPh sb="14" eb="16">
      <t>ドウキ</t>
    </rPh>
    <rPh sb="17" eb="18">
      <t>カン</t>
    </rPh>
    <rPh sb="20" eb="22">
      <t>コウモク</t>
    </rPh>
    <phoneticPr fontId="1"/>
  </si>
  <si>
    <t xml:space="preserve">コールセンター業務であれば、時刻取得・記録の仕組みに影響する。
</t>
    <rPh sb="7" eb="9">
      <t>ギョウム</t>
    </rPh>
    <rPh sb="14" eb="16">
      <t>ジコク</t>
    </rPh>
    <rPh sb="16" eb="18">
      <t>シュトク</t>
    </rPh>
    <rPh sb="19" eb="21">
      <t>キロク</t>
    </rPh>
    <rPh sb="22" eb="24">
      <t>シク</t>
    </rPh>
    <rPh sb="26" eb="28">
      <t>エイキョウ</t>
    </rPh>
    <phoneticPr fontId="1"/>
  </si>
  <si>
    <t>時刻同期設定の範囲</t>
    <rPh sb="0" eb="2">
      <t>ジコク</t>
    </rPh>
    <rPh sb="2" eb="4">
      <t>ドウキ</t>
    </rPh>
    <rPh sb="4" eb="6">
      <t>セッテイ</t>
    </rPh>
    <rPh sb="7" eb="9">
      <t>ハンイ</t>
    </rPh>
    <phoneticPr fontId="1"/>
  </si>
  <si>
    <t>障害時運用</t>
    <rPh sb="0" eb="2">
      <t>ショウガイ</t>
    </rPh>
    <rPh sb="2" eb="3">
      <t>ジ</t>
    </rPh>
    <rPh sb="3" eb="5">
      <t>ウンヨウ</t>
    </rPh>
    <phoneticPr fontId="12"/>
  </si>
  <si>
    <t>障害復旧自動化の範囲</t>
    <rPh sb="0" eb="2">
      <t>ショウガイ</t>
    </rPh>
    <rPh sb="2" eb="4">
      <t>フッキュウ</t>
    </rPh>
    <rPh sb="4" eb="7">
      <t>ジドウカ</t>
    </rPh>
    <rPh sb="8" eb="10">
      <t>ハンイ</t>
    </rPh>
    <phoneticPr fontId="12"/>
  </si>
  <si>
    <t>C.3.2.1</t>
    <phoneticPr fontId="1"/>
  </si>
  <si>
    <t xml:space="preserve">障害復旧に関するオペレーションを自動化する範囲に関する項目。
</t>
    <rPh sb="0" eb="2">
      <t>ショウガイ</t>
    </rPh>
    <rPh sb="2" eb="4">
      <t>フッキュウ</t>
    </rPh>
    <rPh sb="5" eb="6">
      <t>カン</t>
    </rPh>
    <rPh sb="16" eb="19">
      <t>ジドウカ</t>
    </rPh>
    <rPh sb="21" eb="23">
      <t>ハンイ</t>
    </rPh>
    <rPh sb="24" eb="25">
      <t>カン</t>
    </rPh>
    <rPh sb="27" eb="29">
      <t>コウモク</t>
    </rPh>
    <phoneticPr fontId="12"/>
  </si>
  <si>
    <t xml:space="preserve">バッチ設計に影響する。
例）
バッチ処理時のフェールオーバー方法
</t>
    <rPh sb="3" eb="5">
      <t>セッケイ</t>
    </rPh>
    <rPh sb="6" eb="8">
      <t>エイキョウ</t>
    </rPh>
    <rPh sb="13" eb="14">
      <t>レイ</t>
    </rPh>
    <rPh sb="19" eb="21">
      <t>ショリ</t>
    </rPh>
    <rPh sb="21" eb="22">
      <t>ジ</t>
    </rPh>
    <rPh sb="31" eb="33">
      <t>ホウホウ</t>
    </rPh>
    <phoneticPr fontId="1"/>
  </si>
  <si>
    <t>運用環境</t>
    <rPh sb="0" eb="2">
      <t>ウンヨウ</t>
    </rPh>
    <rPh sb="2" eb="4">
      <t>カンキョウ</t>
    </rPh>
    <phoneticPr fontId="1"/>
  </si>
  <si>
    <t>開発用環境の設置</t>
    <rPh sb="0" eb="3">
      <t>カイハツヨウ</t>
    </rPh>
    <rPh sb="3" eb="5">
      <t>カンキョウ</t>
    </rPh>
    <rPh sb="6" eb="8">
      <t>セッチ</t>
    </rPh>
    <phoneticPr fontId="1"/>
  </si>
  <si>
    <t>C.4.1.1</t>
    <phoneticPr fontId="1"/>
  </si>
  <si>
    <t xml:space="preserve">ユーザがシステムに対する開発作業を実施する目的で導入する環境についての項目。
</t>
    <rPh sb="9" eb="10">
      <t>タイ</t>
    </rPh>
    <rPh sb="12" eb="14">
      <t>カイハツ</t>
    </rPh>
    <rPh sb="14" eb="16">
      <t>サギョウ</t>
    </rPh>
    <rPh sb="17" eb="19">
      <t>ジッシ</t>
    </rPh>
    <rPh sb="21" eb="23">
      <t>モクテキ</t>
    </rPh>
    <rPh sb="24" eb="26">
      <t>ドウニュウ</t>
    </rPh>
    <rPh sb="28" eb="30">
      <t>カンキョウ</t>
    </rPh>
    <rPh sb="35" eb="37">
      <t>コウモク</t>
    </rPh>
    <phoneticPr fontId="1"/>
  </si>
  <si>
    <t>環境設置工数に影響する。</t>
    <rPh sb="0" eb="2">
      <t>カンキョウ</t>
    </rPh>
    <rPh sb="2" eb="4">
      <t>セッチ</t>
    </rPh>
    <rPh sb="4" eb="6">
      <t>コウスウ</t>
    </rPh>
    <rPh sb="7" eb="9">
      <t>エイキョウ</t>
    </rPh>
    <phoneticPr fontId="1"/>
  </si>
  <si>
    <t>開発用環境の設置有無
環境の規模、レベル</t>
    <rPh sb="0" eb="2">
      <t>カイハツ</t>
    </rPh>
    <rPh sb="2" eb="3">
      <t>ヨウ</t>
    </rPh>
    <rPh sb="3" eb="5">
      <t>カンキョウ</t>
    </rPh>
    <rPh sb="6" eb="8">
      <t>セッチ</t>
    </rPh>
    <rPh sb="8" eb="10">
      <t>ウム</t>
    </rPh>
    <rPh sb="11" eb="13">
      <t>カンキョウ</t>
    </rPh>
    <rPh sb="14" eb="16">
      <t>キボ</t>
    </rPh>
    <phoneticPr fontId="1"/>
  </si>
  <si>
    <t>試験用環境の設置</t>
    <rPh sb="0" eb="2">
      <t>シケン</t>
    </rPh>
    <rPh sb="2" eb="3">
      <t>ヨウ</t>
    </rPh>
    <rPh sb="3" eb="5">
      <t>カンキョウ</t>
    </rPh>
    <rPh sb="6" eb="8">
      <t>セッチ</t>
    </rPh>
    <phoneticPr fontId="12"/>
  </si>
  <si>
    <t>C.4.2.1</t>
    <phoneticPr fontId="1"/>
  </si>
  <si>
    <t xml:space="preserve">ユーザがシステムの動作を試験する目的で導入する環境についての項目。
</t>
    <rPh sb="9" eb="11">
      <t>ドウサ</t>
    </rPh>
    <rPh sb="12" eb="14">
      <t>シケン</t>
    </rPh>
    <rPh sb="16" eb="18">
      <t>モクテキ</t>
    </rPh>
    <rPh sb="19" eb="21">
      <t>ドウニュウ</t>
    </rPh>
    <rPh sb="23" eb="25">
      <t>カンキョウ</t>
    </rPh>
    <rPh sb="30" eb="32">
      <t>コウモク</t>
    </rPh>
    <phoneticPr fontId="12"/>
  </si>
  <si>
    <t>試験用環境の設置有無
環境の規模、レベル</t>
    <rPh sb="0" eb="3">
      <t>シケンヨウ</t>
    </rPh>
    <rPh sb="3" eb="5">
      <t>カンキョウ</t>
    </rPh>
    <rPh sb="6" eb="8">
      <t>セッチ</t>
    </rPh>
    <rPh sb="8" eb="10">
      <t>ウム</t>
    </rPh>
    <phoneticPr fontId="12"/>
  </si>
  <si>
    <t>マニュアル準備レベル</t>
    <rPh sb="5" eb="7">
      <t>ジュンビ</t>
    </rPh>
    <phoneticPr fontId="12"/>
  </si>
  <si>
    <t>C.4.3.1</t>
    <phoneticPr fontId="1"/>
  </si>
  <si>
    <t xml:space="preserve">運用のためのマニュアルの準備のレベル。
</t>
    <rPh sb="0" eb="2">
      <t>ウンヨウ</t>
    </rPh>
    <rPh sb="12" eb="14">
      <t>ジュンビ</t>
    </rPh>
    <phoneticPr fontId="12"/>
  </si>
  <si>
    <t>マニュアルの粒度が作成工数に影響する。</t>
    <rPh sb="6" eb="8">
      <t>リュウド</t>
    </rPh>
    <rPh sb="9" eb="11">
      <t>サクセイ</t>
    </rPh>
    <rPh sb="11" eb="13">
      <t>コウスウ</t>
    </rPh>
    <rPh sb="14" eb="16">
      <t>エイキョウ</t>
    </rPh>
    <phoneticPr fontId="1"/>
  </si>
  <si>
    <t xml:space="preserve">マニュアル作成対象
マニュアル記載粒度
機能数
運用作業項目数
</t>
    <rPh sb="5" eb="7">
      <t>サクセイ</t>
    </rPh>
    <rPh sb="7" eb="9">
      <t>タイショウ</t>
    </rPh>
    <rPh sb="15" eb="17">
      <t>キサイ</t>
    </rPh>
    <rPh sb="17" eb="19">
      <t>リュウド</t>
    </rPh>
    <rPh sb="20" eb="22">
      <t>キノウ</t>
    </rPh>
    <rPh sb="22" eb="23">
      <t>スウ</t>
    </rPh>
    <rPh sb="24" eb="26">
      <t>ウンヨウ</t>
    </rPh>
    <rPh sb="26" eb="28">
      <t>サギョウ</t>
    </rPh>
    <rPh sb="28" eb="31">
      <t>コウモクスウ</t>
    </rPh>
    <phoneticPr fontId="12"/>
  </si>
  <si>
    <t>外部システム接続</t>
    <rPh sb="0" eb="2">
      <t>ガイブ</t>
    </rPh>
    <rPh sb="6" eb="8">
      <t>セツゾク</t>
    </rPh>
    <phoneticPr fontId="1"/>
  </si>
  <si>
    <t>C.4.5.1</t>
    <phoneticPr fontId="1"/>
  </si>
  <si>
    <t xml:space="preserve">システムの運用に影響する外部システムとの接続の有無に関する項目。
</t>
    <rPh sb="5" eb="7">
      <t>ウンヨウ</t>
    </rPh>
    <rPh sb="8" eb="10">
      <t>エイキョウ</t>
    </rPh>
    <rPh sb="12" eb="14">
      <t>ガイブ</t>
    </rPh>
    <rPh sb="20" eb="22">
      <t>セツゾク</t>
    </rPh>
    <rPh sb="23" eb="25">
      <t>ウム</t>
    </rPh>
    <rPh sb="26" eb="27">
      <t>カン</t>
    </rPh>
    <rPh sb="29" eb="31">
      <t>コウモク</t>
    </rPh>
    <phoneticPr fontId="1"/>
  </si>
  <si>
    <t xml:space="preserve">顧客の主導体制、I/F数や接続方法により、調整工数、運用設計（接続間隔、ジョブスケジュール）、テスト工数(テスト粒度、連携テスト)に影響する。
</t>
    <rPh sb="11" eb="12">
      <t>スウ</t>
    </rPh>
    <rPh sb="13" eb="15">
      <t>セツゾク</t>
    </rPh>
    <rPh sb="15" eb="17">
      <t>ホウホウ</t>
    </rPh>
    <rPh sb="21" eb="23">
      <t>チョウセイ</t>
    </rPh>
    <rPh sb="23" eb="25">
      <t>コウスウ</t>
    </rPh>
    <rPh sb="26" eb="28">
      <t>ウンヨウ</t>
    </rPh>
    <rPh sb="28" eb="30">
      <t>セッケイ</t>
    </rPh>
    <rPh sb="31" eb="33">
      <t>セツゾク</t>
    </rPh>
    <rPh sb="33" eb="35">
      <t>カンカク</t>
    </rPh>
    <rPh sb="50" eb="52">
      <t>コウスウ</t>
    </rPh>
    <rPh sb="59" eb="61">
      <t>レンケイ</t>
    </rPh>
    <rPh sb="66" eb="68">
      <t>エイキョウ</t>
    </rPh>
    <phoneticPr fontId="1"/>
  </si>
  <si>
    <t xml:space="preserve">外部システムとの接続有無
接続数
接続方法
顧客の主導体制
</t>
    <rPh sb="0" eb="2">
      <t>ガイブ</t>
    </rPh>
    <rPh sb="8" eb="10">
      <t>セツゾク</t>
    </rPh>
    <rPh sb="10" eb="12">
      <t>ウム</t>
    </rPh>
    <rPh sb="13" eb="15">
      <t>セツゾク</t>
    </rPh>
    <rPh sb="15" eb="16">
      <t>スウ</t>
    </rPh>
    <rPh sb="17" eb="19">
      <t>セツゾク</t>
    </rPh>
    <rPh sb="19" eb="21">
      <t>ホウホウ</t>
    </rPh>
    <phoneticPr fontId="1"/>
  </si>
  <si>
    <t>ジョブ管理システム</t>
    <phoneticPr fontId="1"/>
  </si>
  <si>
    <t>C.4.5.3</t>
    <phoneticPr fontId="1"/>
  </si>
  <si>
    <t xml:space="preserve">システムの運用に影響するジョブ管理システムの有無に関する項目。
</t>
    <rPh sb="15" eb="17">
      <t>カンリ</t>
    </rPh>
    <phoneticPr fontId="1"/>
  </si>
  <si>
    <t>ジョブ設計に影響</t>
    <rPh sb="3" eb="5">
      <t>セッケイ</t>
    </rPh>
    <rPh sb="6" eb="8">
      <t>エイキョウ</t>
    </rPh>
    <phoneticPr fontId="1"/>
  </si>
  <si>
    <t>ジョブ管理システムの有無
　⇒システム無しは工数増</t>
    <rPh sb="3" eb="5">
      <t>カンリ</t>
    </rPh>
    <rPh sb="10" eb="12">
      <t>ウム</t>
    </rPh>
    <phoneticPr fontId="1"/>
  </si>
  <si>
    <t>サポート体制</t>
    <rPh sb="4" eb="6">
      <t>タイセイ</t>
    </rPh>
    <phoneticPr fontId="12"/>
  </si>
  <si>
    <t>一次対応役割分担</t>
    <rPh sb="0" eb="2">
      <t>１ジ</t>
    </rPh>
    <rPh sb="2" eb="4">
      <t>タイオウ</t>
    </rPh>
    <rPh sb="4" eb="6">
      <t>ヤクワリ</t>
    </rPh>
    <rPh sb="6" eb="8">
      <t>ブンタン</t>
    </rPh>
    <phoneticPr fontId="12"/>
  </si>
  <si>
    <t>C.5.5.1</t>
    <phoneticPr fontId="1"/>
  </si>
  <si>
    <t xml:space="preserve">一次対応のユーザ/ベンダの役割分担、一次対応の対応時間、配備人数。
</t>
    <rPh sb="13" eb="15">
      <t>ヤクワリ</t>
    </rPh>
    <rPh sb="15" eb="17">
      <t>ブンタン</t>
    </rPh>
    <rPh sb="23" eb="25">
      <t>タイオウ</t>
    </rPh>
    <rPh sb="25" eb="27">
      <t>ジカン</t>
    </rPh>
    <rPh sb="28" eb="30">
      <t>ハイビ</t>
    </rPh>
    <rPh sb="30" eb="32">
      <t>ニンズウ</t>
    </rPh>
    <phoneticPr fontId="12"/>
  </si>
  <si>
    <t xml:space="preserve">保守の見積を含む場合に影響する。
例）
障害時の一次切り分けの対応について誰が何をやるか。
</t>
    <phoneticPr fontId="1"/>
  </si>
  <si>
    <t xml:space="preserve">一次対応役割分担
一時切り分け対象システム範囲
常備配備人数
対応時間帯
</t>
    <rPh sb="0" eb="2">
      <t>１ジ</t>
    </rPh>
    <rPh sb="2" eb="4">
      <t>タイオウ</t>
    </rPh>
    <rPh sb="4" eb="6">
      <t>ヤクワリ</t>
    </rPh>
    <rPh sb="6" eb="8">
      <t>ブンタン</t>
    </rPh>
    <rPh sb="9" eb="11">
      <t>イチジ</t>
    </rPh>
    <rPh sb="11" eb="12">
      <t>キ</t>
    </rPh>
    <rPh sb="13" eb="14">
      <t>ワ</t>
    </rPh>
    <rPh sb="15" eb="17">
      <t>タイショウ</t>
    </rPh>
    <rPh sb="21" eb="23">
      <t>ハンイ</t>
    </rPh>
    <phoneticPr fontId="12"/>
  </si>
  <si>
    <t>メンテナンス・サポート要員</t>
    <rPh sb="11" eb="13">
      <t>ヨウイン</t>
    </rPh>
    <phoneticPr fontId="12"/>
  </si>
  <si>
    <t>C.5.4.1
C.5.6.1～
C.5.6.3</t>
    <phoneticPr fontId="1"/>
  </si>
  <si>
    <t xml:space="preserve">メンテナンス・サポート作業に対するユーザ/ベンダの役割分担、体制、配置人数、要員の人数や対応時間、スキルレベルに関する項目。
</t>
    <rPh sb="30" eb="32">
      <t>タイセイ</t>
    </rPh>
    <rPh sb="38" eb="40">
      <t>ヨウイン</t>
    </rPh>
    <rPh sb="41" eb="43">
      <t>ニンズウ</t>
    </rPh>
    <rPh sb="44" eb="46">
      <t>タイオウ</t>
    </rPh>
    <rPh sb="46" eb="48">
      <t>ジカン</t>
    </rPh>
    <rPh sb="56" eb="57">
      <t>カン</t>
    </rPh>
    <rPh sb="59" eb="61">
      <t>コウモク</t>
    </rPh>
    <phoneticPr fontId="12"/>
  </si>
  <si>
    <t xml:space="preserve">保守（リリース後の対応）の見積を含む場合に影響する。
(例)
保守の作業工数は、導入地域が海外だと大きくなる
</t>
    <rPh sb="21" eb="23">
      <t>エイキョウ</t>
    </rPh>
    <rPh sb="29" eb="30">
      <t>レイ</t>
    </rPh>
    <phoneticPr fontId="1"/>
  </si>
  <si>
    <t xml:space="preserve">メンテナンス作業役割分担
導入地域（海外など）
ベンダ側常備配備人数
ベンダ側対応時間帯
ベンダ側対応者の要求スキルレベル
エスカレーション対応
オンサイト/オフサイト/オンコール
手段（メール/電話）
リモート接続環境有無
</t>
    <rPh sb="27" eb="28">
      <t>ガワ</t>
    </rPh>
    <rPh sb="28" eb="30">
      <t>ジョウビ</t>
    </rPh>
    <rPh sb="30" eb="32">
      <t>ハイビ</t>
    </rPh>
    <rPh sb="32" eb="34">
      <t>ニンズウ</t>
    </rPh>
    <rPh sb="91" eb="93">
      <t>シュダン</t>
    </rPh>
    <rPh sb="98" eb="100">
      <t>デンワ</t>
    </rPh>
    <rPh sb="106" eb="108">
      <t>セツゾク</t>
    </rPh>
    <rPh sb="108" eb="110">
      <t>カンキョウ</t>
    </rPh>
    <rPh sb="110" eb="112">
      <t>ウム</t>
    </rPh>
    <phoneticPr fontId="12"/>
  </si>
  <si>
    <t>導入サポート</t>
    <rPh sb="0" eb="2">
      <t>ドウニュウ</t>
    </rPh>
    <phoneticPr fontId="1"/>
  </si>
  <si>
    <t>C.5.7.1
C.5.7.2</t>
    <phoneticPr fontId="1"/>
  </si>
  <si>
    <t xml:space="preserve">システム導入時の特別対応期間の有無および期間。
</t>
    <rPh sb="4" eb="6">
      <t>ドウニュウ</t>
    </rPh>
    <rPh sb="6" eb="7">
      <t>ジ</t>
    </rPh>
    <rPh sb="8" eb="10">
      <t>トクベツ</t>
    </rPh>
    <rPh sb="10" eb="12">
      <t>タイオウ</t>
    </rPh>
    <rPh sb="12" eb="14">
      <t>キカン</t>
    </rPh>
    <rPh sb="15" eb="17">
      <t>ウム</t>
    </rPh>
    <rPh sb="20" eb="22">
      <t>キカン</t>
    </rPh>
    <phoneticPr fontId="1"/>
  </si>
  <si>
    <t xml:space="preserve">特別対応（リリース後の立会い、初期流動）、瑕疵対応の工数に影響する。
検収後の期間であれば契約形態に注意する。
</t>
    <rPh sb="0" eb="2">
      <t>トクベツ</t>
    </rPh>
    <rPh sb="2" eb="4">
      <t>タイオウ</t>
    </rPh>
    <rPh sb="9" eb="10">
      <t>ゴ</t>
    </rPh>
    <rPh sb="11" eb="13">
      <t>タチア</t>
    </rPh>
    <rPh sb="15" eb="17">
      <t>ショキ</t>
    </rPh>
    <rPh sb="17" eb="19">
      <t>リュウドウ</t>
    </rPh>
    <rPh sb="26" eb="28">
      <t>コウスウ</t>
    </rPh>
    <rPh sb="29" eb="31">
      <t>エイキョウ</t>
    </rPh>
    <rPh sb="35" eb="37">
      <t>ケンシュウ</t>
    </rPh>
    <rPh sb="37" eb="38">
      <t>ゴ</t>
    </rPh>
    <rPh sb="39" eb="41">
      <t>キカン</t>
    </rPh>
    <rPh sb="45" eb="47">
      <t>ケイヤク</t>
    </rPh>
    <rPh sb="47" eb="49">
      <t>ケイタイ</t>
    </rPh>
    <rPh sb="50" eb="52">
      <t>チュウイ</t>
    </rPh>
    <phoneticPr fontId="1"/>
  </si>
  <si>
    <t xml:space="preserve">システムテスト稼働時の導入サポート期間
システム本稼働時の導入サポート期間
契約形態
導入時の参画人数
　（立会い、バックオフィス）
クライアント数
拠点数
</t>
    <rPh sb="7" eb="9">
      <t>カドウ</t>
    </rPh>
    <rPh sb="9" eb="10">
      <t>ジ</t>
    </rPh>
    <rPh sb="11" eb="13">
      <t>ドウニュウ</t>
    </rPh>
    <rPh sb="17" eb="19">
      <t>キカン</t>
    </rPh>
    <rPh sb="38" eb="40">
      <t>ケイヤク</t>
    </rPh>
    <rPh sb="40" eb="42">
      <t>ケイタイ</t>
    </rPh>
    <rPh sb="43" eb="45">
      <t>ドウニュウ</t>
    </rPh>
    <rPh sb="45" eb="46">
      <t>ジ</t>
    </rPh>
    <rPh sb="47" eb="49">
      <t>サンカク</t>
    </rPh>
    <rPh sb="49" eb="51">
      <t>ニンズウ</t>
    </rPh>
    <rPh sb="54" eb="56">
      <t>タチア</t>
    </rPh>
    <rPh sb="73" eb="74">
      <t>スウ</t>
    </rPh>
    <rPh sb="75" eb="78">
      <t>キョテンスウ</t>
    </rPh>
    <phoneticPr fontId="1"/>
  </si>
  <si>
    <t>教育</t>
    <rPh sb="0" eb="2">
      <t>キョウイク</t>
    </rPh>
    <phoneticPr fontId="1"/>
  </si>
  <si>
    <t>C.5.8.1
C.5.8.2
C.5.8.3</t>
    <phoneticPr fontId="1"/>
  </si>
  <si>
    <t xml:space="preserve">教育実施に関する項目。
</t>
    <rPh sb="0" eb="2">
      <t>キョウイク</t>
    </rPh>
    <rPh sb="2" eb="4">
      <t>ジッシ</t>
    </rPh>
    <rPh sb="5" eb="6">
      <t>カン</t>
    </rPh>
    <rPh sb="8" eb="10">
      <t>コウモク</t>
    </rPh>
    <phoneticPr fontId="1"/>
  </si>
  <si>
    <t>教育工数に影響する。</t>
    <rPh sb="0" eb="2">
      <t>キョウイク</t>
    </rPh>
    <rPh sb="2" eb="4">
      <t>コウスウ</t>
    </rPh>
    <rPh sb="5" eb="7">
      <t>エイキョウ</t>
    </rPh>
    <phoneticPr fontId="1"/>
  </si>
  <si>
    <t xml:space="preserve">教育実施の役割分担
教育範囲
　(ユーザ教育、運用教育、保守引継ぎ)
教育実施頻度・回数
拠点数
1回当たりの許容人数・設備数
</t>
    <rPh sb="0" eb="2">
      <t>キョウイク</t>
    </rPh>
    <rPh sb="2" eb="4">
      <t>ジッシ</t>
    </rPh>
    <rPh sb="5" eb="7">
      <t>ヤクワリ</t>
    </rPh>
    <rPh sb="7" eb="9">
      <t>ブンタン</t>
    </rPh>
    <rPh sb="20" eb="22">
      <t>キョウイク</t>
    </rPh>
    <rPh sb="23" eb="25">
      <t>ウンヨウ</t>
    </rPh>
    <rPh sb="25" eb="27">
      <t>キョウイク</t>
    </rPh>
    <rPh sb="28" eb="30">
      <t>ホシュ</t>
    </rPh>
    <rPh sb="30" eb="32">
      <t>ヒキツ</t>
    </rPh>
    <rPh sb="45" eb="48">
      <t>キョテンスウ</t>
    </rPh>
    <rPh sb="50" eb="51">
      <t>カイ</t>
    </rPh>
    <rPh sb="51" eb="52">
      <t>ア</t>
    </rPh>
    <rPh sb="55" eb="57">
      <t>キョヨウ</t>
    </rPh>
    <rPh sb="57" eb="59">
      <t>ニンズウ</t>
    </rPh>
    <rPh sb="60" eb="62">
      <t>セツビ</t>
    </rPh>
    <rPh sb="62" eb="63">
      <t>スウ</t>
    </rPh>
    <phoneticPr fontId="1"/>
  </si>
  <si>
    <t>その他の運用管理方針</t>
    <rPh sb="2" eb="3">
      <t>タ</t>
    </rPh>
    <rPh sb="4" eb="6">
      <t>ウンヨウ</t>
    </rPh>
    <rPh sb="6" eb="8">
      <t>カンリ</t>
    </rPh>
    <rPh sb="8" eb="10">
      <t>ホウシン</t>
    </rPh>
    <phoneticPr fontId="12"/>
  </si>
  <si>
    <t>内部統制対応</t>
    <rPh sb="0" eb="2">
      <t>ナイブ</t>
    </rPh>
    <rPh sb="2" eb="4">
      <t>トウセイ</t>
    </rPh>
    <rPh sb="4" eb="6">
      <t>タイオウ</t>
    </rPh>
    <phoneticPr fontId="1"/>
  </si>
  <si>
    <t>C.6.1.1</t>
    <phoneticPr fontId="1"/>
  </si>
  <si>
    <t xml:space="preserve">IT運用プロセスの内部統制対応を行うかどうかに関する項目。
</t>
    <rPh sb="2" eb="4">
      <t>ウンヨウ</t>
    </rPh>
    <rPh sb="9" eb="11">
      <t>ナイブ</t>
    </rPh>
    <rPh sb="11" eb="13">
      <t>トウセイ</t>
    </rPh>
    <rPh sb="13" eb="15">
      <t>タイオウ</t>
    </rPh>
    <rPh sb="16" eb="17">
      <t>オコナ</t>
    </rPh>
    <rPh sb="23" eb="24">
      <t>カン</t>
    </rPh>
    <rPh sb="26" eb="28">
      <t>コウモク</t>
    </rPh>
    <phoneticPr fontId="1"/>
  </si>
  <si>
    <t xml:space="preserve">アプリの設計、実装の工数に影響する。
(例）
監査証跡ログ、WF承認の機能要否など。
</t>
    <rPh sb="4" eb="6">
      <t>セッケイ</t>
    </rPh>
    <rPh sb="7" eb="9">
      <t>ジッソウ</t>
    </rPh>
    <rPh sb="10" eb="12">
      <t>コウスウ</t>
    </rPh>
    <rPh sb="13" eb="15">
      <t>エイキョウ</t>
    </rPh>
    <rPh sb="21" eb="22">
      <t>レイ</t>
    </rPh>
    <rPh sb="24" eb="26">
      <t>カンサ</t>
    </rPh>
    <rPh sb="26" eb="28">
      <t>ショウセキ</t>
    </rPh>
    <rPh sb="36" eb="38">
      <t>キノウ</t>
    </rPh>
    <rPh sb="38" eb="40">
      <t>ヨウヒ</t>
    </rPh>
    <phoneticPr fontId="1"/>
  </si>
  <si>
    <t xml:space="preserve">内部統制対応の実施有無
レベル感
</t>
    <rPh sb="0" eb="2">
      <t>ナイブ</t>
    </rPh>
    <rPh sb="2" eb="4">
      <t>トウセイ</t>
    </rPh>
    <rPh sb="4" eb="6">
      <t>タイオウ</t>
    </rPh>
    <rPh sb="7" eb="9">
      <t>ジッシ</t>
    </rPh>
    <rPh sb="9" eb="11">
      <t>ウム</t>
    </rPh>
    <phoneticPr fontId="1"/>
  </si>
  <si>
    <t>運用・保守方法</t>
    <rPh sb="3" eb="5">
      <t>ホシュ</t>
    </rPh>
    <rPh sb="5" eb="7">
      <t>ホウホウ</t>
    </rPh>
    <phoneticPr fontId="1"/>
  </si>
  <si>
    <t>C.6.2.1
C.6.3.1
C.6.4.1
C.6.5.1
C.6.6.1
C.6.7.1</t>
    <phoneticPr fontId="1"/>
  </si>
  <si>
    <t>運用を実施する際のプロセスや環境の実施に関する項目（作業項目や方法）。</t>
    <rPh sb="0" eb="2">
      <t>ウンヨウ</t>
    </rPh>
    <rPh sb="3" eb="5">
      <t>ジッシ</t>
    </rPh>
    <rPh sb="7" eb="8">
      <t>サイ</t>
    </rPh>
    <rPh sb="14" eb="16">
      <t>カンキョウ</t>
    </rPh>
    <rPh sb="17" eb="19">
      <t>ジッシ</t>
    </rPh>
    <rPh sb="20" eb="21">
      <t>カン</t>
    </rPh>
    <rPh sb="23" eb="25">
      <t>コウモク</t>
    </rPh>
    <rPh sb="26" eb="28">
      <t>サギョウ</t>
    </rPh>
    <rPh sb="28" eb="30">
      <t>コウモク</t>
    </rPh>
    <rPh sb="31" eb="33">
      <t>ホウホウ</t>
    </rPh>
    <phoneticPr fontId="1"/>
  </si>
  <si>
    <t>運用・保守の見積を含む場合に、運用設計、本番運用の工数に影響する。</t>
    <rPh sb="0" eb="2">
      <t>ウンヨウ</t>
    </rPh>
    <rPh sb="3" eb="5">
      <t>ホシュ</t>
    </rPh>
    <rPh sb="6" eb="8">
      <t>ミツモリ</t>
    </rPh>
    <rPh sb="9" eb="10">
      <t>フク</t>
    </rPh>
    <rPh sb="11" eb="13">
      <t>バアイ</t>
    </rPh>
    <rPh sb="15" eb="17">
      <t>ウンヨウ</t>
    </rPh>
    <rPh sb="17" eb="19">
      <t>セッケイ</t>
    </rPh>
    <rPh sb="20" eb="22">
      <t>ホンバン</t>
    </rPh>
    <rPh sb="25" eb="27">
      <t>コウスウ</t>
    </rPh>
    <rPh sb="28" eb="30">
      <t>エイキョウ</t>
    </rPh>
    <phoneticPr fontId="1"/>
  </si>
  <si>
    <t xml:space="preserve">サービスデスクの設置有無
インシデント管理の実施有無
問題管理の実施有無
構成管理の実施有無
変更管理の実施有無
リリース管理の実施有無
レベル感
定例会の有無
</t>
    <rPh sb="8" eb="10">
      <t>セッチ</t>
    </rPh>
    <rPh sb="10" eb="12">
      <t>ウム</t>
    </rPh>
    <rPh sb="72" eb="73">
      <t>カン</t>
    </rPh>
    <rPh sb="74" eb="76">
      <t>テイレイ</t>
    </rPh>
    <rPh sb="76" eb="77">
      <t>カイ</t>
    </rPh>
    <rPh sb="78" eb="80">
      <t>ウム</t>
    </rPh>
    <phoneticPr fontId="12"/>
  </si>
  <si>
    <t>移行性</t>
    <rPh sb="0" eb="2">
      <t>イコウ</t>
    </rPh>
    <rPh sb="2" eb="3">
      <t>セイ</t>
    </rPh>
    <phoneticPr fontId="1"/>
  </si>
  <si>
    <t>移行計画</t>
    <rPh sb="0" eb="2">
      <t>イコウ</t>
    </rPh>
    <rPh sb="2" eb="4">
      <t>ケイカク</t>
    </rPh>
    <phoneticPr fontId="12"/>
  </si>
  <si>
    <t>移行範囲</t>
    <rPh sb="0" eb="2">
      <t>イコウ</t>
    </rPh>
    <rPh sb="2" eb="4">
      <t>ハンイ</t>
    </rPh>
    <phoneticPr fontId="1"/>
  </si>
  <si>
    <t>-</t>
    <phoneticPr fontId="1"/>
  </si>
  <si>
    <t>業務移行、システム移行、データ移行のどの移行か明確化する。</t>
    <rPh sb="0" eb="2">
      <t>ギョウム</t>
    </rPh>
    <rPh sb="2" eb="4">
      <t>イコウ</t>
    </rPh>
    <rPh sb="9" eb="11">
      <t>イコウ</t>
    </rPh>
    <rPh sb="15" eb="17">
      <t>イコウ</t>
    </rPh>
    <rPh sb="20" eb="22">
      <t>イコウ</t>
    </rPh>
    <rPh sb="23" eb="25">
      <t>メイカク</t>
    </rPh>
    <rPh sb="25" eb="26">
      <t>カ</t>
    </rPh>
    <phoneticPr fontId="1"/>
  </si>
  <si>
    <t xml:space="preserve">移行設計、移行作業の工数に影響する。また、新しい仕組みで運用が回るかを確認する工数に影響する。
</t>
    <rPh sb="5" eb="7">
      <t>イコウ</t>
    </rPh>
    <rPh sb="7" eb="9">
      <t>サギョウ</t>
    </rPh>
    <rPh sb="10" eb="12">
      <t>コウスウ</t>
    </rPh>
    <rPh sb="13" eb="15">
      <t>エイキョウ</t>
    </rPh>
    <rPh sb="35" eb="37">
      <t>カクニン</t>
    </rPh>
    <rPh sb="39" eb="41">
      <t>コウスウ</t>
    </rPh>
    <rPh sb="42" eb="44">
      <t>エイキョウ</t>
    </rPh>
    <phoneticPr fontId="1"/>
  </si>
  <si>
    <t xml:space="preserve">移行範囲の確認
　（業務移行、システム移行、データ移行）
＜業務移行の場合の追加確認＞
現行業務調査済みかどうか
新業務が定義済みかどうか
</t>
    <rPh sb="0" eb="2">
      <t>イコウ</t>
    </rPh>
    <rPh sb="2" eb="4">
      <t>ハンイ</t>
    </rPh>
    <rPh sb="5" eb="7">
      <t>カクニン</t>
    </rPh>
    <rPh sb="35" eb="37">
      <t>バアイ</t>
    </rPh>
    <rPh sb="38" eb="40">
      <t>ツイカ</t>
    </rPh>
    <rPh sb="40" eb="42">
      <t>カクニン</t>
    </rPh>
    <rPh sb="50" eb="51">
      <t>ズ</t>
    </rPh>
    <rPh sb="57" eb="60">
      <t>シンギョウム</t>
    </rPh>
    <rPh sb="61" eb="63">
      <t>テイギ</t>
    </rPh>
    <rPh sb="63" eb="64">
      <t>ズ</t>
    </rPh>
    <phoneticPr fontId="1"/>
  </si>
  <si>
    <t>移行作業分担</t>
    <phoneticPr fontId="12"/>
  </si>
  <si>
    <t>D.5.1.1</t>
    <phoneticPr fontId="1"/>
  </si>
  <si>
    <t xml:space="preserve">移行作業の作業分担。
</t>
    <rPh sb="5" eb="7">
      <t>サギョウ</t>
    </rPh>
    <phoneticPr fontId="12"/>
  </si>
  <si>
    <t>移行設計、移行作業の工数に影響する。</t>
    <rPh sb="5" eb="7">
      <t>イコウ</t>
    </rPh>
    <rPh sb="7" eb="9">
      <t>サギョウ</t>
    </rPh>
    <rPh sb="10" eb="12">
      <t>コウスウ</t>
    </rPh>
    <rPh sb="13" eb="15">
      <t>エイキョウ</t>
    </rPh>
    <phoneticPr fontId="1"/>
  </si>
  <si>
    <t xml:space="preserve">移行のユーザ/ベンダ作業分担
＜業務移行の場合の追加確認＞
顧客内への説明、調整
（基本的には顧客主体で実施する）
</t>
    <rPh sb="0" eb="2">
      <t>イコウ</t>
    </rPh>
    <rPh sb="10" eb="12">
      <t>サギョウ</t>
    </rPh>
    <rPh sb="12" eb="14">
      <t>ブンタン</t>
    </rPh>
    <rPh sb="42" eb="45">
      <t>キホンテキ</t>
    </rPh>
    <phoneticPr fontId="12"/>
  </si>
  <si>
    <t>リハーサル</t>
    <phoneticPr fontId="12"/>
  </si>
  <si>
    <t>D.5.2.1～
D.5.2.4</t>
    <phoneticPr fontId="1"/>
  </si>
  <si>
    <t xml:space="preserve">移行のリハーサル（移行中の障害を想定したリハーサルを含む）。
</t>
    <phoneticPr fontId="12"/>
  </si>
  <si>
    <t>移行リハーサルの工数に影響する。</t>
    <rPh sb="0" eb="2">
      <t>イコウ</t>
    </rPh>
    <rPh sb="8" eb="10">
      <t>コウスウ</t>
    </rPh>
    <rPh sb="11" eb="13">
      <t>エイキョウ</t>
    </rPh>
    <phoneticPr fontId="1"/>
  </si>
  <si>
    <t xml:space="preserve">リハーサル範囲
リハーサル環境
リハーサル回数
外部連携リハーサルの有無
</t>
    <rPh sb="5" eb="7">
      <t>ハンイ</t>
    </rPh>
    <phoneticPr fontId="12"/>
  </si>
  <si>
    <t>移行時期</t>
    <rPh sb="0" eb="2">
      <t>イコウ</t>
    </rPh>
    <rPh sb="2" eb="4">
      <t>ジキ</t>
    </rPh>
    <phoneticPr fontId="12"/>
  </si>
  <si>
    <t>移行のスケジュール</t>
    <rPh sb="0" eb="2">
      <t>イコウ</t>
    </rPh>
    <phoneticPr fontId="12"/>
  </si>
  <si>
    <t>D.1.1.1～
D.1.1.3</t>
    <phoneticPr fontId="1"/>
  </si>
  <si>
    <t xml:space="preserve">移行作業計画から本稼働までのシステム移行期間、システム停止可能日時、並行稼働の有無。（例外発生時の切り戻し時間や事前バックアップの時間等も含むこと。）
</t>
    <rPh sb="0" eb="2">
      <t>イコウ</t>
    </rPh>
    <rPh sb="2" eb="4">
      <t>サギョウ</t>
    </rPh>
    <rPh sb="4" eb="6">
      <t>ケイカク</t>
    </rPh>
    <rPh sb="8" eb="9">
      <t>ホン</t>
    </rPh>
    <rPh sb="9" eb="11">
      <t>カドウ</t>
    </rPh>
    <rPh sb="34" eb="36">
      <t>ヘイコウ</t>
    </rPh>
    <rPh sb="36" eb="38">
      <t>カドウ</t>
    </rPh>
    <rPh sb="39" eb="41">
      <t>ウム</t>
    </rPh>
    <phoneticPr fontId="12"/>
  </si>
  <si>
    <t xml:space="preserve">移行設計、移行作業の工数に影響する。
</t>
    <rPh sb="0" eb="2">
      <t>イコウ</t>
    </rPh>
    <rPh sb="2" eb="4">
      <t>セッケイ</t>
    </rPh>
    <rPh sb="5" eb="7">
      <t>イコウ</t>
    </rPh>
    <rPh sb="7" eb="9">
      <t>サギョウ</t>
    </rPh>
    <rPh sb="10" eb="12">
      <t>コウスウ</t>
    </rPh>
    <rPh sb="13" eb="15">
      <t>エイキョウ</t>
    </rPh>
    <phoneticPr fontId="1"/>
  </si>
  <si>
    <t xml:space="preserve">システム移行期間
システム停止可能日時
並行稼働の有無
運用時間（通常）
運用時間（特定日）
一日の始まりと終わり
</t>
    <phoneticPr fontId="1"/>
  </si>
  <si>
    <t>移行方式</t>
    <rPh sb="0" eb="2">
      <t>イコウ</t>
    </rPh>
    <rPh sb="2" eb="4">
      <t>ホウシキ</t>
    </rPh>
    <phoneticPr fontId="12"/>
  </si>
  <si>
    <t>移行方式</t>
    <phoneticPr fontId="12"/>
  </si>
  <si>
    <t>D.2.1.1
D.2.1.2</t>
    <phoneticPr fontId="1"/>
  </si>
  <si>
    <t xml:space="preserve">システムの移行および新規展開時に多段階による展開方式をどの程度採用するかの程度。
</t>
    <rPh sb="5" eb="7">
      <t>イコウ</t>
    </rPh>
    <rPh sb="10" eb="12">
      <t>シンキ</t>
    </rPh>
    <rPh sb="12" eb="14">
      <t>テンカイ</t>
    </rPh>
    <rPh sb="14" eb="15">
      <t>ジ</t>
    </rPh>
    <rPh sb="16" eb="17">
      <t>タ</t>
    </rPh>
    <rPh sb="17" eb="19">
      <t>ダンカイ</t>
    </rPh>
    <rPh sb="22" eb="24">
      <t>テンカイ</t>
    </rPh>
    <rPh sb="24" eb="26">
      <t>ホウシキ</t>
    </rPh>
    <rPh sb="29" eb="31">
      <t>テイド</t>
    </rPh>
    <rPh sb="31" eb="33">
      <t>サイヨウ</t>
    </rPh>
    <rPh sb="37" eb="39">
      <t>テイド</t>
    </rPh>
    <phoneticPr fontId="12"/>
  </si>
  <si>
    <t xml:space="preserve">拠点展開ステップ数
業務展開ステップ数
拠点数
仕掛データの移行方法
</t>
    <rPh sb="0" eb="2">
      <t>キョテン</t>
    </rPh>
    <rPh sb="2" eb="4">
      <t>テンカイ</t>
    </rPh>
    <rPh sb="8" eb="9">
      <t>スウ</t>
    </rPh>
    <rPh sb="20" eb="23">
      <t>キョテンスウ</t>
    </rPh>
    <rPh sb="30" eb="32">
      <t>イコウ</t>
    </rPh>
    <rPh sb="32" eb="34">
      <t>ホウホウ</t>
    </rPh>
    <phoneticPr fontId="12"/>
  </si>
  <si>
    <t>移行対象（機器）</t>
    <rPh sb="0" eb="2">
      <t>イコウ</t>
    </rPh>
    <rPh sb="2" eb="4">
      <t>タイショウ</t>
    </rPh>
    <rPh sb="5" eb="7">
      <t>キキ</t>
    </rPh>
    <phoneticPr fontId="12"/>
  </si>
  <si>
    <t>移行設備</t>
    <rPh sb="0" eb="2">
      <t>イコウ</t>
    </rPh>
    <rPh sb="2" eb="4">
      <t>セツビ</t>
    </rPh>
    <phoneticPr fontId="12"/>
  </si>
  <si>
    <t>D.3.1.1</t>
    <phoneticPr fontId="1"/>
  </si>
  <si>
    <t xml:space="preserve">移行前のシステムで使用していた設備において、新システムで新たな設備に入れ替え対象となる移行対象設備の内容。
</t>
    <rPh sb="0" eb="2">
      <t>イコウ</t>
    </rPh>
    <rPh sb="2" eb="3">
      <t>マエ</t>
    </rPh>
    <rPh sb="9" eb="11">
      <t>シヨウ</t>
    </rPh>
    <rPh sb="15" eb="17">
      <t>セツビ</t>
    </rPh>
    <rPh sb="22" eb="23">
      <t>シン</t>
    </rPh>
    <rPh sb="28" eb="29">
      <t>アラ</t>
    </rPh>
    <rPh sb="31" eb="33">
      <t>セツビ</t>
    </rPh>
    <rPh sb="34" eb="35">
      <t>イ</t>
    </rPh>
    <rPh sb="36" eb="37">
      <t>カ</t>
    </rPh>
    <rPh sb="38" eb="40">
      <t>タイショウ</t>
    </rPh>
    <rPh sb="43" eb="45">
      <t>イコウ</t>
    </rPh>
    <rPh sb="45" eb="47">
      <t>タイショウ</t>
    </rPh>
    <rPh sb="47" eb="49">
      <t>セツビ</t>
    </rPh>
    <rPh sb="50" eb="52">
      <t>ナイヨウ</t>
    </rPh>
    <phoneticPr fontId="12"/>
  </si>
  <si>
    <t xml:space="preserve">設備・機器の移行内容
既存か新規か
</t>
    <rPh sb="0" eb="2">
      <t>セツビ</t>
    </rPh>
    <rPh sb="3" eb="5">
      <t>キキ</t>
    </rPh>
    <rPh sb="6" eb="8">
      <t>イコウ</t>
    </rPh>
    <rPh sb="8" eb="10">
      <t>ナイヨウ</t>
    </rPh>
    <rPh sb="11" eb="13">
      <t>キゾン</t>
    </rPh>
    <rPh sb="14" eb="16">
      <t>シンキ</t>
    </rPh>
    <phoneticPr fontId="12"/>
  </si>
  <si>
    <t>移行対象（データ）</t>
    <rPh sb="0" eb="2">
      <t>イコウ</t>
    </rPh>
    <rPh sb="2" eb="4">
      <t>タイショウ</t>
    </rPh>
    <phoneticPr fontId="12"/>
  </si>
  <si>
    <t>移行データ量</t>
    <rPh sb="0" eb="2">
      <t>イコウ</t>
    </rPh>
    <phoneticPr fontId="12"/>
  </si>
  <si>
    <t>D.4.1.1
D.4.1.2</t>
    <phoneticPr fontId="1"/>
  </si>
  <si>
    <t xml:space="preserve">旧システム上で移行の必要がある業務データの量（プログラムを含む）。
</t>
    <rPh sb="29" eb="30">
      <t>フク</t>
    </rPh>
    <phoneticPr fontId="12"/>
  </si>
  <si>
    <t xml:space="preserve">移行データ量
移行データ形式
</t>
    <rPh sb="0" eb="2">
      <t>イコウ</t>
    </rPh>
    <rPh sb="5" eb="6">
      <t>リョウ</t>
    </rPh>
    <phoneticPr fontId="12"/>
  </si>
  <si>
    <t>移行媒体</t>
    <rPh sb="0" eb="2">
      <t>イコウ</t>
    </rPh>
    <rPh sb="2" eb="4">
      <t>バイタイ</t>
    </rPh>
    <phoneticPr fontId="12"/>
  </si>
  <si>
    <t>D.4.2.1
D.4.2.2</t>
    <phoneticPr fontId="1"/>
  </si>
  <si>
    <t xml:space="preserve">移行対象となる媒体の量と移行時に必要となる媒体種類数。
</t>
    <rPh sb="7" eb="9">
      <t>バイタイ</t>
    </rPh>
    <rPh sb="12" eb="15">
      <t>イコウジ</t>
    </rPh>
    <rPh sb="16" eb="18">
      <t>ヒツヨウ</t>
    </rPh>
    <rPh sb="21" eb="23">
      <t>バイタイ</t>
    </rPh>
    <rPh sb="23" eb="25">
      <t>シュルイ</t>
    </rPh>
    <rPh sb="25" eb="26">
      <t>スウ</t>
    </rPh>
    <phoneticPr fontId="12"/>
  </si>
  <si>
    <t xml:space="preserve">移行媒体種類数
</t>
    <rPh sb="0" eb="2">
      <t>イコウ</t>
    </rPh>
    <rPh sb="2" eb="4">
      <t>バイタイ</t>
    </rPh>
    <rPh sb="4" eb="5">
      <t>タネ</t>
    </rPh>
    <rPh sb="5" eb="6">
      <t>ルイ</t>
    </rPh>
    <rPh sb="6" eb="7">
      <t>スウ</t>
    </rPh>
    <phoneticPr fontId="12"/>
  </si>
  <si>
    <t>変換対象（DBなど）</t>
    <rPh sb="0" eb="2">
      <t>ヘンカン</t>
    </rPh>
    <rPh sb="2" eb="4">
      <t>タイショウ</t>
    </rPh>
    <phoneticPr fontId="12"/>
  </si>
  <si>
    <t>D.4.3.1
D.4.3.2</t>
    <phoneticPr fontId="1"/>
  </si>
  <si>
    <t xml:space="preserve">変換対象となるデータの量とツールの複雑度（変換ルール数）。
</t>
    <rPh sb="0" eb="2">
      <t>ヘンカン</t>
    </rPh>
    <rPh sb="2" eb="4">
      <t>タイショウ</t>
    </rPh>
    <rPh sb="11" eb="12">
      <t>リョウ</t>
    </rPh>
    <rPh sb="17" eb="19">
      <t>フクザツ</t>
    </rPh>
    <rPh sb="19" eb="20">
      <t>ド</t>
    </rPh>
    <rPh sb="21" eb="23">
      <t>ヘンカン</t>
    </rPh>
    <rPh sb="26" eb="27">
      <t>スウ</t>
    </rPh>
    <phoneticPr fontId="12"/>
  </si>
  <si>
    <t>移行ツール開発、移行作業に影響する。</t>
    <rPh sb="0" eb="2">
      <t>イコウ</t>
    </rPh>
    <rPh sb="5" eb="7">
      <t>カイハツ</t>
    </rPh>
    <rPh sb="10" eb="12">
      <t>サギョウ</t>
    </rPh>
    <rPh sb="13" eb="15">
      <t>エイキョウ</t>
    </rPh>
    <phoneticPr fontId="1"/>
  </si>
  <si>
    <t xml:space="preserve">データ種類（トランザクション、過去データなど）
変換データ量
移行ツール/データの複雑度（変換ルール数）
データクレンジングの方法
</t>
    <rPh sb="3" eb="5">
      <t>シュルイ</t>
    </rPh>
    <rPh sb="15" eb="17">
      <t>カコ</t>
    </rPh>
    <rPh sb="24" eb="26">
      <t>ヘンカン</t>
    </rPh>
    <rPh sb="29" eb="30">
      <t>リョウ</t>
    </rPh>
    <rPh sb="63" eb="65">
      <t>ホウホウ</t>
    </rPh>
    <phoneticPr fontId="12"/>
  </si>
  <si>
    <t>セキュリティ</t>
    <phoneticPr fontId="1"/>
  </si>
  <si>
    <t>前提条件・制約条件</t>
    <phoneticPr fontId="1"/>
  </si>
  <si>
    <t>情報セキュリティに関する
コンプライアンス</t>
    <rPh sb="0" eb="2">
      <t>ジョウホウ</t>
    </rPh>
    <rPh sb="9" eb="10">
      <t>カン</t>
    </rPh>
    <phoneticPr fontId="1"/>
  </si>
  <si>
    <t>E.1.1.1</t>
    <phoneticPr fontId="1"/>
  </si>
  <si>
    <t xml:space="preserve">ユーザが順守すべき情報セキュリティに関する組織規程やルール、法令、ガイドライン等が存在する場合は、規定されている内容と矛盾が生じないよう対策を検討する。
</t>
    <rPh sb="21" eb="23">
      <t>ソシキ</t>
    </rPh>
    <rPh sb="23" eb="25">
      <t>キテイ</t>
    </rPh>
    <rPh sb="30" eb="32">
      <t>ホウレイ</t>
    </rPh>
    <rPh sb="39" eb="40">
      <t>ナド</t>
    </rPh>
    <rPh sb="41" eb="43">
      <t>ソンザイ</t>
    </rPh>
    <rPh sb="45" eb="47">
      <t>バアイ</t>
    </rPh>
    <rPh sb="49" eb="51">
      <t>キテイ</t>
    </rPh>
    <rPh sb="68" eb="70">
      <t>タイサク</t>
    </rPh>
    <rPh sb="71" eb="73">
      <t>ケントウ</t>
    </rPh>
    <phoneticPr fontId="1"/>
  </si>
  <si>
    <t>セキュリティ設計、実装の工数に影響する。（特に外国等の場合は注意。）</t>
    <rPh sb="6" eb="8">
      <t>セッケイ</t>
    </rPh>
    <rPh sb="9" eb="11">
      <t>ジッソウ</t>
    </rPh>
    <rPh sb="12" eb="14">
      <t>コウスウ</t>
    </rPh>
    <rPh sb="15" eb="17">
      <t>エイキョウ</t>
    </rPh>
    <rPh sb="21" eb="22">
      <t>トク</t>
    </rPh>
    <rPh sb="23" eb="25">
      <t>ガイコク</t>
    </rPh>
    <rPh sb="25" eb="26">
      <t>トウ</t>
    </rPh>
    <rPh sb="27" eb="29">
      <t>バアイ</t>
    </rPh>
    <rPh sb="30" eb="32">
      <t>チュウイ</t>
    </rPh>
    <phoneticPr fontId="1"/>
  </si>
  <si>
    <t xml:space="preserve">順守すべき社内規程、ルール、
　法令、ガイドライン等の有無
国外で利用されるシステムかどうか
顧客のセキュリティ、インフラのポリシー
セキュリティリスク分析の実施有無
</t>
    <rPh sb="0" eb="2">
      <t>ジュンシュ</t>
    </rPh>
    <rPh sb="5" eb="7">
      <t>シャナイ</t>
    </rPh>
    <rPh sb="7" eb="9">
      <t>キテイ</t>
    </rPh>
    <rPh sb="16" eb="18">
      <t>ホウレイ</t>
    </rPh>
    <rPh sb="25" eb="26">
      <t>ナド</t>
    </rPh>
    <rPh sb="27" eb="29">
      <t>ウム</t>
    </rPh>
    <rPh sb="30" eb="32">
      <t>コクガイ</t>
    </rPh>
    <rPh sb="33" eb="35">
      <t>リヨウ</t>
    </rPh>
    <rPh sb="47" eb="49">
      <t>コキャク</t>
    </rPh>
    <rPh sb="76" eb="78">
      <t>ブンセキ</t>
    </rPh>
    <rPh sb="79" eb="81">
      <t>ジッシ</t>
    </rPh>
    <rPh sb="81" eb="83">
      <t>ウム</t>
    </rPh>
    <phoneticPr fontId="1"/>
  </si>
  <si>
    <t>セキュリティ診断</t>
    <phoneticPr fontId="1"/>
  </si>
  <si>
    <t>E.3.1.1
E.3.1.2
E.3.1.3</t>
    <phoneticPr fontId="1"/>
  </si>
  <si>
    <t xml:space="preserve">対象システムや、各種ドキュメントに対して、セキュリティに特化した各種試験や検査の実施の有無を確認するための項目。
</t>
    <rPh sb="32" eb="34">
      <t>カクシュ</t>
    </rPh>
    <rPh sb="34" eb="36">
      <t>シケン</t>
    </rPh>
    <rPh sb="40" eb="42">
      <t>ジッシ</t>
    </rPh>
    <rPh sb="43" eb="45">
      <t>ウム</t>
    </rPh>
    <rPh sb="46" eb="48">
      <t>カクニン</t>
    </rPh>
    <rPh sb="53" eb="55">
      <t>コウモク</t>
    </rPh>
    <phoneticPr fontId="1"/>
  </si>
  <si>
    <t>セキュリティテストの工数に影響する。</t>
    <rPh sb="10" eb="12">
      <t>コウスウ</t>
    </rPh>
    <rPh sb="13" eb="15">
      <t>エイキョウ</t>
    </rPh>
    <phoneticPr fontId="1"/>
  </si>
  <si>
    <t xml:space="preserve">Web診断実施の有無
DB診断実施の有無
診断レベル
診断範囲
診断頻度
</t>
    <rPh sb="21" eb="23">
      <t>シンダン</t>
    </rPh>
    <rPh sb="27" eb="29">
      <t>シンダン</t>
    </rPh>
    <rPh sb="29" eb="31">
      <t>ハンイ</t>
    </rPh>
    <rPh sb="32" eb="34">
      <t>シンダン</t>
    </rPh>
    <rPh sb="34" eb="36">
      <t>ヒンド</t>
    </rPh>
    <phoneticPr fontId="1"/>
  </si>
  <si>
    <t>アクセス・利用制限</t>
    <phoneticPr fontId="1"/>
  </si>
  <si>
    <t>認証機能</t>
    <phoneticPr fontId="1"/>
  </si>
  <si>
    <t>E.5.1.1
E.5.1.2</t>
    <phoneticPr fontId="1"/>
  </si>
  <si>
    <t xml:space="preserve">資産を利用する主体（利用者や機器等）を識別するための認証を実施するか、また、どの程度実施するのかを確認するための項目。
</t>
    <rPh sb="0" eb="2">
      <t>シサン</t>
    </rPh>
    <rPh sb="3" eb="5">
      <t>リヨウ</t>
    </rPh>
    <rPh sb="7" eb="9">
      <t>シュタイ</t>
    </rPh>
    <rPh sb="10" eb="13">
      <t>リヨウシャ</t>
    </rPh>
    <rPh sb="14" eb="16">
      <t>キキ</t>
    </rPh>
    <rPh sb="16" eb="17">
      <t>トウ</t>
    </rPh>
    <rPh sb="19" eb="21">
      <t>シキベツ</t>
    </rPh>
    <rPh sb="26" eb="28">
      <t>ニンショウ</t>
    </rPh>
    <rPh sb="29" eb="31">
      <t>ジッシ</t>
    </rPh>
    <rPh sb="40" eb="42">
      <t>テイド</t>
    </rPh>
    <rPh sb="42" eb="44">
      <t>ジッシ</t>
    </rPh>
    <rPh sb="49" eb="51">
      <t>カクニン</t>
    </rPh>
    <rPh sb="56" eb="58">
      <t>コウモク</t>
    </rPh>
    <phoneticPr fontId="1"/>
  </si>
  <si>
    <t xml:space="preserve">アカウント管理設計、シングルサインオン設計に影響する。
</t>
    <rPh sb="5" eb="7">
      <t>カンリ</t>
    </rPh>
    <rPh sb="7" eb="9">
      <t>セッケイ</t>
    </rPh>
    <rPh sb="22" eb="24">
      <t>エイキョウ</t>
    </rPh>
    <phoneticPr fontId="1"/>
  </si>
  <si>
    <t xml:space="preserve">管理権限を持つ主体の認証の要否
管理権限を持たない主体の認証の要否
認証方法
</t>
    <rPh sb="0" eb="2">
      <t>カンリ</t>
    </rPh>
    <rPh sb="2" eb="4">
      <t>ケンゲン</t>
    </rPh>
    <rPh sb="5" eb="6">
      <t>モ</t>
    </rPh>
    <rPh sb="7" eb="9">
      <t>シュタイ</t>
    </rPh>
    <rPh sb="10" eb="12">
      <t>ニンショウ</t>
    </rPh>
    <rPh sb="13" eb="15">
      <t>ヨウヒ</t>
    </rPh>
    <rPh sb="34" eb="36">
      <t>ニンショウ</t>
    </rPh>
    <rPh sb="36" eb="38">
      <t>ホウホウ</t>
    </rPh>
    <phoneticPr fontId="1"/>
  </si>
  <si>
    <t>利用制限</t>
    <rPh sb="0" eb="2">
      <t>リヨウ</t>
    </rPh>
    <phoneticPr fontId="1"/>
  </si>
  <si>
    <t>E.5.2.1
E.5.2.2</t>
    <phoneticPr fontId="1"/>
  </si>
  <si>
    <t xml:space="preserve">認証された主体（利用者や機器など）に対して、資産の利用等を、ソフトウェアやハードウェアにより制限するか確認するための項目。
</t>
    <rPh sb="0" eb="2">
      <t>ニンショウ</t>
    </rPh>
    <rPh sb="18" eb="19">
      <t>タイ</t>
    </rPh>
    <rPh sb="46" eb="48">
      <t>セイゲン</t>
    </rPh>
    <rPh sb="51" eb="53">
      <t>カクニン</t>
    </rPh>
    <rPh sb="58" eb="60">
      <t>コウモク</t>
    </rPh>
    <phoneticPr fontId="1"/>
  </si>
  <si>
    <t xml:space="preserve">認可（アクセスコントロール）設計に影響する。
</t>
    <rPh sb="0" eb="2">
      <t>ニンカ</t>
    </rPh>
    <rPh sb="14" eb="16">
      <t>セッケイ</t>
    </rPh>
    <phoneticPr fontId="1"/>
  </si>
  <si>
    <t xml:space="preserve">制限のレベル・限度（システム上、物理的）
</t>
    <rPh sb="0" eb="2">
      <t>セイゲン</t>
    </rPh>
    <rPh sb="7" eb="9">
      <t>ゲンド</t>
    </rPh>
    <phoneticPr fontId="1"/>
  </si>
  <si>
    <t>管理方法</t>
  </si>
  <si>
    <t>E.5.3.1</t>
    <phoneticPr fontId="1"/>
  </si>
  <si>
    <t xml:space="preserve">認証に必要な情報（例えば、 ID/パスワード、指紋、虹彩、静脈など、主体を一意に特定する情報）の追加、更新、削除等のルール策定を実施するかを確認するための項目。
</t>
    <rPh sb="0" eb="2">
      <t>ニンショウ</t>
    </rPh>
    <rPh sb="3" eb="5">
      <t>ヒツヨウ</t>
    </rPh>
    <rPh sb="6" eb="8">
      <t>ジョウホウ</t>
    </rPh>
    <rPh sb="9" eb="10">
      <t>タト</t>
    </rPh>
    <rPh sb="48" eb="50">
      <t>ツイカ</t>
    </rPh>
    <rPh sb="51" eb="53">
      <t>コウシン</t>
    </rPh>
    <rPh sb="54" eb="56">
      <t>サクジョ</t>
    </rPh>
    <rPh sb="56" eb="57">
      <t>ナド</t>
    </rPh>
    <rPh sb="61" eb="63">
      <t>サクテイ</t>
    </rPh>
    <rPh sb="64" eb="66">
      <t>ジッシ</t>
    </rPh>
    <rPh sb="70" eb="72">
      <t>カクニン</t>
    </rPh>
    <rPh sb="77" eb="79">
      <t>コウモク</t>
    </rPh>
    <phoneticPr fontId="1"/>
  </si>
  <si>
    <t xml:space="preserve">アカウント管理設計、セキュリティ設計に影響する。
</t>
    <rPh sb="5" eb="7">
      <t>カンリ</t>
    </rPh>
    <rPh sb="7" eb="9">
      <t>セッケイ</t>
    </rPh>
    <rPh sb="16" eb="18">
      <t>セッケイ</t>
    </rPh>
    <rPh sb="19" eb="21">
      <t>エイキョウ</t>
    </rPh>
    <phoneticPr fontId="1"/>
  </si>
  <si>
    <t xml:space="preserve">管理ルールの有無
　　（認証に必要な情報の
　　追加、更新、削除等のルール）
</t>
    <rPh sb="0" eb="2">
      <t>カンリ</t>
    </rPh>
    <rPh sb="6" eb="8">
      <t>ウム</t>
    </rPh>
    <phoneticPr fontId="1"/>
  </si>
  <si>
    <t>データの秘匿</t>
    <phoneticPr fontId="1"/>
  </si>
  <si>
    <t>データ暗号化</t>
    <rPh sb="5" eb="6">
      <t>カ</t>
    </rPh>
    <phoneticPr fontId="1"/>
  </si>
  <si>
    <t>E.6.1.1～
E.6.1.3</t>
    <phoneticPr fontId="1"/>
  </si>
  <si>
    <t xml:space="preserve">機密性のあるデータを、伝送時や蓄積時に秘匿するための暗号化を実施するかを確認するための項目。
</t>
    <rPh sb="0" eb="3">
      <t>キミツセイ</t>
    </rPh>
    <rPh sb="11" eb="13">
      <t>デンソウ</t>
    </rPh>
    <rPh sb="13" eb="14">
      <t>ジ</t>
    </rPh>
    <rPh sb="15" eb="17">
      <t>チクセキ</t>
    </rPh>
    <rPh sb="17" eb="18">
      <t>ジ</t>
    </rPh>
    <rPh sb="26" eb="29">
      <t>アンゴウカ</t>
    </rPh>
    <rPh sb="30" eb="32">
      <t>ジッシ</t>
    </rPh>
    <rPh sb="36" eb="38">
      <t>カクニン</t>
    </rPh>
    <rPh sb="43" eb="45">
      <t>コウモク</t>
    </rPh>
    <phoneticPr fontId="1"/>
  </si>
  <si>
    <t>セキュリティ設計、実装の工数に影響する。</t>
    <rPh sb="6" eb="8">
      <t>セッケイ</t>
    </rPh>
    <rPh sb="9" eb="11">
      <t>ジッソウ</t>
    </rPh>
    <rPh sb="12" eb="14">
      <t>コウスウ</t>
    </rPh>
    <rPh sb="15" eb="17">
      <t>エイキョウ</t>
    </rPh>
    <phoneticPr fontId="1"/>
  </si>
  <si>
    <t xml:space="preserve">伝送データの暗号化の有無
蓄積データの暗号化の有無
鍵管理
暗号化経路(SSL)の要否
SSL証明書の取得の要否
</t>
    <rPh sb="30" eb="33">
      <t>アンゴウカ</t>
    </rPh>
    <rPh sb="33" eb="35">
      <t>ケイロ</t>
    </rPh>
    <rPh sb="41" eb="43">
      <t>ヨウヒ</t>
    </rPh>
    <rPh sb="47" eb="50">
      <t>ショウメイショ</t>
    </rPh>
    <rPh sb="51" eb="53">
      <t>シュトク</t>
    </rPh>
    <rPh sb="54" eb="56">
      <t>ヨウヒ</t>
    </rPh>
    <phoneticPr fontId="1"/>
  </si>
  <si>
    <t>不正追跡・監視</t>
    <phoneticPr fontId="1"/>
  </si>
  <si>
    <t>不正監視</t>
    <phoneticPr fontId="1"/>
  </si>
  <si>
    <t>E.7.1.1～
E.7.1.6</t>
    <phoneticPr fontId="1"/>
  </si>
  <si>
    <t xml:space="preserve">不正行為を検知するために、それらの不正について監視する範囲や、監視の記録を保存する量や期間を確認するための項目。
</t>
    <rPh sb="17" eb="19">
      <t>フセイ</t>
    </rPh>
    <rPh sb="46" eb="48">
      <t>カクニン</t>
    </rPh>
    <rPh sb="53" eb="55">
      <t>コウモク</t>
    </rPh>
    <phoneticPr fontId="1"/>
  </si>
  <si>
    <t xml:space="preserve">ログ設計（ログローテーション、ログ項目、製品設定など）に影響する。
</t>
    <rPh sb="20" eb="22">
      <t>セイヒン</t>
    </rPh>
    <rPh sb="22" eb="24">
      <t>セッテイ</t>
    </rPh>
    <phoneticPr fontId="1"/>
  </si>
  <si>
    <t xml:space="preserve">ログの取得範囲
ログの取得レベル
ログの取得頻度
確認間隔
確認方法
　（システムで閲覧、紙レポート提出など）
</t>
    <rPh sb="5" eb="7">
      <t>ハンイ</t>
    </rPh>
    <rPh sb="22" eb="24">
      <t>ヒンド</t>
    </rPh>
    <rPh sb="30" eb="32">
      <t>カクニン</t>
    </rPh>
    <rPh sb="32" eb="34">
      <t>ホウホウ</t>
    </rPh>
    <rPh sb="42" eb="44">
      <t>エツラン</t>
    </rPh>
    <rPh sb="45" eb="46">
      <t>カミ</t>
    </rPh>
    <rPh sb="50" eb="52">
      <t>テイシュツ</t>
    </rPh>
    <phoneticPr fontId="1"/>
  </si>
  <si>
    <t>データ検証</t>
  </si>
  <si>
    <t>E.7.2.1
E.7.2.2</t>
    <phoneticPr fontId="1"/>
  </si>
  <si>
    <t xml:space="preserve">情報が正しく処理されて保存されていることを証明可能とし、情報の改ざんを検知するための仕組みとしてデジタル署名を導入するかを確認するための項目。
</t>
    <rPh sb="3" eb="4">
      <t>タダ</t>
    </rPh>
    <rPh sb="6" eb="8">
      <t>ショリ</t>
    </rPh>
    <rPh sb="11" eb="13">
      <t>ホゾン</t>
    </rPh>
    <rPh sb="21" eb="23">
      <t>ショウメイ</t>
    </rPh>
    <rPh sb="23" eb="25">
      <t>カノウ</t>
    </rPh>
    <rPh sb="28" eb="30">
      <t>ジョウホウ</t>
    </rPh>
    <rPh sb="35" eb="37">
      <t>ケンチ</t>
    </rPh>
    <rPh sb="42" eb="44">
      <t>シク</t>
    </rPh>
    <rPh sb="52" eb="54">
      <t>ショメイ</t>
    </rPh>
    <rPh sb="55" eb="57">
      <t>ドウニュウ</t>
    </rPh>
    <rPh sb="61" eb="63">
      <t>カクニン</t>
    </rPh>
    <rPh sb="68" eb="70">
      <t>コウモク</t>
    </rPh>
    <phoneticPr fontId="1"/>
  </si>
  <si>
    <t>セキュリティ設計、実装の工数に影響する。デジタル署名にはPKIの要否確認が必要。</t>
    <rPh sb="6" eb="8">
      <t>セッケイ</t>
    </rPh>
    <rPh sb="9" eb="11">
      <t>ジッソウ</t>
    </rPh>
    <rPh sb="12" eb="14">
      <t>コウスウ</t>
    </rPh>
    <rPh sb="15" eb="17">
      <t>エイキョウ</t>
    </rPh>
    <rPh sb="24" eb="26">
      <t>ショメイ</t>
    </rPh>
    <rPh sb="32" eb="34">
      <t>ヨウヒ</t>
    </rPh>
    <rPh sb="34" eb="36">
      <t>カクニン</t>
    </rPh>
    <rPh sb="37" eb="39">
      <t>ヒツヨウ</t>
    </rPh>
    <phoneticPr fontId="1"/>
  </si>
  <si>
    <t xml:space="preserve">デジタル署名の利用の有無
PKIの要否
</t>
    <rPh sb="17" eb="19">
      <t>ヨウヒ</t>
    </rPh>
    <phoneticPr fontId="1"/>
  </si>
  <si>
    <t>Web対策</t>
    <phoneticPr fontId="1"/>
  </si>
  <si>
    <t>Web実装対策</t>
    <rPh sb="3" eb="5">
      <t>ジッソウ</t>
    </rPh>
    <rPh sb="5" eb="7">
      <t>タイサク</t>
    </rPh>
    <phoneticPr fontId="1"/>
  </si>
  <si>
    <t>E.10.1.1
E.10.1.2</t>
    <phoneticPr fontId="1"/>
  </si>
  <si>
    <t xml:space="preserve">Webアプリケーション特有の脅威、脆弱性に関する対策を実施するかを確認するための項目。
</t>
    <rPh sb="11" eb="13">
      <t>トクユウ</t>
    </rPh>
    <rPh sb="14" eb="16">
      <t>キョウイ</t>
    </rPh>
    <rPh sb="17" eb="20">
      <t>ゼイジャクセイ</t>
    </rPh>
    <rPh sb="21" eb="22">
      <t>カン</t>
    </rPh>
    <rPh sb="24" eb="26">
      <t>タイサク</t>
    </rPh>
    <rPh sb="27" eb="29">
      <t>ジッシ</t>
    </rPh>
    <rPh sb="33" eb="35">
      <t>カクニン</t>
    </rPh>
    <rPh sb="40" eb="42">
      <t>コウモク</t>
    </rPh>
    <phoneticPr fontId="1"/>
  </si>
  <si>
    <t xml:space="preserve">セキュアコーディングの要否
Webサーバの堅牢化の要否
</t>
    <rPh sb="11" eb="13">
      <t>ヨウヒ</t>
    </rPh>
    <rPh sb="21" eb="23">
      <t>ケンロウ</t>
    </rPh>
    <rPh sb="23" eb="24">
      <t>カ</t>
    </rPh>
    <rPh sb="25" eb="27">
      <t>ヨウヒ</t>
    </rPh>
    <phoneticPr fontId="1"/>
  </si>
  <si>
    <t>【参考】リスク分析シート</t>
    <phoneticPr fontId="1"/>
  </si>
  <si>
    <t>プロジェクトコード：</t>
    <phoneticPr fontId="1"/>
  </si>
  <si>
    <t>顧客名・プロジェクト名：</t>
    <phoneticPr fontId="1"/>
  </si>
  <si>
    <t>作成日：</t>
    <phoneticPr fontId="1"/>
  </si>
  <si>
    <t>リスク分析
コード</t>
    <rPh sb="3" eb="5">
      <t>ブンセキ</t>
    </rPh>
    <phoneticPr fontId="1"/>
  </si>
  <si>
    <t>大分類</t>
    <rPh sb="0" eb="3">
      <t>ダイブンルイ</t>
    </rPh>
    <phoneticPr fontId="1"/>
  </si>
  <si>
    <t>カテゴリー</t>
    <phoneticPr fontId="1"/>
  </si>
  <si>
    <t>要因</t>
    <rPh sb="0" eb="2">
      <t>ヨウイン</t>
    </rPh>
    <phoneticPr fontId="1"/>
  </si>
  <si>
    <t>現象</t>
    <rPh sb="0" eb="2">
      <t>ゲンショウ</t>
    </rPh>
    <phoneticPr fontId="1"/>
  </si>
  <si>
    <t>該当</t>
    <rPh sb="0" eb="2">
      <t>ガイトウ</t>
    </rPh>
    <phoneticPr fontId="1"/>
  </si>
  <si>
    <t>RA-</t>
    <phoneticPr fontId="1"/>
  </si>
  <si>
    <t>見積</t>
    <rPh sb="0" eb="2">
      <t>ミツモリ</t>
    </rPh>
    <phoneticPr fontId="1"/>
  </si>
  <si>
    <t>見積前提条件の不足
・再見積条件不明確
・検収条件不適当
・納入物件不明確
・別料金条件不適当
・ソフトウェアライセンス不足</t>
    <rPh sb="0" eb="2">
      <t>ミツモ</t>
    </rPh>
    <rPh sb="2" eb="4">
      <t>ゼンテイ</t>
    </rPh>
    <rPh sb="4" eb="6">
      <t>ジョウケン</t>
    </rPh>
    <rPh sb="7" eb="9">
      <t>フソク</t>
    </rPh>
    <rPh sb="39" eb="42">
      <t>ベツリョウキン</t>
    </rPh>
    <rPh sb="42" eb="44">
      <t>ジョウケン</t>
    </rPh>
    <rPh sb="44" eb="47">
      <t>フテキトウ</t>
    </rPh>
    <phoneticPr fontId="1"/>
  </si>
  <si>
    <t>工程遅延、コストオーバー、現金収支で赤字</t>
    <rPh sb="0" eb="2">
      <t>コウテイ</t>
    </rPh>
    <rPh sb="2" eb="4">
      <t>チエン</t>
    </rPh>
    <rPh sb="13" eb="15">
      <t>ゲンキン</t>
    </rPh>
    <rPh sb="15" eb="17">
      <t>シュウシ</t>
    </rPh>
    <rPh sb="18" eb="20">
      <t>アカジ</t>
    </rPh>
    <phoneticPr fontId="1"/>
  </si>
  <si>
    <t>受注能力不足(難易度・規模＞技術力・体制・経験・知識)</t>
    <rPh sb="0" eb="2">
      <t>ジュチュウ</t>
    </rPh>
    <rPh sb="2" eb="4">
      <t>ノウリョク</t>
    </rPh>
    <rPh sb="4" eb="6">
      <t>フソク</t>
    </rPh>
    <rPh sb="7" eb="10">
      <t>ナンイド</t>
    </rPh>
    <rPh sb="11" eb="13">
      <t>キボ</t>
    </rPh>
    <rPh sb="14" eb="17">
      <t>ギジュツリョク</t>
    </rPh>
    <rPh sb="18" eb="20">
      <t>タイセイ</t>
    </rPh>
    <rPh sb="21" eb="23">
      <t>ケイケン</t>
    </rPh>
    <rPh sb="24" eb="26">
      <t>チシキ</t>
    </rPh>
    <phoneticPr fontId="1"/>
  </si>
  <si>
    <t>プロジェクト崩れ、過小見積、工程遅延、生産性低下、未完成</t>
    <rPh sb="6" eb="7">
      <t>クズ</t>
    </rPh>
    <rPh sb="9" eb="11">
      <t>カショウ</t>
    </rPh>
    <rPh sb="11" eb="13">
      <t>ミツモリ</t>
    </rPh>
    <rPh sb="14" eb="16">
      <t>コウテイ</t>
    </rPh>
    <rPh sb="16" eb="18">
      <t>チエン</t>
    </rPh>
    <rPh sb="19" eb="22">
      <t>セイサンセイ</t>
    </rPh>
    <rPh sb="22" eb="24">
      <t>テイカ</t>
    </rPh>
    <rPh sb="25" eb="28">
      <t>ミカンセイ</t>
    </rPh>
    <phoneticPr fontId="1"/>
  </si>
  <si>
    <t>正式見積での過小見積り
・規模(作業規模、FP、LOC、モジュール)見通し誤り
・アクティビティ漏れ(要件定義、移行、立会い、教育、インストール、チューニング、データクリーニング)
・生産性への過度な期待
・開発難易度の過小評価
・移行リスク検討不十分
・手戻り(レビュー差し戻し、バグ、検査不合格、移行データ不良等)考慮不足
・間接経費(トレーニング、出張経費、家賃、ツール、マシン、回線、サポート費、瑕疵担保期間中の対応費用等)漏れ</t>
    <rPh sb="0" eb="2">
      <t>セイシキ</t>
    </rPh>
    <rPh sb="2" eb="4">
      <t>ミツモリ</t>
    </rPh>
    <rPh sb="6" eb="8">
      <t>カショウ</t>
    </rPh>
    <rPh sb="8" eb="10">
      <t>ミツモ</t>
    </rPh>
    <rPh sb="48" eb="49">
      <t>モ</t>
    </rPh>
    <rPh sb="51" eb="53">
      <t>ヨウケン</t>
    </rPh>
    <rPh sb="53" eb="55">
      <t>テイギ</t>
    </rPh>
    <rPh sb="56" eb="58">
      <t>イコウ</t>
    </rPh>
    <rPh sb="59" eb="61">
      <t>タチア</t>
    </rPh>
    <rPh sb="63" eb="65">
      <t>キョウイク</t>
    </rPh>
    <rPh sb="92" eb="95">
      <t>セイサンセイ</t>
    </rPh>
    <rPh sb="97" eb="99">
      <t>カド</t>
    </rPh>
    <rPh sb="100" eb="102">
      <t>キタイ</t>
    </rPh>
    <rPh sb="202" eb="204">
      <t>カシ</t>
    </rPh>
    <rPh sb="204" eb="206">
      <t>タンポ</t>
    </rPh>
    <rPh sb="206" eb="208">
      <t>キカン</t>
    </rPh>
    <rPh sb="208" eb="209">
      <t>チュウ</t>
    </rPh>
    <rPh sb="210" eb="212">
      <t>タイオウ</t>
    </rPh>
    <rPh sb="212" eb="214">
      <t>ヒヨウ</t>
    </rPh>
    <phoneticPr fontId="1"/>
  </si>
  <si>
    <t>コストオーバー、納期遅延</t>
    <rPh sb="8" eb="10">
      <t>ノウキ</t>
    </rPh>
    <rPh sb="10" eb="12">
      <t>チエン</t>
    </rPh>
    <phoneticPr fontId="1"/>
  </si>
  <si>
    <t>概算見積での過小見積り</t>
    <rPh sb="0" eb="2">
      <t>ガイサン</t>
    </rPh>
    <rPh sb="2" eb="4">
      <t>ミツモリ</t>
    </rPh>
    <rPh sb="6" eb="8">
      <t>カショウ</t>
    </rPh>
    <rPh sb="8" eb="10">
      <t>ミツモ</t>
    </rPh>
    <phoneticPr fontId="1"/>
  </si>
  <si>
    <t>正式見積時のトラブル(予算不足、ロスト、過剰値引きによる予算圧迫、正式見積でも過小見積り)</t>
    <rPh sb="0" eb="2">
      <t>セイシキ</t>
    </rPh>
    <rPh sb="2" eb="4">
      <t>ミツモリ</t>
    </rPh>
    <rPh sb="4" eb="5">
      <t>ジ</t>
    </rPh>
    <rPh sb="11" eb="13">
      <t>ヨサン</t>
    </rPh>
    <rPh sb="13" eb="15">
      <t>フソク</t>
    </rPh>
    <rPh sb="20" eb="22">
      <t>カジョウ</t>
    </rPh>
    <rPh sb="22" eb="24">
      <t>ネビ</t>
    </rPh>
    <rPh sb="28" eb="30">
      <t>ヨサン</t>
    </rPh>
    <rPh sb="30" eb="32">
      <t>アッパク</t>
    </rPh>
    <rPh sb="33" eb="35">
      <t>セイシキ</t>
    </rPh>
    <rPh sb="35" eb="37">
      <t>ミツモリ</t>
    </rPh>
    <rPh sb="39" eb="41">
      <t>カショウ</t>
    </rPh>
    <rPh sb="41" eb="43">
      <t>ミツモ</t>
    </rPh>
    <phoneticPr fontId="1"/>
  </si>
  <si>
    <t xml:space="preserve">要求品質レベルの過小評価
・ノンストップ運転
・不特定多数ユーザ
・大量配布製品
・ドキュメント記述レベル
・製造業の品質合格基準
・第三者品質検証体制(元請、コンサル、顧客検査部門)の存在
</t>
    <rPh sb="0" eb="2">
      <t>ヨウキュウ</t>
    </rPh>
    <rPh sb="2" eb="4">
      <t>ヒンシツ</t>
    </rPh>
    <rPh sb="8" eb="10">
      <t>カショウ</t>
    </rPh>
    <rPh sb="10" eb="12">
      <t>ヒョウカ</t>
    </rPh>
    <rPh sb="20" eb="22">
      <t>ウンテン</t>
    </rPh>
    <rPh sb="24" eb="27">
      <t>フトクテイ</t>
    </rPh>
    <rPh sb="27" eb="29">
      <t>タスウ</t>
    </rPh>
    <rPh sb="34" eb="36">
      <t>タイリョウ</t>
    </rPh>
    <rPh sb="36" eb="38">
      <t>ハイフ</t>
    </rPh>
    <rPh sb="38" eb="40">
      <t>セイヒン</t>
    </rPh>
    <rPh sb="48" eb="50">
      <t>キジュツ</t>
    </rPh>
    <rPh sb="55" eb="58">
      <t>セイゾウギョウ</t>
    </rPh>
    <rPh sb="59" eb="61">
      <t>ヒンシツ</t>
    </rPh>
    <rPh sb="61" eb="63">
      <t>ゴウカク</t>
    </rPh>
    <rPh sb="63" eb="65">
      <t>キジュン</t>
    </rPh>
    <rPh sb="67" eb="70">
      <t>ダイサンシャ</t>
    </rPh>
    <rPh sb="70" eb="72">
      <t>ヒンシツ</t>
    </rPh>
    <rPh sb="72" eb="74">
      <t>ケンショウ</t>
    </rPh>
    <rPh sb="74" eb="76">
      <t>タイセイ</t>
    </rPh>
    <rPh sb="77" eb="79">
      <t>モトウケ</t>
    </rPh>
    <rPh sb="85" eb="87">
      <t>コキャク</t>
    </rPh>
    <rPh sb="87" eb="89">
      <t>ケンサ</t>
    </rPh>
    <rPh sb="89" eb="91">
      <t>ブモン</t>
    </rPh>
    <rPh sb="93" eb="95">
      <t>ソンザイ</t>
    </rPh>
    <phoneticPr fontId="1"/>
  </si>
  <si>
    <t>設計工数肥大、テスト工数肥大、顧客差戻し多発</t>
    <rPh sb="0" eb="2">
      <t>セッケイ</t>
    </rPh>
    <rPh sb="2" eb="4">
      <t>コウスウ</t>
    </rPh>
    <rPh sb="4" eb="6">
      <t>ヒダイ</t>
    </rPh>
    <rPh sb="10" eb="12">
      <t>コウスウ</t>
    </rPh>
    <rPh sb="12" eb="14">
      <t>ヒダイ</t>
    </rPh>
    <rPh sb="15" eb="17">
      <t>コキャク</t>
    </rPh>
    <rPh sb="17" eb="19">
      <t>サシモド</t>
    </rPh>
    <rPh sb="20" eb="22">
      <t>タハツ</t>
    </rPh>
    <phoneticPr fontId="1"/>
  </si>
  <si>
    <t>顧客体質</t>
    <rPh sb="0" eb="2">
      <t>コキャク</t>
    </rPh>
    <rPh sb="2" eb="4">
      <t>タイシツ</t>
    </rPh>
    <phoneticPr fontId="1"/>
  </si>
  <si>
    <t>顧客組織の意思決定プロセス未確認
・独裁者オーナー
・ＥＯ(エグゼクティブオーナー)のシステム化投資目的不明
・顧客担当者とＥＯのコミニュケーション不足</t>
    <rPh sb="0" eb="2">
      <t>コキャク</t>
    </rPh>
    <rPh sb="2" eb="4">
      <t>ソシキ</t>
    </rPh>
    <rPh sb="5" eb="7">
      <t>イシ</t>
    </rPh>
    <rPh sb="7" eb="9">
      <t>ケッテイ</t>
    </rPh>
    <rPh sb="13" eb="16">
      <t>ミカクニン</t>
    </rPh>
    <rPh sb="18" eb="21">
      <t>ドクサイシャ</t>
    </rPh>
    <rPh sb="47" eb="48">
      <t>カ</t>
    </rPh>
    <rPh sb="48" eb="50">
      <t>トウシ</t>
    </rPh>
    <rPh sb="50" eb="52">
      <t>モクテキ</t>
    </rPh>
    <rPh sb="52" eb="54">
      <t>フメイ</t>
    </rPh>
    <rPh sb="56" eb="58">
      <t>コキャク</t>
    </rPh>
    <rPh sb="58" eb="61">
      <t>タントウシャ</t>
    </rPh>
    <rPh sb="74" eb="76">
      <t>フソク</t>
    </rPh>
    <phoneticPr fontId="1"/>
  </si>
  <si>
    <t>ＥＯの意思による大幅手戻り、キャンセル、要件肥大、顧客担当者の離脱</t>
    <rPh sb="3" eb="5">
      <t>イシ</t>
    </rPh>
    <rPh sb="8" eb="10">
      <t>オオハバ</t>
    </rPh>
    <rPh sb="10" eb="11">
      <t>テ</t>
    </rPh>
    <rPh sb="11" eb="12">
      <t>モド</t>
    </rPh>
    <rPh sb="20" eb="22">
      <t>ヨウケン</t>
    </rPh>
    <rPh sb="22" eb="24">
      <t>ヒダイ</t>
    </rPh>
    <rPh sb="25" eb="27">
      <t>コキャク</t>
    </rPh>
    <rPh sb="27" eb="30">
      <t>タントウシャ</t>
    </rPh>
    <rPh sb="31" eb="33">
      <t>リダツ</t>
    </rPh>
    <phoneticPr fontId="1"/>
  </si>
  <si>
    <t>顧客文化の確認不足</t>
    <rPh sb="0" eb="2">
      <t>コキャク</t>
    </rPh>
    <rPh sb="2" eb="4">
      <t>ブンカ</t>
    </rPh>
    <rPh sb="5" eb="7">
      <t>カクニン</t>
    </rPh>
    <rPh sb="7" eb="9">
      <t>フソク</t>
    </rPh>
    <phoneticPr fontId="1"/>
  </si>
  <si>
    <t>承認プロセスの拒否、意思決定の遅延、情報入手困難、顧客意見の集約不能、検収遅延</t>
    <rPh sb="0" eb="2">
      <t>ショウニン</t>
    </rPh>
    <rPh sb="7" eb="9">
      <t>キョヒ</t>
    </rPh>
    <rPh sb="10" eb="12">
      <t>イシ</t>
    </rPh>
    <rPh sb="12" eb="14">
      <t>ケッテイ</t>
    </rPh>
    <rPh sb="15" eb="17">
      <t>チエン</t>
    </rPh>
    <rPh sb="18" eb="20">
      <t>ジョウホウ</t>
    </rPh>
    <rPh sb="20" eb="22">
      <t>ニュウシュ</t>
    </rPh>
    <rPh sb="22" eb="24">
      <t>コンナン</t>
    </rPh>
    <rPh sb="25" eb="27">
      <t>コキャク</t>
    </rPh>
    <rPh sb="27" eb="29">
      <t>イケン</t>
    </rPh>
    <rPh sb="30" eb="32">
      <t>シュウヤク</t>
    </rPh>
    <rPh sb="32" eb="34">
      <t>フノウ</t>
    </rPh>
    <rPh sb="35" eb="37">
      <t>ケンシュウ</t>
    </rPh>
    <rPh sb="37" eb="39">
      <t>チエン</t>
    </rPh>
    <phoneticPr fontId="1"/>
  </si>
  <si>
    <t>顧客運用テスト、並行本番の欠如</t>
    <rPh sb="0" eb="2">
      <t>コキャク</t>
    </rPh>
    <rPh sb="2" eb="4">
      <t>ウンヨウ</t>
    </rPh>
    <rPh sb="8" eb="10">
      <t>ヘイコウ</t>
    </rPh>
    <rPh sb="10" eb="12">
      <t>ホンバン</t>
    </rPh>
    <rPh sb="13" eb="15">
      <t>ケツジョ</t>
    </rPh>
    <phoneticPr fontId="1"/>
  </si>
  <si>
    <t>本番障害による大トラブル、損害賠償</t>
    <rPh sb="0" eb="2">
      <t>ホンバン</t>
    </rPh>
    <rPh sb="2" eb="4">
      <t>ショウガイ</t>
    </rPh>
    <rPh sb="7" eb="8">
      <t>ダイ</t>
    </rPh>
    <rPh sb="13" eb="15">
      <t>ソンガイ</t>
    </rPh>
    <rPh sb="15" eb="17">
      <t>バイショウ</t>
    </rPh>
    <phoneticPr fontId="1"/>
  </si>
  <si>
    <t>契約管理(顧客)</t>
    <rPh sb="0" eb="2">
      <t>ケイヤク</t>
    </rPh>
    <rPh sb="2" eb="4">
      <t>カンリ</t>
    </rPh>
    <rPh sb="5" eb="7">
      <t>コキャク</t>
    </rPh>
    <phoneticPr fontId="1"/>
  </si>
  <si>
    <t>契約確認不足または許容できない契約リスク
・高額な遅延損害金
・限界のない損害賠償金額
・人命に影響があるシステム
・現行システム機能の保証</t>
    <rPh sb="0" eb="2">
      <t>ケイヤク</t>
    </rPh>
    <rPh sb="2" eb="4">
      <t>カクニン</t>
    </rPh>
    <rPh sb="4" eb="6">
      <t>フソク</t>
    </rPh>
    <rPh sb="9" eb="11">
      <t>キョヨウ</t>
    </rPh>
    <rPh sb="15" eb="17">
      <t>ケイヤク</t>
    </rPh>
    <rPh sb="22" eb="24">
      <t>コウガク</t>
    </rPh>
    <rPh sb="25" eb="27">
      <t>チエン</t>
    </rPh>
    <rPh sb="27" eb="30">
      <t>ソンガイキン</t>
    </rPh>
    <rPh sb="32" eb="34">
      <t>ゲンカイ</t>
    </rPh>
    <rPh sb="37" eb="39">
      <t>ソンガイ</t>
    </rPh>
    <rPh sb="39" eb="41">
      <t>バイショウ</t>
    </rPh>
    <rPh sb="41" eb="43">
      <t>キンガク</t>
    </rPh>
    <rPh sb="45" eb="47">
      <t>ジンメイ</t>
    </rPh>
    <rPh sb="48" eb="50">
      <t>エイキョウ</t>
    </rPh>
    <rPh sb="59" eb="61">
      <t>ゲンコウ</t>
    </rPh>
    <rPh sb="65" eb="67">
      <t>キノウ</t>
    </rPh>
    <rPh sb="68" eb="70">
      <t>ホショウ</t>
    </rPh>
    <phoneticPr fontId="1"/>
  </si>
  <si>
    <t>納期遅延時の損害賠償、巨額損失、出荷後障害による大事故、多大な品質確保工数</t>
    <phoneticPr fontId="1"/>
  </si>
  <si>
    <t>顧客の発注者責任不履行
・契約遅延
・顧客要件提示遅れ
・顧客キーパーソン、エンドユーザ参画不足
・基幹業務システム開発での経営層不参加
・仕様承認の遅れまたは拒否
・検収遅延
・マシン調達遅延</t>
    <rPh sb="0" eb="2">
      <t>コキャク</t>
    </rPh>
    <rPh sb="3" eb="6">
      <t>ハッチュウシャ</t>
    </rPh>
    <rPh sb="6" eb="8">
      <t>セキニン</t>
    </rPh>
    <rPh sb="8" eb="11">
      <t>フリコウ</t>
    </rPh>
    <rPh sb="13" eb="15">
      <t>ケイヤク</t>
    </rPh>
    <rPh sb="15" eb="17">
      <t>チエン</t>
    </rPh>
    <rPh sb="29" eb="31">
      <t>コキャク</t>
    </rPh>
    <rPh sb="84" eb="86">
      <t>ケンシュウ</t>
    </rPh>
    <rPh sb="86" eb="88">
      <t>チエン</t>
    </rPh>
    <rPh sb="93" eb="95">
      <t>チョウタツ</t>
    </rPh>
    <rPh sb="95" eb="97">
      <t>チエン</t>
    </rPh>
    <phoneticPr fontId="1"/>
  </si>
  <si>
    <t>仕様確定の遅延に伴う全体の工程遅延、仕様肥大、頻発する仕様変更、体制維持コストの発生、マシン不足による工程遅延、検収時トラブル、外注先撤収</t>
    <rPh sb="0" eb="2">
      <t>シヨウ</t>
    </rPh>
    <rPh sb="2" eb="4">
      <t>カクテイ</t>
    </rPh>
    <rPh sb="5" eb="7">
      <t>チエン</t>
    </rPh>
    <rPh sb="8" eb="9">
      <t>トモナ</t>
    </rPh>
    <rPh sb="10" eb="12">
      <t>ゼンタイ</t>
    </rPh>
    <rPh sb="13" eb="15">
      <t>コウテイ</t>
    </rPh>
    <rPh sb="15" eb="17">
      <t>チエン</t>
    </rPh>
    <rPh sb="18" eb="20">
      <t>シヨウ</t>
    </rPh>
    <rPh sb="20" eb="22">
      <t>ヒダイ</t>
    </rPh>
    <rPh sb="46" eb="48">
      <t>フソク</t>
    </rPh>
    <rPh sb="51" eb="53">
      <t>コウテイ</t>
    </rPh>
    <rPh sb="53" eb="55">
      <t>チエン</t>
    </rPh>
    <phoneticPr fontId="1"/>
  </si>
  <si>
    <t>顧客責任による影響
・顧客提供品(要求仕様書等)の精度不良
・顧客提供品(Web画面デザイン等)の受け取り遅延
・顧客側作業または外部システムの工程遅延
・移行元データの不整合
・不明確な顧客責任範囲
・顧客都合による中断</t>
    <rPh sb="0" eb="2">
      <t>コキャク</t>
    </rPh>
    <rPh sb="2" eb="4">
      <t>セキニン</t>
    </rPh>
    <rPh sb="7" eb="9">
      <t>エイキョウ</t>
    </rPh>
    <rPh sb="11" eb="13">
      <t>コキャク</t>
    </rPh>
    <rPh sb="13" eb="16">
      <t>テイキョウヒン</t>
    </rPh>
    <rPh sb="17" eb="19">
      <t>ヨウキュウ</t>
    </rPh>
    <rPh sb="19" eb="21">
      <t>シヨウ</t>
    </rPh>
    <rPh sb="21" eb="22">
      <t>ショ</t>
    </rPh>
    <rPh sb="22" eb="23">
      <t>トウ</t>
    </rPh>
    <rPh sb="25" eb="27">
      <t>セイド</t>
    </rPh>
    <rPh sb="27" eb="29">
      <t>フリョウ</t>
    </rPh>
    <rPh sb="31" eb="33">
      <t>コキャク</t>
    </rPh>
    <rPh sb="33" eb="36">
      <t>テイキョウヒン</t>
    </rPh>
    <rPh sb="40" eb="42">
      <t>ガメン</t>
    </rPh>
    <rPh sb="46" eb="47">
      <t>トウ</t>
    </rPh>
    <rPh sb="49" eb="52">
      <t>ウケト</t>
    </rPh>
    <rPh sb="53" eb="55">
      <t>チエン</t>
    </rPh>
    <rPh sb="57" eb="59">
      <t>コキャク</t>
    </rPh>
    <rPh sb="59" eb="60">
      <t>ガワ</t>
    </rPh>
    <rPh sb="60" eb="62">
      <t>サギョウ</t>
    </rPh>
    <rPh sb="65" eb="67">
      <t>ガイブ</t>
    </rPh>
    <rPh sb="72" eb="74">
      <t>コウテイ</t>
    </rPh>
    <rPh sb="74" eb="76">
      <t>チエン</t>
    </rPh>
    <rPh sb="78" eb="80">
      <t>イコウ</t>
    </rPh>
    <rPh sb="80" eb="81">
      <t>モト</t>
    </rPh>
    <rPh sb="85" eb="88">
      <t>フセイゴウ</t>
    </rPh>
    <rPh sb="90" eb="93">
      <t>フメイカク</t>
    </rPh>
    <rPh sb="94" eb="96">
      <t>コキャク</t>
    </rPh>
    <rPh sb="96" eb="98">
      <t>セキニン</t>
    </rPh>
    <rPh sb="98" eb="100">
      <t>ハンイ</t>
    </rPh>
    <rPh sb="102" eb="104">
      <t>コキャク</t>
    </rPh>
    <rPh sb="104" eb="106">
      <t>ツゴウ</t>
    </rPh>
    <rPh sb="109" eb="111">
      <t>チュウダン</t>
    </rPh>
    <phoneticPr fontId="1"/>
  </si>
  <si>
    <t>FS作業の発生、当社作業のアイドリング発生、顧客側支援に伴う追加コスト、移行データ補正作業の増大</t>
    <rPh sb="2" eb="4">
      <t>サギョウ</t>
    </rPh>
    <rPh sb="5" eb="7">
      <t>ハッセイ</t>
    </rPh>
    <rPh sb="36" eb="38">
      <t>イコウ</t>
    </rPh>
    <rPh sb="41" eb="43">
      <t>ホセイ</t>
    </rPh>
    <rPh sb="43" eb="45">
      <t>サギョウ</t>
    </rPh>
    <rPh sb="46" eb="48">
      <t>ゾウダイ</t>
    </rPh>
    <phoneticPr fontId="1"/>
  </si>
  <si>
    <t>要件定義前の正式見積・受注</t>
    <rPh sb="0" eb="2">
      <t>ヨウケン</t>
    </rPh>
    <rPh sb="2" eb="4">
      <t>テイギ</t>
    </rPh>
    <rPh sb="4" eb="5">
      <t>マエ</t>
    </rPh>
    <rPh sb="6" eb="8">
      <t>セイシキ</t>
    </rPh>
    <rPh sb="8" eb="10">
      <t>ミツモリ</t>
    </rPh>
    <rPh sb="11" eb="13">
      <t>ジュチュウ</t>
    </rPh>
    <phoneticPr fontId="1"/>
  </si>
  <si>
    <t>見積条件が不明確なことにより、プロジェクトのGoalを見失う</t>
    <rPh sb="0" eb="2">
      <t>ミツモリ</t>
    </rPh>
    <rPh sb="2" eb="4">
      <t>ジョウケン</t>
    </rPh>
    <rPh sb="5" eb="8">
      <t>フメイカク</t>
    </rPh>
    <rPh sb="27" eb="29">
      <t>ミウシナ</t>
    </rPh>
    <phoneticPr fontId="1"/>
  </si>
  <si>
    <t>コンサル会社の介入、コンサル会社の能力不足、コンサル会社責任の不履行</t>
    <rPh sb="4" eb="6">
      <t>カイシャ</t>
    </rPh>
    <rPh sb="7" eb="9">
      <t>カイニュウ</t>
    </rPh>
    <rPh sb="14" eb="16">
      <t>カイシャ</t>
    </rPh>
    <rPh sb="17" eb="19">
      <t>ノウリョク</t>
    </rPh>
    <rPh sb="19" eb="21">
      <t>フソク</t>
    </rPh>
    <rPh sb="26" eb="28">
      <t>ガイシャ</t>
    </rPh>
    <rPh sb="28" eb="30">
      <t>セキニン</t>
    </rPh>
    <rPh sb="31" eb="34">
      <t>フリコウ</t>
    </rPh>
    <phoneticPr fontId="1"/>
  </si>
  <si>
    <t>コンサル会社の責任範囲に依存する作業の肥大、厳しい検収合格基準</t>
    <rPh sb="4" eb="6">
      <t>カイシャ</t>
    </rPh>
    <rPh sb="7" eb="9">
      <t>セキニン</t>
    </rPh>
    <rPh sb="9" eb="11">
      <t>ハンイ</t>
    </rPh>
    <rPh sb="12" eb="14">
      <t>イゾン</t>
    </rPh>
    <rPh sb="16" eb="18">
      <t>サギョウ</t>
    </rPh>
    <rPh sb="19" eb="21">
      <t>ヒダイ</t>
    </rPh>
    <rPh sb="22" eb="23">
      <t>キビ</t>
    </rPh>
    <rPh sb="25" eb="27">
      <t>ケンシュウ</t>
    </rPh>
    <rPh sb="27" eb="29">
      <t>ゴウカク</t>
    </rPh>
    <rPh sb="29" eb="31">
      <t>キジュン</t>
    </rPh>
    <phoneticPr fontId="1"/>
  </si>
  <si>
    <t>エンドユーザ要望の抑え込み失敗
・顧客システム部署とエンドユーザ部署の不仲
・BPRに対する顧客内コンセンサス不十分
・エンドユーザ取り纏め部門の不在、責任不履行</t>
    <rPh sb="17" eb="19">
      <t>コキャク</t>
    </rPh>
    <rPh sb="23" eb="25">
      <t>ブショ</t>
    </rPh>
    <rPh sb="32" eb="34">
      <t>ブショ</t>
    </rPh>
    <rPh sb="35" eb="37">
      <t>フナカ</t>
    </rPh>
    <rPh sb="43" eb="44">
      <t>タイ</t>
    </rPh>
    <rPh sb="46" eb="48">
      <t>コキャク</t>
    </rPh>
    <rPh sb="48" eb="49">
      <t>ナイ</t>
    </rPh>
    <rPh sb="55" eb="58">
      <t>フジュウブン</t>
    </rPh>
    <rPh sb="66" eb="69">
      <t>トリマト</t>
    </rPh>
    <rPh sb="70" eb="72">
      <t>ブモン</t>
    </rPh>
    <rPh sb="73" eb="75">
      <t>フザイ</t>
    </rPh>
    <rPh sb="76" eb="78">
      <t>セキニン</t>
    </rPh>
    <rPh sb="78" eb="81">
      <t>フリコウ</t>
    </rPh>
    <phoneticPr fontId="1"/>
  </si>
  <si>
    <t>仕様肥大、検収時トラブル</t>
    <rPh sb="0" eb="2">
      <t>シヨウ</t>
    </rPh>
    <rPh sb="2" eb="4">
      <t>ヒダイ</t>
    </rPh>
    <rPh sb="5" eb="7">
      <t>ケンシュウ</t>
    </rPh>
    <rPh sb="7" eb="8">
      <t>ジ</t>
    </rPh>
    <phoneticPr fontId="1"/>
  </si>
  <si>
    <t>曖昧な保守条件</t>
    <rPh sb="0" eb="2">
      <t>アイマイ</t>
    </rPh>
    <rPh sb="3" eb="5">
      <t>ホシュ</t>
    </rPh>
    <rPh sb="5" eb="7">
      <t>ジョウケン</t>
    </rPh>
    <phoneticPr fontId="1"/>
  </si>
  <si>
    <t>保守コスト超過</t>
    <rPh sb="0" eb="2">
      <t>ホシュ</t>
    </rPh>
    <rPh sb="5" eb="7">
      <t>チョウカ</t>
    </rPh>
    <phoneticPr fontId="1"/>
  </si>
  <si>
    <t>不明確な受注条件、開発方針確認漏れ
・成果物の内訳
・再見積条件
・当社責任外の費用追加
・仕様承認、仕様凍結
・知的所有権の帰属</t>
    <rPh sb="0" eb="3">
      <t>フメイカク</t>
    </rPh>
    <rPh sb="4" eb="6">
      <t>ジュチュウ</t>
    </rPh>
    <rPh sb="6" eb="8">
      <t>ジョウケン</t>
    </rPh>
    <rPh sb="9" eb="11">
      <t>カイハツ</t>
    </rPh>
    <rPh sb="11" eb="13">
      <t>ホウシン</t>
    </rPh>
    <rPh sb="13" eb="15">
      <t>カクニン</t>
    </rPh>
    <rPh sb="15" eb="16">
      <t>モ</t>
    </rPh>
    <rPh sb="19" eb="21">
      <t>セイカ</t>
    </rPh>
    <rPh sb="21" eb="22">
      <t>ブツ</t>
    </rPh>
    <rPh sb="23" eb="25">
      <t>ウチワケ</t>
    </rPh>
    <rPh sb="27" eb="30">
      <t>サイミツモリ</t>
    </rPh>
    <rPh sb="30" eb="32">
      <t>ジョウケン</t>
    </rPh>
    <rPh sb="34" eb="36">
      <t>トウシャ</t>
    </rPh>
    <rPh sb="36" eb="38">
      <t>セキニン</t>
    </rPh>
    <rPh sb="38" eb="39">
      <t>ガイ</t>
    </rPh>
    <rPh sb="40" eb="42">
      <t>ヒヨウ</t>
    </rPh>
    <rPh sb="42" eb="44">
      <t>ツイカ</t>
    </rPh>
    <rPh sb="46" eb="48">
      <t>シヨウ</t>
    </rPh>
    <rPh sb="48" eb="50">
      <t>ショウニン</t>
    </rPh>
    <rPh sb="51" eb="53">
      <t>シヨウ</t>
    </rPh>
    <rPh sb="53" eb="55">
      <t>トウケツ</t>
    </rPh>
    <rPh sb="57" eb="59">
      <t>チテキ</t>
    </rPh>
    <rPh sb="59" eb="62">
      <t>ショユウケン</t>
    </rPh>
    <rPh sb="63" eb="65">
      <t>キゾク</t>
    </rPh>
    <phoneticPr fontId="1"/>
  </si>
  <si>
    <t>成果物の追加、仕様の肥大、折衝で不利、検収不合格、損害賠償請求</t>
    <rPh sb="0" eb="2">
      <t>セイカ</t>
    </rPh>
    <rPh sb="2" eb="3">
      <t>ブツ</t>
    </rPh>
    <rPh sb="4" eb="6">
      <t>ツイカ</t>
    </rPh>
    <rPh sb="7" eb="9">
      <t>シヨウ</t>
    </rPh>
    <rPh sb="10" eb="12">
      <t>ヒダイ</t>
    </rPh>
    <rPh sb="13" eb="15">
      <t>セッショウ</t>
    </rPh>
    <rPh sb="16" eb="18">
      <t>フリ</t>
    </rPh>
    <rPh sb="19" eb="21">
      <t>ケンシュウ</t>
    </rPh>
    <rPh sb="21" eb="24">
      <t>フゴウカク</t>
    </rPh>
    <rPh sb="25" eb="27">
      <t>ソンガイ</t>
    </rPh>
    <rPh sb="27" eb="29">
      <t>バイショウ</t>
    </rPh>
    <rPh sb="29" eb="31">
      <t>セイキュウ</t>
    </rPh>
    <phoneticPr fontId="1"/>
  </si>
  <si>
    <t>バックアップシステムの提案忘れ</t>
    <rPh sb="11" eb="13">
      <t>テイアン</t>
    </rPh>
    <rPh sb="13" eb="14">
      <t>ワス</t>
    </rPh>
    <phoneticPr fontId="1"/>
  </si>
  <si>
    <t>損害賠償</t>
    <rPh sb="0" eb="2">
      <t>ソンガイ</t>
    </rPh>
    <rPh sb="2" eb="4">
      <t>バイショウ</t>
    </rPh>
    <phoneticPr fontId="1"/>
  </si>
  <si>
    <t>実行不可能な短納期</t>
    <rPh sb="0" eb="2">
      <t>ジッコウ</t>
    </rPh>
    <rPh sb="2" eb="5">
      <t>フカノウ</t>
    </rPh>
    <rPh sb="6" eb="7">
      <t>タン</t>
    </rPh>
    <rPh sb="7" eb="9">
      <t>ノウキ</t>
    </rPh>
    <phoneticPr fontId="1"/>
  </si>
  <si>
    <t>納期遅延、残業時間増大</t>
    <rPh sb="0" eb="2">
      <t>ノウキ</t>
    </rPh>
    <rPh sb="2" eb="4">
      <t>チエン</t>
    </rPh>
    <rPh sb="5" eb="7">
      <t>ザンギョウ</t>
    </rPh>
    <rPh sb="7" eb="9">
      <t>ジカン</t>
    </rPh>
    <rPh sb="9" eb="11">
      <t>ゾウダイ</t>
    </rPh>
    <phoneticPr fontId="1"/>
  </si>
  <si>
    <t>過剰品質要求、顧客の理解力不足</t>
    <rPh sb="0" eb="2">
      <t>カジョウ</t>
    </rPh>
    <rPh sb="2" eb="4">
      <t>ヒンシツ</t>
    </rPh>
    <rPh sb="4" eb="6">
      <t>ヨウキュウ</t>
    </rPh>
    <rPh sb="7" eb="9">
      <t>コキャク</t>
    </rPh>
    <rPh sb="10" eb="13">
      <t>リカイリョク</t>
    </rPh>
    <rPh sb="13" eb="15">
      <t>フソク</t>
    </rPh>
    <phoneticPr fontId="1"/>
  </si>
  <si>
    <t>ドキュメントページ数の増大、検収支援工数肥大、検収差戻し多発</t>
    <rPh sb="9" eb="10">
      <t>スウ</t>
    </rPh>
    <rPh sb="11" eb="13">
      <t>ゾウダイ</t>
    </rPh>
    <rPh sb="14" eb="16">
      <t>ケンシュウ</t>
    </rPh>
    <rPh sb="16" eb="18">
      <t>シエン</t>
    </rPh>
    <rPh sb="18" eb="20">
      <t>コウスウ</t>
    </rPh>
    <rPh sb="20" eb="22">
      <t>ヒダイ</t>
    </rPh>
    <rPh sb="23" eb="25">
      <t>ケンシュウ</t>
    </rPh>
    <rPh sb="25" eb="27">
      <t>サシモド</t>
    </rPh>
    <rPh sb="28" eb="30">
      <t>タハツ</t>
    </rPh>
    <phoneticPr fontId="1"/>
  </si>
  <si>
    <t>受注前の開発先行着手および外注手配、正式見積後の空白期間考慮不足</t>
    <rPh sb="0" eb="2">
      <t>ジュチュウ</t>
    </rPh>
    <rPh sb="2" eb="3">
      <t>マエ</t>
    </rPh>
    <rPh sb="4" eb="6">
      <t>カイハツ</t>
    </rPh>
    <rPh sb="6" eb="8">
      <t>センコウ</t>
    </rPh>
    <rPh sb="8" eb="10">
      <t>チャクシュ</t>
    </rPh>
    <rPh sb="13" eb="15">
      <t>ガイチュウ</t>
    </rPh>
    <rPh sb="15" eb="17">
      <t>テハイ</t>
    </rPh>
    <rPh sb="18" eb="20">
      <t>セイシキ</t>
    </rPh>
    <rPh sb="20" eb="22">
      <t>ミツモリ</t>
    </rPh>
    <rPh sb="22" eb="23">
      <t>ゴ</t>
    </rPh>
    <rPh sb="24" eb="26">
      <t>クウハク</t>
    </rPh>
    <rPh sb="26" eb="28">
      <t>キカン</t>
    </rPh>
    <rPh sb="28" eb="30">
      <t>コウリョ</t>
    </rPh>
    <rPh sb="30" eb="32">
      <t>フソク</t>
    </rPh>
    <phoneticPr fontId="1"/>
  </si>
  <si>
    <t>ロスト時の出費、不利な契約条件を容認せざるを得なくなる</t>
    <rPh sb="3" eb="4">
      <t>ジ</t>
    </rPh>
    <rPh sb="5" eb="7">
      <t>シュッピ</t>
    </rPh>
    <rPh sb="8" eb="10">
      <t>フリ</t>
    </rPh>
    <rPh sb="11" eb="13">
      <t>ケイヤク</t>
    </rPh>
    <rPh sb="13" eb="15">
      <t>ジョウケン</t>
    </rPh>
    <rPh sb="16" eb="18">
      <t>ヨウニン</t>
    </rPh>
    <rPh sb="22" eb="23">
      <t>エ</t>
    </rPh>
    <phoneticPr fontId="1"/>
  </si>
  <si>
    <t>計画</t>
    <rPh sb="0" eb="2">
      <t>ケイカク</t>
    </rPh>
    <phoneticPr fontId="1"/>
  </si>
  <si>
    <t>体制未定</t>
    <rPh sb="0" eb="2">
      <t>タイセイ</t>
    </rPh>
    <rPh sb="2" eb="4">
      <t>ミテイ</t>
    </rPh>
    <phoneticPr fontId="1"/>
  </si>
  <si>
    <t>不十分な体制</t>
    <rPh sb="0" eb="3">
      <t>フジュウブン</t>
    </rPh>
    <rPh sb="4" eb="6">
      <t>タイセイ</t>
    </rPh>
    <phoneticPr fontId="1"/>
  </si>
  <si>
    <t>品質計画の不備
・設計項目の未計画
・設計書、テスト仕様書の作成基準未達成
・ドキュメント軽視、ドキュメント化計画の過小見積り</t>
    <rPh sb="0" eb="2">
      <t>ヒンシツ</t>
    </rPh>
    <rPh sb="2" eb="4">
      <t>ケイカク</t>
    </rPh>
    <rPh sb="5" eb="7">
      <t>フビ</t>
    </rPh>
    <rPh sb="9" eb="11">
      <t>セッケイ</t>
    </rPh>
    <rPh sb="11" eb="13">
      <t>コウモク</t>
    </rPh>
    <rPh sb="14" eb="15">
      <t>ミ</t>
    </rPh>
    <rPh sb="15" eb="17">
      <t>ケイカク</t>
    </rPh>
    <rPh sb="30" eb="32">
      <t>サクセイ</t>
    </rPh>
    <phoneticPr fontId="1"/>
  </si>
  <si>
    <t>設計不十分、設計不良による後工程の膨大な手戻り、レビュー差戻しによる手戻り、品質低下、ドキュメント整備作業の発生、第人数での共有情報不備による生産性低下</t>
    <rPh sb="0" eb="2">
      <t>セッケイ</t>
    </rPh>
    <rPh sb="2" eb="5">
      <t>フジュウブン</t>
    </rPh>
    <rPh sb="6" eb="8">
      <t>セッケイ</t>
    </rPh>
    <rPh sb="8" eb="10">
      <t>フリョウ</t>
    </rPh>
    <rPh sb="13" eb="14">
      <t>アト</t>
    </rPh>
    <rPh sb="14" eb="16">
      <t>コウテイ</t>
    </rPh>
    <rPh sb="17" eb="19">
      <t>ボウダイ</t>
    </rPh>
    <rPh sb="20" eb="21">
      <t>テ</t>
    </rPh>
    <rPh sb="21" eb="22">
      <t>モド</t>
    </rPh>
    <rPh sb="49" eb="51">
      <t>セイビ</t>
    </rPh>
    <rPh sb="51" eb="53">
      <t>サギョウ</t>
    </rPh>
    <rPh sb="54" eb="56">
      <t>ハッセイ</t>
    </rPh>
    <rPh sb="57" eb="58">
      <t>ダイ</t>
    </rPh>
    <rPh sb="58" eb="60">
      <t>ニンズウ</t>
    </rPh>
    <rPh sb="62" eb="64">
      <t>キョウユウ</t>
    </rPh>
    <rPh sb="64" eb="66">
      <t>ジョウホウ</t>
    </rPh>
    <rPh sb="66" eb="68">
      <t>フビ</t>
    </rPh>
    <rPh sb="71" eb="74">
      <t>セイサンセイ</t>
    </rPh>
    <rPh sb="74" eb="76">
      <t>テイカ</t>
    </rPh>
    <phoneticPr fontId="1"/>
  </si>
  <si>
    <t>日程計画の不備
・予備日を持たないスケジュール
・粗い日程計画
・差戻し日程考慮漏れ
・タスク重複によるオーバーロード</t>
    <rPh sb="0" eb="2">
      <t>ニッテイ</t>
    </rPh>
    <rPh sb="2" eb="4">
      <t>ケイカク</t>
    </rPh>
    <rPh sb="5" eb="7">
      <t>フビ</t>
    </rPh>
    <rPh sb="9" eb="12">
      <t>ヨビビ</t>
    </rPh>
    <rPh sb="13" eb="14">
      <t>モ</t>
    </rPh>
    <rPh sb="25" eb="26">
      <t>アラ</t>
    </rPh>
    <rPh sb="27" eb="29">
      <t>ニッテイ</t>
    </rPh>
    <rPh sb="29" eb="31">
      <t>ケイカク</t>
    </rPh>
    <rPh sb="33" eb="35">
      <t>サシモド</t>
    </rPh>
    <rPh sb="36" eb="38">
      <t>ニッテイ</t>
    </rPh>
    <rPh sb="38" eb="40">
      <t>コウリョ</t>
    </rPh>
    <rPh sb="40" eb="41">
      <t>モ</t>
    </rPh>
    <phoneticPr fontId="1"/>
  </si>
  <si>
    <t>工程遅延、開発メンバーの体調不良、モチベーション低下</t>
    <phoneticPr fontId="1"/>
  </si>
  <si>
    <t>顧客能力に対する過度な期待</t>
    <rPh sb="0" eb="2">
      <t>コキャク</t>
    </rPh>
    <rPh sb="2" eb="4">
      <t>ノウリョク</t>
    </rPh>
    <rPh sb="5" eb="6">
      <t>タイ</t>
    </rPh>
    <rPh sb="8" eb="10">
      <t>カド</t>
    </rPh>
    <rPh sb="11" eb="13">
      <t>キタイ</t>
    </rPh>
    <phoneticPr fontId="1"/>
  </si>
  <si>
    <t>要件漏れ、仕様不良が多発、根本的な設計変更、スケジュール変更に伴うロス</t>
    <rPh sb="0" eb="2">
      <t>ヨウケン</t>
    </rPh>
    <rPh sb="2" eb="3">
      <t>モ</t>
    </rPh>
    <rPh sb="5" eb="7">
      <t>シヨウ</t>
    </rPh>
    <rPh sb="7" eb="9">
      <t>フリョウ</t>
    </rPh>
    <rPh sb="10" eb="12">
      <t>タハツ</t>
    </rPh>
    <rPh sb="13" eb="16">
      <t>コンポンテキ</t>
    </rPh>
    <rPh sb="17" eb="19">
      <t>セッケイ</t>
    </rPh>
    <rPh sb="19" eb="21">
      <t>ヘンコウ</t>
    </rPh>
    <rPh sb="28" eb="30">
      <t>ヘンコウ</t>
    </rPh>
    <rPh sb="31" eb="32">
      <t>トモナ</t>
    </rPh>
    <phoneticPr fontId="1"/>
  </si>
  <si>
    <t>品質評価作業の計画漏れ
・改造母体のある開発での、母体品質の見極め計画漏れ
・見極めるための品質評価工数漏れ
・評価計画がないことによる改造部分への影響考慮漏れ</t>
    <rPh sb="0" eb="2">
      <t>ヒンシツ</t>
    </rPh>
    <rPh sb="2" eb="4">
      <t>ヒョウカ</t>
    </rPh>
    <rPh sb="4" eb="6">
      <t>サギョウ</t>
    </rPh>
    <rPh sb="7" eb="9">
      <t>ケイカク</t>
    </rPh>
    <rPh sb="9" eb="10">
      <t>モ</t>
    </rPh>
    <rPh sb="13" eb="15">
      <t>カイゾウ</t>
    </rPh>
    <rPh sb="33" eb="35">
      <t>ケイカク</t>
    </rPh>
    <rPh sb="35" eb="36">
      <t>モ</t>
    </rPh>
    <rPh sb="39" eb="41">
      <t>ミキワ</t>
    </rPh>
    <rPh sb="52" eb="53">
      <t>モ</t>
    </rPh>
    <rPh sb="56" eb="58">
      <t>ヒョウカ</t>
    </rPh>
    <rPh sb="58" eb="60">
      <t>ケイカク</t>
    </rPh>
    <rPh sb="68" eb="70">
      <t>カイゾウ</t>
    </rPh>
    <rPh sb="70" eb="72">
      <t>ブブン</t>
    </rPh>
    <rPh sb="74" eb="76">
      <t>エイキョウ</t>
    </rPh>
    <rPh sb="76" eb="78">
      <t>コウリョ</t>
    </rPh>
    <rPh sb="78" eb="79">
      <t>モ</t>
    </rPh>
    <phoneticPr fontId="1"/>
  </si>
  <si>
    <t>障害対応の工数肥大。テスト工数肥大。品質不良。</t>
    <rPh sb="0" eb="2">
      <t>ショウガイ</t>
    </rPh>
    <rPh sb="2" eb="4">
      <t>タイオウ</t>
    </rPh>
    <rPh sb="5" eb="7">
      <t>コウスウ</t>
    </rPh>
    <rPh sb="7" eb="9">
      <t>ヒダイ</t>
    </rPh>
    <rPh sb="13" eb="15">
      <t>コウスウ</t>
    </rPh>
    <rPh sb="15" eb="17">
      <t>ヒダイ</t>
    </rPh>
    <rPh sb="18" eb="20">
      <t>ヒンシツ</t>
    </rPh>
    <rPh sb="20" eb="22">
      <t>フリョウ</t>
    </rPh>
    <phoneticPr fontId="1"/>
  </si>
  <si>
    <t>アクティビティ漏れ
・単体テスト不足、省略
・負荷テストのリソース、方法検討不足
・ドキュメントレビュー不十分</t>
    <rPh sb="7" eb="8">
      <t>モ</t>
    </rPh>
    <rPh sb="11" eb="13">
      <t>タンタイ</t>
    </rPh>
    <rPh sb="16" eb="18">
      <t>フソク</t>
    </rPh>
    <rPh sb="19" eb="21">
      <t>ショウリャク</t>
    </rPh>
    <rPh sb="34" eb="36">
      <t>ホウホウ</t>
    </rPh>
    <rPh sb="36" eb="38">
      <t>ケントウ</t>
    </rPh>
    <rPh sb="38" eb="40">
      <t>フソク</t>
    </rPh>
    <phoneticPr fontId="1"/>
  </si>
  <si>
    <t>手戻りコスト大、不良多発、致命的な不良によるC/O遅延</t>
    <rPh sb="0" eb="1">
      <t>テ</t>
    </rPh>
    <rPh sb="1" eb="2">
      <t>モド</t>
    </rPh>
    <rPh sb="6" eb="7">
      <t>ダイ</t>
    </rPh>
    <rPh sb="8" eb="10">
      <t>フリョウ</t>
    </rPh>
    <rPh sb="10" eb="12">
      <t>タハツ</t>
    </rPh>
    <rPh sb="13" eb="16">
      <t>チメイテキ</t>
    </rPh>
    <rPh sb="17" eb="19">
      <t>フリョウ</t>
    </rPh>
    <rPh sb="25" eb="27">
      <t>チエン</t>
    </rPh>
    <phoneticPr fontId="1"/>
  </si>
  <si>
    <t>開発部隊の散在</t>
    <rPh sb="0" eb="2">
      <t>カイハツ</t>
    </rPh>
    <rPh sb="2" eb="4">
      <t>ブタイ</t>
    </rPh>
    <rPh sb="5" eb="7">
      <t>サンザイ</t>
    </rPh>
    <phoneticPr fontId="1"/>
  </si>
  <si>
    <t>コミニュケーションギャップによる手戻り、構成管理問題の噴出</t>
    <rPh sb="16" eb="17">
      <t>テ</t>
    </rPh>
    <rPh sb="17" eb="18">
      <t>モド</t>
    </rPh>
    <rPh sb="20" eb="22">
      <t>コウセイ</t>
    </rPh>
    <rPh sb="22" eb="24">
      <t>カンリ</t>
    </rPh>
    <rPh sb="24" eb="26">
      <t>モンダイ</t>
    </rPh>
    <rPh sb="27" eb="29">
      <t>フンシュツ</t>
    </rPh>
    <phoneticPr fontId="1"/>
  </si>
  <si>
    <t>システムの重要性に対する不適切な品質確保計画(インスペクション、テスト密度、不良摘出目標値)
・公共性の高いシステム
・無停止システム
・基幹系システム
・コンシューマ向けパッケージソフトウェア
・人命に影響するシステム</t>
    <rPh sb="5" eb="8">
      <t>ジュウヨウセイ</t>
    </rPh>
    <rPh sb="9" eb="10">
      <t>タイ</t>
    </rPh>
    <rPh sb="12" eb="15">
      <t>フテキセツ</t>
    </rPh>
    <rPh sb="16" eb="18">
      <t>ヒンシツ</t>
    </rPh>
    <rPh sb="18" eb="20">
      <t>カクホ</t>
    </rPh>
    <rPh sb="20" eb="22">
      <t>ケイカク</t>
    </rPh>
    <rPh sb="35" eb="37">
      <t>ミツド</t>
    </rPh>
    <rPh sb="38" eb="40">
      <t>フリョウ</t>
    </rPh>
    <rPh sb="40" eb="42">
      <t>テキシュツ</t>
    </rPh>
    <rPh sb="42" eb="45">
      <t>モクヒョウチ</t>
    </rPh>
    <rPh sb="48" eb="50">
      <t>コウキョウ</t>
    </rPh>
    <rPh sb="50" eb="51">
      <t>セイ</t>
    </rPh>
    <rPh sb="52" eb="53">
      <t>タカ</t>
    </rPh>
    <rPh sb="60" eb="61">
      <t>ム</t>
    </rPh>
    <rPh sb="61" eb="63">
      <t>テイシ</t>
    </rPh>
    <rPh sb="69" eb="71">
      <t>キカン</t>
    </rPh>
    <rPh sb="71" eb="72">
      <t>ケイ</t>
    </rPh>
    <rPh sb="84" eb="85">
      <t>ム</t>
    </rPh>
    <rPh sb="99" eb="101">
      <t>ジンメイ</t>
    </rPh>
    <rPh sb="102" eb="104">
      <t>エイキョウ</t>
    </rPh>
    <phoneticPr fontId="1"/>
  </si>
  <si>
    <t>出荷後障害によるマスコミ報道、多大な品質確保工数、移行作業の工数肥大、出荷後障害による損失</t>
    <rPh sb="0" eb="2">
      <t>シュッカ</t>
    </rPh>
    <rPh sb="2" eb="3">
      <t>ゴ</t>
    </rPh>
    <rPh sb="3" eb="5">
      <t>ショウガイ</t>
    </rPh>
    <rPh sb="12" eb="14">
      <t>ホウドウ</t>
    </rPh>
    <rPh sb="15" eb="17">
      <t>タダイ</t>
    </rPh>
    <rPh sb="18" eb="20">
      <t>ヒンシツ</t>
    </rPh>
    <rPh sb="20" eb="22">
      <t>カクホ</t>
    </rPh>
    <rPh sb="22" eb="24">
      <t>コウスウ</t>
    </rPh>
    <phoneticPr fontId="1"/>
  </si>
  <si>
    <t>ＣＱＭＳ遵守違反による差し戻し</t>
    <rPh sb="4" eb="6">
      <t>ジュンシュ</t>
    </rPh>
    <rPh sb="6" eb="8">
      <t>イハン</t>
    </rPh>
    <rPh sb="11" eb="14">
      <t>サシモド</t>
    </rPh>
    <phoneticPr fontId="1"/>
  </si>
  <si>
    <t>ドキュメント完成遅延</t>
    <rPh sb="6" eb="8">
      <t>カンセイ</t>
    </rPh>
    <rPh sb="8" eb="10">
      <t>チエン</t>
    </rPh>
    <phoneticPr fontId="1"/>
  </si>
  <si>
    <t>ドキュメント軽視によるプログラミング先行</t>
    <rPh sb="6" eb="8">
      <t>ケイシ</t>
    </rPh>
    <rPh sb="18" eb="20">
      <t>センコウ</t>
    </rPh>
    <phoneticPr fontId="1"/>
  </si>
  <si>
    <t>ドキュメント化以上の手戻り工数が発生、仕様不良多発、追加費用請求交渉不能</t>
    <rPh sb="6" eb="7">
      <t>カ</t>
    </rPh>
    <rPh sb="7" eb="9">
      <t>イジョウ</t>
    </rPh>
    <rPh sb="10" eb="11">
      <t>テ</t>
    </rPh>
    <rPh sb="11" eb="12">
      <t>モド</t>
    </rPh>
    <rPh sb="13" eb="15">
      <t>コウスウ</t>
    </rPh>
    <rPh sb="16" eb="18">
      <t>ハッセイ</t>
    </rPh>
    <rPh sb="19" eb="21">
      <t>シヨウ</t>
    </rPh>
    <rPh sb="21" eb="23">
      <t>フリョウ</t>
    </rPh>
    <rPh sb="23" eb="25">
      <t>タハツ</t>
    </rPh>
    <rPh sb="26" eb="28">
      <t>ツイカ</t>
    </rPh>
    <rPh sb="28" eb="30">
      <t>ヒヨウ</t>
    </rPh>
    <rPh sb="30" eb="32">
      <t>セイキュウ</t>
    </rPh>
    <rPh sb="32" eb="34">
      <t>コウショウ</t>
    </rPh>
    <rPh sb="34" eb="36">
      <t>フノウ</t>
    </rPh>
    <phoneticPr fontId="1"/>
  </si>
  <si>
    <t>作業標準、品質基準の無視</t>
    <rPh sb="0" eb="2">
      <t>サギョウ</t>
    </rPh>
    <rPh sb="2" eb="4">
      <t>ヒョウジュン</t>
    </rPh>
    <rPh sb="5" eb="7">
      <t>ヒンシツ</t>
    </rPh>
    <rPh sb="7" eb="9">
      <t>キジュン</t>
    </rPh>
    <phoneticPr fontId="1"/>
  </si>
  <si>
    <t>品質不良、検収不合格、大きな手戻り</t>
    <rPh sb="0" eb="2">
      <t>ヒンシツ</t>
    </rPh>
    <rPh sb="2" eb="4">
      <t>フリョウ</t>
    </rPh>
    <rPh sb="5" eb="7">
      <t>ケンシュウ</t>
    </rPh>
    <rPh sb="7" eb="10">
      <t>フゴウカク</t>
    </rPh>
    <rPh sb="11" eb="12">
      <t>オオ</t>
    </rPh>
    <rPh sb="14" eb="15">
      <t>テ</t>
    </rPh>
    <rPh sb="15" eb="16">
      <t>モド</t>
    </rPh>
    <phoneticPr fontId="1"/>
  </si>
  <si>
    <t>曖昧な開発計画</t>
    <rPh sb="0" eb="2">
      <t>アイマイ</t>
    </rPh>
    <rPh sb="3" eb="5">
      <t>カイハツ</t>
    </rPh>
    <rPh sb="5" eb="7">
      <t>ケイカク</t>
    </rPh>
    <phoneticPr fontId="1"/>
  </si>
  <si>
    <t>工程遅延、開発途中の追加アクティビティ、品質基準達成不能</t>
    <rPh sb="0" eb="2">
      <t>コウテイ</t>
    </rPh>
    <rPh sb="2" eb="4">
      <t>チエン</t>
    </rPh>
    <rPh sb="5" eb="7">
      <t>カイハツ</t>
    </rPh>
    <rPh sb="7" eb="9">
      <t>トチュウ</t>
    </rPh>
    <rPh sb="10" eb="12">
      <t>ツイカ</t>
    </rPh>
    <rPh sb="20" eb="22">
      <t>ヒンシツ</t>
    </rPh>
    <rPh sb="22" eb="24">
      <t>キジュン</t>
    </rPh>
    <rPh sb="24" eb="26">
      <t>タッセイ</t>
    </rPh>
    <rPh sb="26" eb="28">
      <t>フノウ</t>
    </rPh>
    <phoneticPr fontId="1"/>
  </si>
  <si>
    <t>納期から本番開始までの期間が長すぎる</t>
    <rPh sb="0" eb="2">
      <t>ノウキ</t>
    </rPh>
    <rPh sb="4" eb="6">
      <t>ホンバン</t>
    </rPh>
    <rPh sb="6" eb="8">
      <t>カイシ</t>
    </rPh>
    <rPh sb="11" eb="13">
      <t>キカン</t>
    </rPh>
    <rPh sb="14" eb="15">
      <t>ナガ</t>
    </rPh>
    <phoneticPr fontId="1"/>
  </si>
  <si>
    <t>納入後、変更要望が多発</t>
    <rPh sb="0" eb="2">
      <t>ノウニュウ</t>
    </rPh>
    <rPh sb="2" eb="3">
      <t>ゴ</t>
    </rPh>
    <rPh sb="4" eb="6">
      <t>ヘンコウ</t>
    </rPh>
    <rPh sb="6" eb="8">
      <t>ヨウボウ</t>
    </rPh>
    <rPh sb="9" eb="11">
      <t>タハツ</t>
    </rPh>
    <phoneticPr fontId="1"/>
  </si>
  <si>
    <t>不適切なスパイラルモデルによる開発</t>
    <rPh sb="0" eb="3">
      <t>フテキセツ</t>
    </rPh>
    <rPh sb="15" eb="17">
      <t>カイハツ</t>
    </rPh>
    <phoneticPr fontId="1"/>
  </si>
  <si>
    <t>無限スパイラル、変更による品質劣化、仕様変更交渉の拠り所(ドキュメント)がなくなる</t>
    <rPh sb="0" eb="2">
      <t>ムゲン</t>
    </rPh>
    <rPh sb="8" eb="10">
      <t>ヘンコウ</t>
    </rPh>
    <rPh sb="13" eb="15">
      <t>ヒンシツ</t>
    </rPh>
    <rPh sb="15" eb="17">
      <t>レッカ</t>
    </rPh>
    <rPh sb="18" eb="20">
      <t>シヨウ</t>
    </rPh>
    <rPh sb="20" eb="22">
      <t>ヘンコウ</t>
    </rPh>
    <rPh sb="22" eb="24">
      <t>コウショウ</t>
    </rPh>
    <rPh sb="25" eb="28">
      <t>ヨリドコロ</t>
    </rPh>
    <phoneticPr fontId="1"/>
  </si>
  <si>
    <t>体制</t>
    <rPh sb="0" eb="2">
      <t>タイセイ</t>
    </rPh>
    <phoneticPr fontId="1"/>
  </si>
  <si>
    <t>経験不足または能力不足
・PM/AEの折衝力不足、リーダーシップ不足
・業務パッケージ開発における業務知識の不足
・上流設計ＳＥ、ＡＥの不在、関連業務知識の不足
・システム全体を把握しているアーキテクトの不足
・大規模開発経験不足
・開発手法、ツールの経験不足
・CQMS理解度不足</t>
    <rPh sb="0" eb="2">
      <t>ケイケン</t>
    </rPh>
    <rPh sb="2" eb="4">
      <t>フソク</t>
    </rPh>
    <rPh sb="7" eb="9">
      <t>ノウリョク</t>
    </rPh>
    <rPh sb="9" eb="11">
      <t>フソク</t>
    </rPh>
    <rPh sb="19" eb="21">
      <t>セッショウ</t>
    </rPh>
    <rPh sb="21" eb="22">
      <t>リョク</t>
    </rPh>
    <rPh sb="22" eb="24">
      <t>フソク</t>
    </rPh>
    <rPh sb="32" eb="34">
      <t>フソク</t>
    </rPh>
    <rPh sb="36" eb="38">
      <t>ギョウム</t>
    </rPh>
    <rPh sb="43" eb="45">
      <t>カイハツ</t>
    </rPh>
    <rPh sb="49" eb="51">
      <t>ギョウム</t>
    </rPh>
    <rPh sb="51" eb="53">
      <t>チシキ</t>
    </rPh>
    <rPh sb="54" eb="56">
      <t>フソク</t>
    </rPh>
    <rPh sb="86" eb="88">
      <t>ゼンタイ</t>
    </rPh>
    <rPh sb="89" eb="91">
      <t>ハアク</t>
    </rPh>
    <rPh sb="102" eb="104">
      <t>フソク</t>
    </rPh>
    <rPh sb="136" eb="139">
      <t>リカイド</t>
    </rPh>
    <rPh sb="139" eb="141">
      <t>フソク</t>
    </rPh>
    <phoneticPr fontId="1"/>
  </si>
  <si>
    <t>仕様肥大、仕様不良多発、機能不足多発、根本的な設計変更多発、アクティビティ漏れ、低い生産性、各種作業の過小見積り、難易度の過小評価、調査工数発生、手戻り多数、モチベーション低下、外注見積評価ミス、テスト漏れ多発</t>
    <rPh sb="0" eb="2">
      <t>シヨウ</t>
    </rPh>
    <rPh sb="2" eb="4">
      <t>ヒダイ</t>
    </rPh>
    <rPh sb="5" eb="7">
      <t>シヨウ</t>
    </rPh>
    <rPh sb="7" eb="9">
      <t>フリョウ</t>
    </rPh>
    <rPh sb="9" eb="11">
      <t>タハツ</t>
    </rPh>
    <rPh sb="12" eb="14">
      <t>キノウ</t>
    </rPh>
    <rPh sb="14" eb="16">
      <t>フソク</t>
    </rPh>
    <rPh sb="16" eb="18">
      <t>タハツ</t>
    </rPh>
    <rPh sb="19" eb="22">
      <t>コンポンテキ</t>
    </rPh>
    <rPh sb="23" eb="25">
      <t>セッケイ</t>
    </rPh>
    <rPh sb="25" eb="27">
      <t>ヘンコウ</t>
    </rPh>
    <rPh sb="27" eb="29">
      <t>タハツ</t>
    </rPh>
    <rPh sb="37" eb="38">
      <t>モ</t>
    </rPh>
    <rPh sb="40" eb="41">
      <t>ヒク</t>
    </rPh>
    <rPh sb="42" eb="45">
      <t>セイサンセイ</t>
    </rPh>
    <rPh sb="46" eb="48">
      <t>カクシュ</t>
    </rPh>
    <rPh sb="48" eb="50">
      <t>サギョウ</t>
    </rPh>
    <rPh sb="51" eb="53">
      <t>カショウ</t>
    </rPh>
    <rPh sb="53" eb="55">
      <t>ミツモ</t>
    </rPh>
    <rPh sb="57" eb="60">
      <t>ナンイド</t>
    </rPh>
    <rPh sb="61" eb="63">
      <t>カショウ</t>
    </rPh>
    <rPh sb="63" eb="65">
      <t>ヒョウカ</t>
    </rPh>
    <rPh sb="66" eb="68">
      <t>チョウサ</t>
    </rPh>
    <rPh sb="68" eb="70">
      <t>コウスウ</t>
    </rPh>
    <rPh sb="70" eb="72">
      <t>ハッセイ</t>
    </rPh>
    <rPh sb="73" eb="74">
      <t>テ</t>
    </rPh>
    <rPh sb="74" eb="75">
      <t>モド</t>
    </rPh>
    <rPh sb="76" eb="78">
      <t>タスウ</t>
    </rPh>
    <rPh sb="86" eb="88">
      <t>テイカ</t>
    </rPh>
    <rPh sb="89" eb="91">
      <t>ガイチュウ</t>
    </rPh>
    <rPh sb="91" eb="93">
      <t>ミツモリ</t>
    </rPh>
    <rPh sb="93" eb="95">
      <t>ヒョウカ</t>
    </rPh>
    <rPh sb="101" eb="102">
      <t>モ</t>
    </rPh>
    <rPh sb="103" eb="105">
      <t>タハツ</t>
    </rPh>
    <phoneticPr fontId="1"/>
  </si>
  <si>
    <t>無責任体制
・実質的なPMの不在
・社内体制の仕様把握不十分または技術力不足
・他案件との掛け持ちによるオーバーロード</t>
    <rPh sb="0" eb="3">
      <t>ムセキニン</t>
    </rPh>
    <rPh sb="3" eb="5">
      <t>タイセイ</t>
    </rPh>
    <rPh sb="7" eb="10">
      <t>ジッシツテキ</t>
    </rPh>
    <rPh sb="14" eb="16">
      <t>フザイ</t>
    </rPh>
    <rPh sb="40" eb="41">
      <t>タ</t>
    </rPh>
    <rPh sb="41" eb="43">
      <t>アンケン</t>
    </rPh>
    <rPh sb="45" eb="48">
      <t>カケモ</t>
    </rPh>
    <phoneticPr fontId="1"/>
  </si>
  <si>
    <t>個人の管理能力限界を超えるとトラブルへ発展、設計品質不良、受入検査の不良見落し</t>
    <rPh sb="0" eb="2">
      <t>コジン</t>
    </rPh>
    <rPh sb="3" eb="5">
      <t>カンリ</t>
    </rPh>
    <rPh sb="5" eb="7">
      <t>ノウリョク</t>
    </rPh>
    <rPh sb="7" eb="9">
      <t>ゲンカイ</t>
    </rPh>
    <rPh sb="10" eb="11">
      <t>コ</t>
    </rPh>
    <rPh sb="19" eb="21">
      <t>ハッテン</t>
    </rPh>
    <phoneticPr fontId="1"/>
  </si>
  <si>
    <t>役割不在(DBA、インフラ、メインアーキテクト、各種管理、標準化等)</t>
    <rPh sb="0" eb="2">
      <t>ヤクワリ</t>
    </rPh>
    <rPh sb="2" eb="4">
      <t>フザイ</t>
    </rPh>
    <rPh sb="24" eb="26">
      <t>カクシュ</t>
    </rPh>
    <rPh sb="26" eb="28">
      <t>カンリ</t>
    </rPh>
    <rPh sb="29" eb="32">
      <t>ヒョウジュンカ</t>
    </rPh>
    <rPh sb="32" eb="33">
      <t>トウ</t>
    </rPh>
    <phoneticPr fontId="1"/>
  </si>
  <si>
    <t>頻発するDB変更・設計変更、変更管理通知ミス、SIミス、インフラ問題の長期化</t>
    <rPh sb="0" eb="2">
      <t>ヒンパツ</t>
    </rPh>
    <rPh sb="6" eb="8">
      <t>ヘンコウ</t>
    </rPh>
    <rPh sb="9" eb="11">
      <t>セッケイ</t>
    </rPh>
    <rPh sb="11" eb="13">
      <t>ヘンコウ</t>
    </rPh>
    <rPh sb="14" eb="16">
      <t>ヘンコウ</t>
    </rPh>
    <rPh sb="16" eb="18">
      <t>カンリ</t>
    </rPh>
    <rPh sb="18" eb="20">
      <t>ツウチ</t>
    </rPh>
    <rPh sb="32" eb="34">
      <t>モンダイ</t>
    </rPh>
    <rPh sb="35" eb="38">
      <t>チョウキカ</t>
    </rPh>
    <phoneticPr fontId="1"/>
  </si>
  <si>
    <t>ＰＭ、キーマンの交替、離脱</t>
    <rPh sb="8" eb="10">
      <t>コウタイ</t>
    </rPh>
    <rPh sb="11" eb="13">
      <t>リダツ</t>
    </rPh>
    <phoneticPr fontId="1"/>
  </si>
  <si>
    <t>知識獲得の予定外工数が発生、折衝不利、引継ぎ不十分による仕様不良・機能不足</t>
    <rPh sb="0" eb="2">
      <t>チシキ</t>
    </rPh>
    <rPh sb="2" eb="4">
      <t>カクトク</t>
    </rPh>
    <rPh sb="5" eb="8">
      <t>ヨテイガイ</t>
    </rPh>
    <rPh sb="8" eb="10">
      <t>コウスウ</t>
    </rPh>
    <rPh sb="11" eb="13">
      <t>ハッセイ</t>
    </rPh>
    <rPh sb="14" eb="16">
      <t>セッショウ</t>
    </rPh>
    <rPh sb="16" eb="18">
      <t>フリ</t>
    </rPh>
    <rPh sb="19" eb="21">
      <t>ヒキツ</t>
    </rPh>
    <rPh sb="22" eb="25">
      <t>フジュウブン</t>
    </rPh>
    <rPh sb="28" eb="30">
      <t>シヨウ</t>
    </rPh>
    <rPh sb="30" eb="32">
      <t>フリョウ</t>
    </rPh>
    <rPh sb="33" eb="35">
      <t>キノウ</t>
    </rPh>
    <rPh sb="35" eb="37">
      <t>フソク</t>
    </rPh>
    <phoneticPr fontId="1"/>
  </si>
  <si>
    <t>メンバーのモラル低下</t>
    <rPh sb="8" eb="10">
      <t>テイカ</t>
    </rPh>
    <phoneticPr fontId="1"/>
  </si>
  <si>
    <t>生産性低下、機密流出事故、担当者失踪・退職、問題状況の隠蔽による被害拡大</t>
    <rPh sb="0" eb="3">
      <t>セイサンセイ</t>
    </rPh>
    <rPh sb="3" eb="5">
      <t>テイカ</t>
    </rPh>
    <rPh sb="6" eb="8">
      <t>キミツ</t>
    </rPh>
    <rPh sb="8" eb="10">
      <t>リュウシュツ</t>
    </rPh>
    <rPh sb="10" eb="12">
      <t>ジコ</t>
    </rPh>
    <rPh sb="13" eb="16">
      <t>タントウシャ</t>
    </rPh>
    <rPh sb="16" eb="18">
      <t>シッソウ</t>
    </rPh>
    <rPh sb="19" eb="21">
      <t>タイショク</t>
    </rPh>
    <rPh sb="22" eb="24">
      <t>モンダイ</t>
    </rPh>
    <rPh sb="24" eb="26">
      <t>ジョウキョウ</t>
    </rPh>
    <rPh sb="27" eb="29">
      <t>インペイ</t>
    </rPh>
    <rPh sb="32" eb="34">
      <t>ヒガイ</t>
    </rPh>
    <rPh sb="34" eb="36">
      <t>カクダイ</t>
    </rPh>
    <phoneticPr fontId="1"/>
  </si>
  <si>
    <t>メンバーの関与率が過去に担当したシステムの対応で低下</t>
    <rPh sb="5" eb="7">
      <t>カンヨ</t>
    </rPh>
    <rPh sb="7" eb="8">
      <t>リツ</t>
    </rPh>
    <rPh sb="9" eb="11">
      <t>カコ</t>
    </rPh>
    <rPh sb="12" eb="14">
      <t>タントウ</t>
    </rPh>
    <rPh sb="21" eb="23">
      <t>タイオウ</t>
    </rPh>
    <rPh sb="24" eb="26">
      <t>テイカ</t>
    </rPh>
    <phoneticPr fontId="1"/>
  </si>
  <si>
    <t>工程遅延、キーマンの不在で手戻り</t>
    <rPh sb="0" eb="2">
      <t>コウテイ</t>
    </rPh>
    <rPh sb="2" eb="4">
      <t>チエン</t>
    </rPh>
    <rPh sb="10" eb="12">
      <t>フザイ</t>
    </rPh>
    <rPh sb="13" eb="14">
      <t>テ</t>
    </rPh>
    <rPh sb="14" eb="15">
      <t>モド</t>
    </rPh>
    <phoneticPr fontId="1"/>
  </si>
  <si>
    <t>元請会社の力量不足、無責任</t>
    <rPh sb="0" eb="2">
      <t>モトウケ</t>
    </rPh>
    <rPh sb="2" eb="4">
      <t>カイシャ</t>
    </rPh>
    <rPh sb="5" eb="7">
      <t>リキリョウ</t>
    </rPh>
    <rPh sb="7" eb="9">
      <t>フソク</t>
    </rPh>
    <rPh sb="10" eb="13">
      <t>ムセキニン</t>
    </rPh>
    <phoneticPr fontId="1"/>
  </si>
  <si>
    <t>顧客の言いなりで作業増大</t>
    <rPh sb="0" eb="2">
      <t>コキャク</t>
    </rPh>
    <rPh sb="3" eb="4">
      <t>イ</t>
    </rPh>
    <rPh sb="8" eb="10">
      <t>サギョウ</t>
    </rPh>
    <rPh sb="10" eb="12">
      <t>ゾウダイ</t>
    </rPh>
    <phoneticPr fontId="1"/>
  </si>
  <si>
    <t>未経験技術、未経験開発手法</t>
    <rPh sb="0" eb="3">
      <t>ミケイケン</t>
    </rPh>
    <rPh sb="3" eb="5">
      <t>ギジュツ</t>
    </rPh>
    <rPh sb="6" eb="9">
      <t>ミケイケン</t>
    </rPh>
    <rPh sb="9" eb="11">
      <t>カイハツ</t>
    </rPh>
    <rPh sb="11" eb="13">
      <t>シュホウ</t>
    </rPh>
    <phoneticPr fontId="1"/>
  </si>
  <si>
    <t>実装設計不良、生産性低下、大幅手戻り</t>
    <rPh sb="0" eb="2">
      <t>ジッソウ</t>
    </rPh>
    <rPh sb="2" eb="4">
      <t>セッケイ</t>
    </rPh>
    <rPh sb="4" eb="6">
      <t>フリョウ</t>
    </rPh>
    <rPh sb="7" eb="10">
      <t>セイサンセイ</t>
    </rPh>
    <rPh sb="10" eb="12">
      <t>テイカ</t>
    </rPh>
    <rPh sb="13" eb="14">
      <t>ダイキボ</t>
    </rPh>
    <rPh sb="14" eb="15">
      <t>ハバ</t>
    </rPh>
    <rPh sb="15" eb="16">
      <t>テ</t>
    </rPh>
    <rPh sb="16" eb="17">
      <t>モド</t>
    </rPh>
    <phoneticPr fontId="1"/>
  </si>
  <si>
    <t>前提プロダクト</t>
    <rPh sb="0" eb="2">
      <t>ゼンテイ</t>
    </rPh>
    <phoneticPr fontId="1"/>
  </si>
  <si>
    <t>未経験または国内実績不十分のプロダクト
・適合性調査不十分
・プロダクトの品質不良、ローカライズ不十分
・プロダクトの使い方ミス</t>
    <rPh sb="0" eb="3">
      <t>ミケイケン</t>
    </rPh>
    <rPh sb="6" eb="8">
      <t>コクナイ</t>
    </rPh>
    <rPh sb="8" eb="10">
      <t>ジッセキ</t>
    </rPh>
    <rPh sb="10" eb="13">
      <t>フジュウブン</t>
    </rPh>
    <rPh sb="21" eb="24">
      <t>テキゴウセイ</t>
    </rPh>
    <rPh sb="24" eb="26">
      <t>チョウサ</t>
    </rPh>
    <rPh sb="26" eb="29">
      <t>フジュウブン</t>
    </rPh>
    <rPh sb="48" eb="51">
      <t>フジュウブン</t>
    </rPh>
    <phoneticPr fontId="1"/>
  </si>
  <si>
    <t>開発途中での前提プロダクトの適用を断念、極端に大きなカスタマイズ、工程遅延、コストオーバー、ワークアラウンドに伴う手戻り</t>
    <rPh sb="0" eb="2">
      <t>カイハツ</t>
    </rPh>
    <rPh sb="2" eb="4">
      <t>トチュウ</t>
    </rPh>
    <rPh sb="6" eb="8">
      <t>ゼンテイ</t>
    </rPh>
    <rPh sb="14" eb="16">
      <t>テキヨウ</t>
    </rPh>
    <rPh sb="17" eb="19">
      <t>ダンネン</t>
    </rPh>
    <rPh sb="20" eb="22">
      <t>キョクタン</t>
    </rPh>
    <rPh sb="23" eb="24">
      <t>オオ</t>
    </rPh>
    <phoneticPr fontId="1"/>
  </si>
  <si>
    <t>前提プロダクトの適用バージョン不明確または開発途中でのバージョンアップ</t>
    <rPh sb="0" eb="2">
      <t>ゼンテイ</t>
    </rPh>
    <rPh sb="8" eb="10">
      <t>テキヨウ</t>
    </rPh>
    <rPh sb="15" eb="18">
      <t>フメイカク</t>
    </rPh>
    <rPh sb="21" eb="23">
      <t>カイハツ</t>
    </rPh>
    <rPh sb="23" eb="25">
      <t>トチュウ</t>
    </rPh>
    <phoneticPr fontId="1"/>
  </si>
  <si>
    <t>追加移行作業、APの作り直し、新たなプロダクト不良、リリース遅延による工程への影響</t>
    <rPh sb="0" eb="2">
      <t>ツイカ</t>
    </rPh>
    <rPh sb="2" eb="4">
      <t>イコウ</t>
    </rPh>
    <rPh sb="4" eb="6">
      <t>サギョウ</t>
    </rPh>
    <rPh sb="10" eb="13">
      <t>ツクリナオ</t>
    </rPh>
    <rPh sb="15" eb="16">
      <t>アラ</t>
    </rPh>
    <rPh sb="23" eb="25">
      <t>フリョウ</t>
    </rPh>
    <rPh sb="30" eb="32">
      <t>チエン</t>
    </rPh>
    <rPh sb="35" eb="37">
      <t>コウテイ</t>
    </rPh>
    <rPh sb="39" eb="41">
      <t>エイキョウ</t>
    </rPh>
    <phoneticPr fontId="1"/>
  </si>
  <si>
    <t>プロダクトのサポートが不十分</t>
    <rPh sb="11" eb="14">
      <t>フジュウブン</t>
    </rPh>
    <phoneticPr fontId="1"/>
  </si>
  <si>
    <t>パラメタ設定の不備が進捗を阻害、適用可否誤判断による大規模設計変更、複数プロダクトの場合で原因特定困難</t>
    <rPh sb="4" eb="6">
      <t>セッテイ</t>
    </rPh>
    <rPh sb="7" eb="9">
      <t>フビ</t>
    </rPh>
    <rPh sb="10" eb="12">
      <t>シンチョク</t>
    </rPh>
    <rPh sb="16" eb="18">
      <t>テキヨウ</t>
    </rPh>
    <rPh sb="18" eb="20">
      <t>カヒ</t>
    </rPh>
    <rPh sb="20" eb="21">
      <t>アヤマ</t>
    </rPh>
    <rPh sb="21" eb="23">
      <t>ハンダン</t>
    </rPh>
    <rPh sb="26" eb="29">
      <t>ダイキボ</t>
    </rPh>
    <rPh sb="29" eb="31">
      <t>セッケイ</t>
    </rPh>
    <rPh sb="31" eb="33">
      <t>ヘンコウ</t>
    </rPh>
    <rPh sb="34" eb="36">
      <t>フクスウ</t>
    </rPh>
    <rPh sb="42" eb="44">
      <t>バアイ</t>
    </rPh>
    <rPh sb="45" eb="47">
      <t>ゲンイン</t>
    </rPh>
    <rPh sb="47" eb="49">
      <t>トクテイ</t>
    </rPh>
    <rPh sb="49" eb="51">
      <t>コンナン</t>
    </rPh>
    <phoneticPr fontId="1"/>
  </si>
  <si>
    <t>要件定義</t>
    <rPh sb="0" eb="2">
      <t>ヨウケン</t>
    </rPh>
    <rPh sb="2" eb="4">
      <t>テイギ</t>
    </rPh>
    <phoneticPr fontId="1"/>
  </si>
  <si>
    <t>注文文書化不足、顧客要件確認不足</t>
    <rPh sb="0" eb="2">
      <t>チュウモン</t>
    </rPh>
    <rPh sb="2" eb="5">
      <t>ブンショカ</t>
    </rPh>
    <rPh sb="5" eb="7">
      <t>フソク</t>
    </rPh>
    <phoneticPr fontId="1"/>
  </si>
  <si>
    <t>仕様肥大、運用テストでの手戻り</t>
    <rPh sb="0" eb="2">
      <t>シヨウ</t>
    </rPh>
    <rPh sb="2" eb="4">
      <t>ヒダイ</t>
    </rPh>
    <phoneticPr fontId="1"/>
  </si>
  <si>
    <t>不明確なシステム化目的、顧客経営者の合意形成不足、現行業務の問題点把握不十分</t>
    <rPh sb="0" eb="3">
      <t>フメイカク</t>
    </rPh>
    <rPh sb="4" eb="9">
      <t>システムカ</t>
    </rPh>
    <rPh sb="9" eb="11">
      <t>モクテキ</t>
    </rPh>
    <rPh sb="12" eb="14">
      <t>コキャク</t>
    </rPh>
    <rPh sb="14" eb="17">
      <t>ケイエイシャ</t>
    </rPh>
    <rPh sb="18" eb="20">
      <t>ゴウイ</t>
    </rPh>
    <rPh sb="20" eb="22">
      <t>ケイセイ</t>
    </rPh>
    <rPh sb="22" eb="24">
      <t>フソク</t>
    </rPh>
    <rPh sb="25" eb="27">
      <t>ゲンコウ</t>
    </rPh>
    <rPh sb="27" eb="29">
      <t>ギョウム</t>
    </rPh>
    <phoneticPr fontId="1"/>
  </si>
  <si>
    <t>経営者の指示による開発途中での仕様肥大、設計変更、検収不合格</t>
    <rPh sb="0" eb="3">
      <t>ケイエイシャ</t>
    </rPh>
    <rPh sb="4" eb="6">
      <t>シジ</t>
    </rPh>
    <rPh sb="9" eb="11">
      <t>カイハツ</t>
    </rPh>
    <rPh sb="11" eb="13">
      <t>トチュウ</t>
    </rPh>
    <rPh sb="15" eb="17">
      <t>シヨウ</t>
    </rPh>
    <rPh sb="17" eb="19">
      <t>ヒダイ</t>
    </rPh>
    <rPh sb="20" eb="22">
      <t>セッケイ</t>
    </rPh>
    <rPh sb="22" eb="24">
      <t>ヘンコウ</t>
    </rPh>
    <rPh sb="25" eb="27">
      <t>ケンシュウ</t>
    </rPh>
    <rPh sb="27" eb="28">
      <t>フ</t>
    </rPh>
    <rPh sb="28" eb="30">
      <t>ゴウカク</t>
    </rPh>
    <phoneticPr fontId="1"/>
  </si>
  <si>
    <t>現状業務または現行システムの情報不足、分析不足
・現行システムのドキュメントがない
・現行システムを操作する環境がない
・現行システム開発担当会社の不参加</t>
    <rPh sb="0" eb="2">
      <t>ゲンジョウ</t>
    </rPh>
    <rPh sb="2" eb="4">
      <t>ギョウム</t>
    </rPh>
    <rPh sb="19" eb="21">
      <t>ブンセキ</t>
    </rPh>
    <rPh sb="21" eb="23">
      <t>ブソク</t>
    </rPh>
    <rPh sb="25" eb="27">
      <t>ゲンコウ</t>
    </rPh>
    <rPh sb="43" eb="45">
      <t>ゲンコウ</t>
    </rPh>
    <rPh sb="50" eb="52">
      <t>ソウサ</t>
    </rPh>
    <rPh sb="54" eb="56">
      <t>カンキョウ</t>
    </rPh>
    <rPh sb="61" eb="63">
      <t>ゲンコウ</t>
    </rPh>
    <rPh sb="67" eb="69">
      <t>カイハツ</t>
    </rPh>
    <rPh sb="69" eb="71">
      <t>タントウ</t>
    </rPh>
    <rPh sb="71" eb="73">
      <t>カイシャ</t>
    </rPh>
    <rPh sb="74" eb="77">
      <t>フサンカ</t>
    </rPh>
    <phoneticPr fontId="1"/>
  </si>
  <si>
    <t>現行保証のための工数肥大</t>
    <rPh sb="0" eb="2">
      <t>ゲンコウ</t>
    </rPh>
    <rPh sb="2" eb="4">
      <t>ホショウ</t>
    </rPh>
    <rPh sb="8" eb="10">
      <t>コウスウ</t>
    </rPh>
    <rPh sb="10" eb="12">
      <t>ヒダイ</t>
    </rPh>
    <phoneticPr fontId="1"/>
  </si>
  <si>
    <t>不明確なシステム化対象範囲、曖昧な仕様書表現</t>
    <rPh sb="0" eb="3">
      <t>フメイカク</t>
    </rPh>
    <rPh sb="4" eb="9">
      <t>システムカ</t>
    </rPh>
    <rPh sb="9" eb="11">
      <t>タイショウ</t>
    </rPh>
    <rPh sb="11" eb="13">
      <t>ハンイ</t>
    </rPh>
    <rPh sb="14" eb="16">
      <t>アイマイ</t>
    </rPh>
    <rPh sb="17" eb="20">
      <t>シヨウショ</t>
    </rPh>
    <rPh sb="20" eb="22">
      <t>ヒョウゲン</t>
    </rPh>
    <phoneticPr fontId="1"/>
  </si>
  <si>
    <t>予定外の開発、仕様肥大</t>
    <rPh sb="0" eb="3">
      <t>ヨテイガイ</t>
    </rPh>
    <rPh sb="4" eb="6">
      <t>カイハツ</t>
    </rPh>
    <rPh sb="7" eb="9">
      <t>シヨウ</t>
    </rPh>
    <rPh sb="9" eb="11">
      <t>ヒダイ</t>
    </rPh>
    <phoneticPr fontId="1"/>
  </si>
  <si>
    <t>新業務フローの検討不十分
・機能要件洗い出し不十分
・ユーザの運用ミス検討不十分
・新システムでの解決策不十分</t>
    <rPh sb="0" eb="3">
      <t>シンギョウム</t>
    </rPh>
    <rPh sb="7" eb="9">
      <t>ケントウ</t>
    </rPh>
    <rPh sb="9" eb="12">
      <t>フジュウブン</t>
    </rPh>
    <phoneticPr fontId="1"/>
  </si>
  <si>
    <t>要件漏れ、仕様不良、業務不能</t>
    <rPh sb="0" eb="2">
      <t>ヨウケン</t>
    </rPh>
    <rPh sb="2" eb="3">
      <t>モ</t>
    </rPh>
    <rPh sb="5" eb="7">
      <t>シヨウ</t>
    </rPh>
    <rPh sb="7" eb="9">
      <t>フリョウ</t>
    </rPh>
    <rPh sb="10" eb="12">
      <t>ギョウム</t>
    </rPh>
    <rPh sb="12" eb="14">
      <t>フノウ</t>
    </rPh>
    <phoneticPr fontId="1"/>
  </si>
  <si>
    <t>概念DB設計の欠落、情報構造の誤り</t>
    <rPh sb="0" eb="2">
      <t>ガイネン</t>
    </rPh>
    <rPh sb="4" eb="6">
      <t>セッケイ</t>
    </rPh>
    <rPh sb="7" eb="9">
      <t>ケツラク</t>
    </rPh>
    <phoneticPr fontId="1"/>
  </si>
  <si>
    <t>基本設計工程でのDB設計遅延に伴う手戻り</t>
    <rPh sb="0" eb="2">
      <t>キホン</t>
    </rPh>
    <rPh sb="2" eb="4">
      <t>セッケイ</t>
    </rPh>
    <rPh sb="4" eb="6">
      <t>コウテイ</t>
    </rPh>
    <rPh sb="10" eb="12">
      <t>セッケイ</t>
    </rPh>
    <rPh sb="12" eb="14">
      <t>チエン</t>
    </rPh>
    <rPh sb="15" eb="16">
      <t>トモナ</t>
    </rPh>
    <rPh sb="17" eb="18">
      <t>テ</t>
    </rPh>
    <rPh sb="18" eb="19">
      <t>モド</t>
    </rPh>
    <phoneticPr fontId="1"/>
  </si>
  <si>
    <t xml:space="preserve">性能目標不明確、性能目標の前提条件不明確、非現実的な性能目標
</t>
    <rPh sb="0" eb="2">
      <t>セイノウ</t>
    </rPh>
    <rPh sb="2" eb="4">
      <t>モクヒョウ</t>
    </rPh>
    <rPh sb="4" eb="7">
      <t>フメイカク</t>
    </rPh>
    <rPh sb="8" eb="10">
      <t>セイノウ</t>
    </rPh>
    <rPh sb="10" eb="12">
      <t>モクヒョウ</t>
    </rPh>
    <rPh sb="13" eb="15">
      <t>ゼンテイ</t>
    </rPh>
    <rPh sb="15" eb="17">
      <t>ジョウケン</t>
    </rPh>
    <rPh sb="17" eb="20">
      <t>フメイカク</t>
    </rPh>
    <rPh sb="21" eb="25">
      <t>ヒゲンジツテキ</t>
    </rPh>
    <rPh sb="26" eb="28">
      <t>セイノウ</t>
    </rPh>
    <rPh sb="28" eb="30">
      <t>モクヒョウ</t>
    </rPh>
    <phoneticPr fontId="1"/>
  </si>
  <si>
    <t>過度な性能要求による検収不合格、追加ハードウェアコスト</t>
    <rPh sb="0" eb="2">
      <t>カド</t>
    </rPh>
    <rPh sb="3" eb="5">
      <t>セイノウ</t>
    </rPh>
    <rPh sb="5" eb="7">
      <t>ヨウキュウ</t>
    </rPh>
    <rPh sb="10" eb="12">
      <t>ケンシュウ</t>
    </rPh>
    <rPh sb="12" eb="15">
      <t>フゴウカク</t>
    </rPh>
    <phoneticPr fontId="1"/>
  </si>
  <si>
    <t>高トランザクション密度、大量の端末数</t>
    <rPh sb="0" eb="1">
      <t>コウ</t>
    </rPh>
    <rPh sb="9" eb="11">
      <t>ミツド</t>
    </rPh>
    <rPh sb="12" eb="14">
      <t>タイリョウ</t>
    </rPh>
    <rPh sb="15" eb="17">
      <t>タンマツ</t>
    </rPh>
    <rPh sb="17" eb="18">
      <t>スウ</t>
    </rPh>
    <phoneticPr fontId="1"/>
  </si>
  <si>
    <t>致命的な性能不良による作り直し</t>
    <rPh sb="0" eb="3">
      <t>チメイテキ</t>
    </rPh>
    <rPh sb="4" eb="6">
      <t>セイノウ</t>
    </rPh>
    <rPh sb="6" eb="8">
      <t>フリョウ</t>
    </rPh>
    <rPh sb="11" eb="14">
      <t>ツクリナオ</t>
    </rPh>
    <phoneticPr fontId="1"/>
  </si>
  <si>
    <t>大ボリュームデータ、将来のデータ増分過小見積り</t>
    <rPh sb="0" eb="1">
      <t>ダイ</t>
    </rPh>
    <phoneticPr fontId="1"/>
  </si>
  <si>
    <t>性能不良、追加ハードウェアコスト、ディスク不足、システムテストでの重大な設計変更</t>
    <rPh sb="0" eb="2">
      <t>セイノウ</t>
    </rPh>
    <rPh sb="2" eb="4">
      <t>フリョウ</t>
    </rPh>
    <rPh sb="5" eb="7">
      <t>ツイカ</t>
    </rPh>
    <rPh sb="21" eb="23">
      <t>フソク</t>
    </rPh>
    <rPh sb="33" eb="35">
      <t>ジュウダイ</t>
    </rPh>
    <rPh sb="36" eb="38">
      <t>セッケイ</t>
    </rPh>
    <rPh sb="38" eb="40">
      <t>ヘンコウ</t>
    </rPh>
    <phoneticPr fontId="1"/>
  </si>
  <si>
    <t>可用性要件確認漏れ、不適切なバックアップ設計</t>
    <rPh sb="0" eb="1">
      <t>カヨウセイ</t>
    </rPh>
    <rPh sb="1" eb="2">
      <t>ヨウト</t>
    </rPh>
    <rPh sb="2" eb="3">
      <t>セイ</t>
    </rPh>
    <rPh sb="3" eb="5">
      <t>ヨウケン</t>
    </rPh>
    <rPh sb="5" eb="7">
      <t>カクニン</t>
    </rPh>
    <rPh sb="7" eb="8">
      <t>モ</t>
    </rPh>
    <phoneticPr fontId="1"/>
  </si>
  <si>
    <t>マシンダウンによる重大な損失、データ消失、業務停止、損害賠償</t>
    <rPh sb="9" eb="11">
      <t>ジュウダイ</t>
    </rPh>
    <rPh sb="12" eb="14">
      <t>ソンシツ</t>
    </rPh>
    <rPh sb="26" eb="28">
      <t>ソンガイ</t>
    </rPh>
    <rPh sb="28" eb="30">
      <t>バイショウ</t>
    </rPh>
    <phoneticPr fontId="1"/>
  </si>
  <si>
    <t>不明確なシステム管理者の責任範囲</t>
    <rPh sb="8" eb="11">
      <t>カンリシャ</t>
    </rPh>
    <rPh sb="12" eb="14">
      <t>セキニン</t>
    </rPh>
    <rPh sb="14" eb="16">
      <t>ハンイ</t>
    </rPh>
    <phoneticPr fontId="1"/>
  </si>
  <si>
    <t>運用管理支援機能の肥大、運用時の性能低下</t>
    <rPh sb="0" eb="2">
      <t>ウンヨウ</t>
    </rPh>
    <rPh sb="2" eb="4">
      <t>カンリ</t>
    </rPh>
    <rPh sb="4" eb="6">
      <t>シエン</t>
    </rPh>
    <rPh sb="6" eb="8">
      <t>キノウ</t>
    </rPh>
    <rPh sb="9" eb="11">
      <t>ヒダイ</t>
    </rPh>
    <rPh sb="12" eb="14">
      <t>ウンヨウ</t>
    </rPh>
    <rPh sb="14" eb="15">
      <t>ジ</t>
    </rPh>
    <rPh sb="16" eb="18">
      <t>セイノウ</t>
    </rPh>
    <rPh sb="18" eb="20">
      <t>テイカ</t>
    </rPh>
    <phoneticPr fontId="1"/>
  </si>
  <si>
    <t>不明確な移行要件(データ移行、システム移行)</t>
    <rPh sb="4" eb="6">
      <t>イコウ</t>
    </rPh>
    <rPh sb="6" eb="8">
      <t>ヨウケン</t>
    </rPh>
    <rPh sb="12" eb="14">
      <t>イコウ</t>
    </rPh>
    <rPh sb="19" eb="21">
      <t>イコウ</t>
    </rPh>
    <phoneticPr fontId="1"/>
  </si>
  <si>
    <t>予定外の移行作業</t>
    <rPh sb="0" eb="2">
      <t>ヨテイ</t>
    </rPh>
    <rPh sb="2" eb="3">
      <t>ガイ</t>
    </rPh>
    <rPh sb="4" eb="6">
      <t>イコウ</t>
    </rPh>
    <rPh sb="6" eb="8">
      <t>サギョウ</t>
    </rPh>
    <phoneticPr fontId="1"/>
  </si>
  <si>
    <t>パッケージのFIT&amp;GAP分析漏れ、不十分または大きすぎるGAP</t>
    <rPh sb="13" eb="15">
      <t>ブンセキ</t>
    </rPh>
    <rPh sb="15" eb="16">
      <t>モ</t>
    </rPh>
    <rPh sb="18" eb="21">
      <t>フジュウブン</t>
    </rPh>
    <rPh sb="24" eb="25">
      <t>オオ</t>
    </rPh>
    <phoneticPr fontId="1"/>
  </si>
  <si>
    <t>パッケージ不採用に伴う計画変更、カスタマイズ工数肥大</t>
    <phoneticPr fontId="1"/>
  </si>
  <si>
    <t>玉虫色のシステム化目的</t>
    <rPh sb="0" eb="3">
      <t>タマムシイロ</t>
    </rPh>
    <rPh sb="8" eb="9">
      <t>カ</t>
    </rPh>
    <rPh sb="9" eb="11">
      <t>モクテキ</t>
    </rPh>
    <phoneticPr fontId="1"/>
  </si>
  <si>
    <t>仕様肥大、キャンセル、検収遅延</t>
    <rPh sb="0" eb="2">
      <t>シヨウ</t>
    </rPh>
    <rPh sb="2" eb="4">
      <t>ヒダイ</t>
    </rPh>
    <rPh sb="11" eb="13">
      <t>ケンシュウ</t>
    </rPh>
    <rPh sb="13" eb="15">
      <t>チエン</t>
    </rPh>
    <phoneticPr fontId="1"/>
  </si>
  <si>
    <t>設計</t>
    <rPh sb="0" eb="2">
      <t>セッケイ</t>
    </rPh>
    <phoneticPr fontId="1"/>
  </si>
  <si>
    <t>外部(基本)設計</t>
    <rPh sb="0" eb="2">
      <t>ガイブ</t>
    </rPh>
    <rPh sb="3" eb="5">
      <t>キホン</t>
    </rPh>
    <rPh sb="6" eb="8">
      <t>セッケイ</t>
    </rPh>
    <phoneticPr fontId="1"/>
  </si>
  <si>
    <t>アーキテクチャ設計ミス</t>
    <rPh sb="7" eb="9">
      <t>セッケイ</t>
    </rPh>
    <phoneticPr fontId="1"/>
  </si>
  <si>
    <t>チューニングでは解決しない全体的な性能不良、H/W増強用追加コスト、全面・部分の作り直し、頻発する出荷後障害、バグ多発</t>
    <rPh sb="8" eb="10">
      <t>カイケツ</t>
    </rPh>
    <rPh sb="13" eb="16">
      <t>ゼンタイテキ</t>
    </rPh>
    <rPh sb="17" eb="19">
      <t>セイノウ</t>
    </rPh>
    <rPh sb="19" eb="21">
      <t>フリョウ</t>
    </rPh>
    <rPh sb="25" eb="27">
      <t>ゾウキョウ</t>
    </rPh>
    <rPh sb="27" eb="28">
      <t>ヨウ</t>
    </rPh>
    <rPh sb="28" eb="30">
      <t>ツイカ</t>
    </rPh>
    <phoneticPr fontId="1"/>
  </si>
  <si>
    <t>不適切なサブシステム分割</t>
    <rPh sb="0" eb="3">
      <t>フテキセツ</t>
    </rPh>
    <rPh sb="10" eb="12">
      <t>ブンカツ</t>
    </rPh>
    <phoneticPr fontId="1"/>
  </si>
  <si>
    <t>デバッグ時間の肥大、修正品質低下</t>
    <rPh sb="4" eb="6">
      <t>ジカン</t>
    </rPh>
    <rPh sb="7" eb="9">
      <t>ヒダイ</t>
    </rPh>
    <rPh sb="10" eb="12">
      <t>シュウセイ</t>
    </rPh>
    <rPh sb="12" eb="14">
      <t>ヒンシツ</t>
    </rPh>
    <rPh sb="14" eb="16">
      <t>テイカ</t>
    </rPh>
    <phoneticPr fontId="1"/>
  </si>
  <si>
    <t>業務運用考慮不足</t>
    <rPh sb="0" eb="2">
      <t>ギョウム</t>
    </rPh>
    <rPh sb="2" eb="4">
      <t>ウンヨウ</t>
    </rPh>
    <rPh sb="4" eb="6">
      <t>コウリョ</t>
    </rPh>
    <rPh sb="6" eb="8">
      <t>フソク</t>
    </rPh>
    <phoneticPr fontId="1"/>
  </si>
  <si>
    <t>機能不足、顧客検収での差し戻し、最終フェーズでの大きな仕様追加、本番クレーム多発</t>
    <rPh sb="0" eb="2">
      <t>キノウ</t>
    </rPh>
    <rPh sb="2" eb="4">
      <t>フソク</t>
    </rPh>
    <rPh sb="5" eb="7">
      <t>コキャク</t>
    </rPh>
    <rPh sb="7" eb="9">
      <t>ケンシュウ</t>
    </rPh>
    <rPh sb="11" eb="14">
      <t>サシモド</t>
    </rPh>
    <rPh sb="16" eb="18">
      <t>サイシュウ</t>
    </rPh>
    <rPh sb="24" eb="25">
      <t>オオ</t>
    </rPh>
    <rPh sb="27" eb="29">
      <t>シヨウ</t>
    </rPh>
    <rPh sb="29" eb="31">
      <t>ツイカ</t>
    </rPh>
    <rPh sb="32" eb="34">
      <t>ホンバン</t>
    </rPh>
    <rPh sb="38" eb="40">
      <t>タハツ</t>
    </rPh>
    <phoneticPr fontId="1"/>
  </si>
  <si>
    <t>クリティカルシステムでの不適切なRAS設計</t>
    <rPh sb="12" eb="15">
      <t>フテキセツ</t>
    </rPh>
    <rPh sb="19" eb="21">
      <t>セッケイ</t>
    </rPh>
    <phoneticPr fontId="1"/>
  </si>
  <si>
    <t>業務停止、人命損傷、多大な損害、重大クレーム、マスコミ報道障害</t>
    <rPh sb="0" eb="2">
      <t>ギョウム</t>
    </rPh>
    <rPh sb="2" eb="4">
      <t>テイシ</t>
    </rPh>
    <rPh sb="5" eb="7">
      <t>ジンメイ</t>
    </rPh>
    <rPh sb="7" eb="9">
      <t>ソンショウ</t>
    </rPh>
    <rPh sb="10" eb="12">
      <t>タダイ</t>
    </rPh>
    <rPh sb="13" eb="15">
      <t>ソンガイ</t>
    </rPh>
    <rPh sb="16" eb="18">
      <t>ジュウダイ</t>
    </rPh>
    <rPh sb="27" eb="29">
      <t>ホウドウ</t>
    </rPh>
    <rPh sb="29" eb="31">
      <t>ショウガイ</t>
    </rPh>
    <phoneticPr fontId="1"/>
  </si>
  <si>
    <t>機密データを扱うシステムでのセキュリティ設計不良</t>
    <rPh sb="0" eb="2">
      <t>キミツ</t>
    </rPh>
    <rPh sb="6" eb="7">
      <t>アツカ</t>
    </rPh>
    <rPh sb="20" eb="22">
      <t>セッケイ</t>
    </rPh>
    <rPh sb="22" eb="24">
      <t>フリョウ</t>
    </rPh>
    <phoneticPr fontId="1"/>
  </si>
  <si>
    <t>機密漏洩事故</t>
    <rPh sb="0" eb="2">
      <t>キミツ</t>
    </rPh>
    <rPh sb="2" eb="4">
      <t>ロウエイ</t>
    </rPh>
    <rPh sb="4" eb="6">
      <t>ジコ</t>
    </rPh>
    <phoneticPr fontId="1"/>
  </si>
  <si>
    <t>大規模開発における設計事項の不十分な文書化</t>
    <rPh sb="0" eb="3">
      <t>ダイキボ</t>
    </rPh>
    <rPh sb="3" eb="5">
      <t>カイハツ</t>
    </rPh>
    <rPh sb="9" eb="11">
      <t>セッケイ</t>
    </rPh>
    <rPh sb="11" eb="13">
      <t>ジコウ</t>
    </rPh>
    <rPh sb="14" eb="17">
      <t>フジュウブン</t>
    </rPh>
    <rPh sb="18" eb="21">
      <t>ブンショカ</t>
    </rPh>
    <phoneticPr fontId="1"/>
  </si>
  <si>
    <t>開発チーム間のコミニュケーションエラー</t>
    <rPh sb="0" eb="2">
      <t>カイハツ</t>
    </rPh>
    <rPh sb="5" eb="6">
      <t>カン</t>
    </rPh>
    <phoneticPr fontId="1"/>
  </si>
  <si>
    <t>データフローダイアグラム未作成</t>
    <rPh sb="12" eb="15">
      <t>ミサクセイ</t>
    </rPh>
    <phoneticPr fontId="1"/>
  </si>
  <si>
    <t>システム内不整合、結合テストケース設計での効率低下</t>
    <rPh sb="4" eb="5">
      <t>ナイ</t>
    </rPh>
    <rPh sb="5" eb="8">
      <t>フセイゴウ</t>
    </rPh>
    <rPh sb="9" eb="11">
      <t>ケツゴウ</t>
    </rPh>
    <rPh sb="17" eb="19">
      <t>セッケイ</t>
    </rPh>
    <rPh sb="21" eb="23">
      <t>コウリツ</t>
    </rPh>
    <rPh sb="23" eb="25">
      <t>テイカ</t>
    </rPh>
    <phoneticPr fontId="1"/>
  </si>
  <si>
    <t>不適切なUI設計、UI設計の詳細化不足</t>
    <rPh sb="0" eb="3">
      <t>フテキセツ</t>
    </rPh>
    <rPh sb="6" eb="8">
      <t>セッケイ</t>
    </rPh>
    <rPh sb="11" eb="13">
      <t>セッケイ</t>
    </rPh>
    <rPh sb="14" eb="17">
      <t>ショウサイカ</t>
    </rPh>
    <rPh sb="17" eb="19">
      <t>フソク</t>
    </rPh>
    <phoneticPr fontId="1"/>
  </si>
  <si>
    <t>検収不合格、頻発する操作性不良、変更要望に歯止めが利かない</t>
    <rPh sb="0" eb="2">
      <t>ケンシュウ</t>
    </rPh>
    <rPh sb="2" eb="3">
      <t>フ</t>
    </rPh>
    <rPh sb="3" eb="5">
      <t>ゴウカク</t>
    </rPh>
    <rPh sb="6" eb="8">
      <t>ヒンパツ</t>
    </rPh>
    <rPh sb="10" eb="13">
      <t>ソウサセイ</t>
    </rPh>
    <rPh sb="13" eb="15">
      <t>フリョウ</t>
    </rPh>
    <rPh sb="16" eb="18">
      <t>ヘンコウ</t>
    </rPh>
    <rPh sb="18" eb="20">
      <t>ヨウボウ</t>
    </rPh>
    <rPh sb="21" eb="23">
      <t>ハド</t>
    </rPh>
    <rPh sb="25" eb="26">
      <t>キ</t>
    </rPh>
    <phoneticPr fontId="1"/>
  </si>
  <si>
    <t>エンドユーザのレビュー不参加</t>
    <rPh sb="11" eb="14">
      <t>フサンカ</t>
    </rPh>
    <phoneticPr fontId="1"/>
  </si>
  <si>
    <t>運用テスト中の変更要望多発</t>
    <rPh sb="0" eb="2">
      <t>ウンヨウ</t>
    </rPh>
    <rPh sb="2" eb="6">
      <t>テストチュウ</t>
    </rPh>
    <rPh sb="7" eb="9">
      <t>ヘンコウ</t>
    </rPh>
    <rPh sb="9" eb="11">
      <t>ヨウボウ</t>
    </rPh>
    <rPh sb="11" eb="13">
      <t>タハツ</t>
    </rPh>
    <phoneticPr fontId="1"/>
  </si>
  <si>
    <t>計算項目の検討不十分</t>
    <rPh sb="0" eb="2">
      <t>ケイサン</t>
    </rPh>
    <rPh sb="2" eb="4">
      <t>コウモク</t>
    </rPh>
    <rPh sb="5" eb="7">
      <t>ケントウ</t>
    </rPh>
    <rPh sb="7" eb="10">
      <t>フジュウブン</t>
    </rPh>
    <phoneticPr fontId="1"/>
  </si>
  <si>
    <t>金額不正等の重要障害</t>
    <rPh sb="0" eb="2">
      <t>キンガク</t>
    </rPh>
    <rPh sb="2" eb="4">
      <t>フセイ</t>
    </rPh>
    <rPh sb="4" eb="5">
      <t>トウ</t>
    </rPh>
    <rPh sb="6" eb="8">
      <t>ジュウヨウ</t>
    </rPh>
    <rPh sb="8" eb="10">
      <t>ショウガイ</t>
    </rPh>
    <phoneticPr fontId="1"/>
  </si>
  <si>
    <t>不明確な外部I/F設計、接続先とのレビュー不足</t>
    <rPh sb="0" eb="3">
      <t>フメイカク</t>
    </rPh>
    <rPh sb="4" eb="6">
      <t>ガイブ</t>
    </rPh>
    <rPh sb="9" eb="11">
      <t>セッケイ</t>
    </rPh>
    <rPh sb="12" eb="14">
      <t>セツゾク</t>
    </rPh>
    <rPh sb="14" eb="15">
      <t>サキ</t>
    </rPh>
    <rPh sb="21" eb="23">
      <t>フソク</t>
    </rPh>
    <phoneticPr fontId="1"/>
  </si>
  <si>
    <t>外部システムとのI/F不良多発、接続テストでの手戻り多発</t>
    <rPh sb="0" eb="2">
      <t>ガイブ</t>
    </rPh>
    <rPh sb="11" eb="13">
      <t>フリョウ</t>
    </rPh>
    <rPh sb="13" eb="15">
      <t>タハツ</t>
    </rPh>
    <rPh sb="16" eb="18">
      <t>セツゾク</t>
    </rPh>
    <rPh sb="23" eb="24">
      <t>テ</t>
    </rPh>
    <rPh sb="24" eb="25">
      <t>モド</t>
    </rPh>
    <rPh sb="26" eb="28">
      <t>タハツ</t>
    </rPh>
    <phoneticPr fontId="1"/>
  </si>
  <si>
    <t>外部システムデータのチェック処理欠落</t>
    <rPh sb="0" eb="2">
      <t>ガイブ</t>
    </rPh>
    <rPh sb="14" eb="16">
      <t>ショリ</t>
    </rPh>
    <rPh sb="16" eb="18">
      <t>ケツラク</t>
    </rPh>
    <phoneticPr fontId="1"/>
  </si>
  <si>
    <t>外部システムデータ不正に伴う調査工数肥大</t>
    <rPh sb="0" eb="2">
      <t>ガイブ</t>
    </rPh>
    <rPh sb="9" eb="11">
      <t>フセイ</t>
    </rPh>
    <rPh sb="12" eb="13">
      <t>トモナ</t>
    </rPh>
    <rPh sb="14" eb="16">
      <t>チョウサ</t>
    </rPh>
    <rPh sb="16" eb="18">
      <t>コウスウ</t>
    </rPh>
    <rPh sb="18" eb="20">
      <t>ヒダイ</t>
    </rPh>
    <phoneticPr fontId="1"/>
  </si>
  <si>
    <t>DB設計不良(情報構造の誤り、項目不足、項目属性不足)</t>
    <rPh sb="2" eb="4">
      <t>セッケイ</t>
    </rPh>
    <rPh sb="4" eb="6">
      <t>フリョウ</t>
    </rPh>
    <rPh sb="7" eb="9">
      <t>ジョウホウ</t>
    </rPh>
    <rPh sb="9" eb="11">
      <t>コウゾウ</t>
    </rPh>
    <rPh sb="12" eb="13">
      <t>アヤマ</t>
    </rPh>
    <phoneticPr fontId="1"/>
  </si>
  <si>
    <t>性能不良、運用不能、重複項目・導出項目のデータ不整合、拡張性の低さ、頻発するDB変更に伴う大量の手戻り、プログラム変更時の修正ミス多発</t>
    <rPh sb="0" eb="2">
      <t>セイノウ</t>
    </rPh>
    <rPh sb="2" eb="4">
      <t>フリョウ</t>
    </rPh>
    <rPh sb="5" eb="7">
      <t>ウンヨウ</t>
    </rPh>
    <rPh sb="7" eb="9">
      <t>フノウ</t>
    </rPh>
    <rPh sb="10" eb="12">
      <t>チョウフク</t>
    </rPh>
    <rPh sb="12" eb="14">
      <t>コウモク</t>
    </rPh>
    <rPh sb="15" eb="17">
      <t>ドウシュツ</t>
    </rPh>
    <rPh sb="17" eb="19">
      <t>コウモク</t>
    </rPh>
    <rPh sb="23" eb="26">
      <t>フセイゴウ</t>
    </rPh>
    <rPh sb="27" eb="30">
      <t>カクチョウセイ</t>
    </rPh>
    <rPh sb="31" eb="32">
      <t>ヒク</t>
    </rPh>
    <rPh sb="34" eb="36">
      <t>ヒンパツ</t>
    </rPh>
    <rPh sb="40" eb="42">
      <t>ヘンコウ</t>
    </rPh>
    <rPh sb="43" eb="44">
      <t>トモナ</t>
    </rPh>
    <rPh sb="45" eb="47">
      <t>タイリョウ</t>
    </rPh>
    <rPh sb="48" eb="49">
      <t>テ</t>
    </rPh>
    <rPh sb="49" eb="50">
      <t>モド</t>
    </rPh>
    <rPh sb="57" eb="59">
      <t>ヘンコウ</t>
    </rPh>
    <rPh sb="59" eb="60">
      <t>ジ</t>
    </rPh>
    <rPh sb="61" eb="63">
      <t>シュウセイ</t>
    </rPh>
    <rPh sb="65" eb="67">
      <t>タハツ</t>
    </rPh>
    <phoneticPr fontId="1"/>
  </si>
  <si>
    <t>キャパシティ設計検討不十分</t>
    <rPh sb="6" eb="8">
      <t>セッケイ</t>
    </rPh>
    <rPh sb="8" eb="10">
      <t>ケントウ</t>
    </rPh>
    <rPh sb="10" eb="13">
      <t>フジュウブン</t>
    </rPh>
    <phoneticPr fontId="1"/>
  </si>
  <si>
    <t>ディスク領域枯渇、性能不良</t>
    <rPh sb="4" eb="6">
      <t>リョウイキ</t>
    </rPh>
    <rPh sb="6" eb="8">
      <t>コカツ</t>
    </rPh>
    <rPh sb="9" eb="11">
      <t>セイノウ</t>
    </rPh>
    <rPh sb="11" eb="13">
      <t>フリョウ</t>
    </rPh>
    <phoneticPr fontId="1"/>
  </si>
  <si>
    <t>インフラ設計検討不十分</t>
    <rPh sb="4" eb="6">
      <t>セッケイ</t>
    </rPh>
    <rPh sb="6" eb="8">
      <t>ケントウ</t>
    </rPh>
    <rPh sb="8" eb="11">
      <t>フジュウブン</t>
    </rPh>
    <phoneticPr fontId="1"/>
  </si>
  <si>
    <t>AP開発の工数肥大、チューニング工数肥大</t>
    <rPh sb="2" eb="4">
      <t>カイハツ</t>
    </rPh>
    <rPh sb="5" eb="7">
      <t>コウスウ</t>
    </rPh>
    <rPh sb="7" eb="9">
      <t>ヒダイ</t>
    </rPh>
    <rPh sb="16" eb="18">
      <t>コウスウ</t>
    </rPh>
    <rPh sb="18" eb="20">
      <t>ヒダイ</t>
    </rPh>
    <phoneticPr fontId="1"/>
  </si>
  <si>
    <t>共通モジュール設計遅延</t>
    <rPh sb="0" eb="2">
      <t>キョウツウ</t>
    </rPh>
    <rPh sb="7" eb="9">
      <t>セッケイ</t>
    </rPh>
    <rPh sb="9" eb="11">
      <t>チエン</t>
    </rPh>
    <phoneticPr fontId="1"/>
  </si>
  <si>
    <t>内部(詳細)設計遅延</t>
    <rPh sb="0" eb="2">
      <t>ナイブ</t>
    </rPh>
    <rPh sb="3" eb="5">
      <t>ショウサイ</t>
    </rPh>
    <rPh sb="6" eb="8">
      <t>セッケイ</t>
    </rPh>
    <rPh sb="8" eb="10">
      <t>チエン</t>
    </rPh>
    <phoneticPr fontId="1"/>
  </si>
  <si>
    <t>上流設計(要求分析、要件定義、外部(基本)設計)の品質不良、システム化目的の未達成</t>
    <rPh sb="0" eb="2">
      <t>ジョウリュウ</t>
    </rPh>
    <rPh sb="2" eb="4">
      <t>セッケイ</t>
    </rPh>
    <rPh sb="5" eb="7">
      <t>ヨウキュウ</t>
    </rPh>
    <rPh sb="7" eb="9">
      <t>ブンセキ</t>
    </rPh>
    <rPh sb="10" eb="12">
      <t>ヨウケン</t>
    </rPh>
    <rPh sb="12" eb="14">
      <t>テイギ</t>
    </rPh>
    <rPh sb="15" eb="17">
      <t>ガイブ</t>
    </rPh>
    <rPh sb="18" eb="20">
      <t>キホン</t>
    </rPh>
    <rPh sb="21" eb="23">
      <t>セッケイ</t>
    </rPh>
    <rPh sb="25" eb="27">
      <t>ヒンシツ</t>
    </rPh>
    <rPh sb="27" eb="29">
      <t>フリョウ</t>
    </rPh>
    <phoneticPr fontId="1"/>
  </si>
  <si>
    <t>後工程での膨大な手戻り</t>
    <rPh sb="0" eb="1">
      <t>アト</t>
    </rPh>
    <rPh sb="1" eb="3">
      <t>コウテイ</t>
    </rPh>
    <rPh sb="5" eb="7">
      <t>ボウダイ</t>
    </rPh>
    <rPh sb="8" eb="9">
      <t>テ</t>
    </rPh>
    <rPh sb="9" eb="10">
      <t>モド</t>
    </rPh>
    <phoneticPr fontId="1"/>
  </si>
  <si>
    <t>業務知識不足、稚拙な仕様策定交渉</t>
    <rPh sb="0" eb="2">
      <t>ギョウム</t>
    </rPh>
    <rPh sb="2" eb="4">
      <t>チシキ</t>
    </rPh>
    <rPh sb="4" eb="6">
      <t>フソク</t>
    </rPh>
    <rPh sb="7" eb="9">
      <t>チセツ</t>
    </rPh>
    <rPh sb="10" eb="12">
      <t>シヨウ</t>
    </rPh>
    <rPh sb="12" eb="14">
      <t>サクテイ</t>
    </rPh>
    <rPh sb="14" eb="16">
      <t>コウショウ</t>
    </rPh>
    <phoneticPr fontId="1"/>
  </si>
  <si>
    <t>仕様肥大による工程遅延、コストオーバー</t>
    <rPh sb="0" eb="2">
      <t>シヨウ</t>
    </rPh>
    <rPh sb="2" eb="4">
      <t>ヒダイ</t>
    </rPh>
    <rPh sb="7" eb="9">
      <t>コウテイ</t>
    </rPh>
    <rPh sb="9" eb="11">
      <t>チエン</t>
    </rPh>
    <phoneticPr fontId="1"/>
  </si>
  <si>
    <t>運用管理設計不良
・ソフトウェア配付設計漏れ
・障害対応設計検討不十分
・バックアップ、ジャーナル取得漏れ</t>
    <rPh sb="0" eb="2">
      <t>ウンヨウ</t>
    </rPh>
    <rPh sb="2" eb="4">
      <t>カンリ</t>
    </rPh>
    <rPh sb="4" eb="6">
      <t>セッケイ</t>
    </rPh>
    <rPh sb="6" eb="8">
      <t>フリョウ</t>
    </rPh>
    <rPh sb="16" eb="18">
      <t>ハイフ</t>
    </rPh>
    <rPh sb="18" eb="20">
      <t>セッケイ</t>
    </rPh>
    <rPh sb="20" eb="21">
      <t>モ</t>
    </rPh>
    <phoneticPr fontId="1"/>
  </si>
  <si>
    <t>ソフトウェアインストールの作業コスト負担、マシン障害時の対応工数肥大、ダウン時間の増大、瑕疵担保保証期間のコスト増大、復旧不能障害</t>
    <rPh sb="13" eb="15">
      <t>サギョウ</t>
    </rPh>
    <rPh sb="18" eb="20">
      <t>フタン</t>
    </rPh>
    <phoneticPr fontId="1"/>
  </si>
  <si>
    <t>内部(詳細)設計</t>
    <rPh sb="0" eb="2">
      <t>ナイブ</t>
    </rPh>
    <rPh sb="3" eb="5">
      <t>ショウサイ</t>
    </rPh>
    <rPh sb="6" eb="8">
      <t>セッケイ</t>
    </rPh>
    <phoneticPr fontId="1"/>
  </si>
  <si>
    <t>内部(詳細)設計の問題
・実装設計不十分
・不適切なモジュール分割設計
・ドキュメント省略またはレビュー不十分
・保守ドキュメント省略</t>
    <rPh sb="0" eb="2">
      <t>ナイブ</t>
    </rPh>
    <rPh sb="3" eb="5">
      <t>ショウサイ</t>
    </rPh>
    <rPh sb="6" eb="8">
      <t>セッケイ</t>
    </rPh>
    <rPh sb="9" eb="11">
      <t>モンダイ</t>
    </rPh>
    <rPh sb="13" eb="15">
      <t>ジッソウ</t>
    </rPh>
    <rPh sb="15" eb="17">
      <t>セッケイ</t>
    </rPh>
    <rPh sb="17" eb="20">
      <t>フジュウブン</t>
    </rPh>
    <rPh sb="22" eb="25">
      <t>フテキセツ</t>
    </rPh>
    <rPh sb="31" eb="33">
      <t>ブンカツ</t>
    </rPh>
    <rPh sb="33" eb="35">
      <t>セッケイ</t>
    </rPh>
    <rPh sb="43" eb="45">
      <t>ショウリャク</t>
    </rPh>
    <rPh sb="52" eb="55">
      <t>フジュウブン</t>
    </rPh>
    <rPh sb="57" eb="59">
      <t>ホシュ</t>
    </rPh>
    <rPh sb="65" eb="67">
      <t>ショウリャク</t>
    </rPh>
    <phoneticPr fontId="1"/>
  </si>
  <si>
    <t>プログラミング工程からの手戻り、バグ多発、保守性低下、作り直し、単体テスト漏れ、性能不良、テスト不能、応援要員の無効化</t>
    <rPh sb="7" eb="9">
      <t>コウテイ</t>
    </rPh>
    <rPh sb="12" eb="13">
      <t>テ</t>
    </rPh>
    <rPh sb="13" eb="14">
      <t>モド</t>
    </rPh>
    <rPh sb="18" eb="20">
      <t>タハツ</t>
    </rPh>
    <rPh sb="21" eb="24">
      <t>ホシュセイ</t>
    </rPh>
    <rPh sb="24" eb="26">
      <t>テイカ</t>
    </rPh>
    <rPh sb="27" eb="30">
      <t>ツクリナオ</t>
    </rPh>
    <rPh sb="32" eb="34">
      <t>タンタイ</t>
    </rPh>
    <rPh sb="37" eb="38">
      <t>モ</t>
    </rPh>
    <rPh sb="40" eb="42">
      <t>セイノウ</t>
    </rPh>
    <rPh sb="42" eb="44">
      <t>フリョウ</t>
    </rPh>
    <rPh sb="48" eb="50">
      <t>フノウ</t>
    </rPh>
    <rPh sb="51" eb="53">
      <t>オウエン</t>
    </rPh>
    <rPh sb="53" eb="55">
      <t>ヨウイン</t>
    </rPh>
    <rPh sb="56" eb="59">
      <t>ムコウカ</t>
    </rPh>
    <phoneticPr fontId="1"/>
  </si>
  <si>
    <t>管理</t>
    <rPh sb="0" eb="2">
      <t>カンリ</t>
    </rPh>
    <phoneticPr fontId="1"/>
  </si>
  <si>
    <t>取引先選定</t>
    <rPh sb="0" eb="2">
      <t>トリヒキ</t>
    </rPh>
    <rPh sb="2" eb="3">
      <t>サキ</t>
    </rPh>
    <rPh sb="3" eb="5">
      <t>センテイ</t>
    </rPh>
    <phoneticPr fontId="1"/>
  </si>
  <si>
    <t>新規外部委託先への発注
・新規取引先への外注
・外部委託先メンバー変更
・外部委託先未経験分野、未経験規模</t>
    <rPh sb="0" eb="2">
      <t>シンキ</t>
    </rPh>
    <rPh sb="2" eb="4">
      <t>ガイブ</t>
    </rPh>
    <rPh sb="4" eb="6">
      <t>イタク</t>
    </rPh>
    <rPh sb="6" eb="7">
      <t>サキ</t>
    </rPh>
    <rPh sb="9" eb="11">
      <t>ハッチュウ</t>
    </rPh>
    <rPh sb="13" eb="15">
      <t>シンキ</t>
    </rPh>
    <rPh sb="15" eb="17">
      <t>トリヒキ</t>
    </rPh>
    <rPh sb="17" eb="18">
      <t>サキ</t>
    </rPh>
    <rPh sb="20" eb="22">
      <t>ガイチュウ</t>
    </rPh>
    <rPh sb="24" eb="26">
      <t>ガイブ</t>
    </rPh>
    <rPh sb="26" eb="28">
      <t>イタク</t>
    </rPh>
    <rPh sb="28" eb="29">
      <t>サキ</t>
    </rPh>
    <rPh sb="33" eb="35">
      <t>ヘンコウ</t>
    </rPh>
    <rPh sb="37" eb="39">
      <t>ガイブ</t>
    </rPh>
    <rPh sb="39" eb="41">
      <t>イタク</t>
    </rPh>
    <rPh sb="41" eb="42">
      <t>サキ</t>
    </rPh>
    <rPh sb="42" eb="45">
      <t>ミケイケン</t>
    </rPh>
    <rPh sb="45" eb="47">
      <t>ブンヤ</t>
    </rPh>
    <rPh sb="48" eb="51">
      <t>ミケイケン</t>
    </rPh>
    <rPh sb="51" eb="53">
      <t>キボ</t>
    </rPh>
    <phoneticPr fontId="1"/>
  </si>
  <si>
    <t>外部委託先関連トラブル</t>
    <rPh sb="0" eb="2">
      <t>ガイブ</t>
    </rPh>
    <rPh sb="2" eb="4">
      <t>イタク</t>
    </rPh>
    <rPh sb="4" eb="5">
      <t>サキ</t>
    </rPh>
    <rPh sb="5" eb="7">
      <t>カンレン</t>
    </rPh>
    <phoneticPr fontId="1"/>
  </si>
  <si>
    <t>与信以上の発注、外注先経営者の無責任体質</t>
    <rPh sb="0" eb="2">
      <t>ヨシン</t>
    </rPh>
    <rPh sb="2" eb="4">
      <t>イジョウ</t>
    </rPh>
    <rPh sb="5" eb="7">
      <t>ハッチュウ</t>
    </rPh>
    <phoneticPr fontId="1"/>
  </si>
  <si>
    <t>外部委託先ギブアップ、外部委託先トンズラ、外部委託先倒産、外部委託先への追加支払</t>
    <rPh sb="0" eb="2">
      <t>ガイブ</t>
    </rPh>
    <rPh sb="2" eb="4">
      <t>イタク</t>
    </rPh>
    <rPh sb="4" eb="5">
      <t>サキ</t>
    </rPh>
    <rPh sb="11" eb="13">
      <t>ガイブ</t>
    </rPh>
    <rPh sb="13" eb="15">
      <t>イタク</t>
    </rPh>
    <rPh sb="15" eb="16">
      <t>サキ</t>
    </rPh>
    <rPh sb="21" eb="23">
      <t>ガイブ</t>
    </rPh>
    <rPh sb="23" eb="25">
      <t>イタク</t>
    </rPh>
    <rPh sb="25" eb="26">
      <t>サキ</t>
    </rPh>
    <rPh sb="26" eb="28">
      <t>トウサン</t>
    </rPh>
    <rPh sb="29" eb="31">
      <t>ガイブ</t>
    </rPh>
    <rPh sb="31" eb="33">
      <t>イタク</t>
    </rPh>
    <rPh sb="33" eb="34">
      <t>サキ</t>
    </rPh>
    <rPh sb="36" eb="38">
      <t>ツイカ</t>
    </rPh>
    <rPh sb="38" eb="40">
      <t>シハライ</t>
    </rPh>
    <phoneticPr fontId="1"/>
  </si>
  <si>
    <t>外部委託先担当者との面談不足
・外部委託先担当者のスキル不足(管理、設計技術、製造技術等)
・外部委託先のCQMS知識不足</t>
    <rPh sb="0" eb="2">
      <t>ガイブ</t>
    </rPh>
    <rPh sb="2" eb="4">
      <t>イタク</t>
    </rPh>
    <rPh sb="16" eb="18">
      <t>ガイブ</t>
    </rPh>
    <rPh sb="18" eb="20">
      <t>イタク</t>
    </rPh>
    <rPh sb="20" eb="21">
      <t>サキ</t>
    </rPh>
    <rPh sb="21" eb="24">
      <t>タントウシャ</t>
    </rPh>
    <rPh sb="28" eb="30">
      <t>フソク</t>
    </rPh>
    <rPh sb="47" eb="49">
      <t>ガイブ</t>
    </rPh>
    <rPh sb="49" eb="51">
      <t>イタク</t>
    </rPh>
    <phoneticPr fontId="1"/>
  </si>
  <si>
    <t>品質不良、工程遅延</t>
    <rPh sb="0" eb="2">
      <t>ヒンシツ</t>
    </rPh>
    <rPh sb="2" eb="4">
      <t>フリョウ</t>
    </rPh>
    <rPh sb="5" eb="7">
      <t>コウテイ</t>
    </rPh>
    <rPh sb="7" eb="9">
      <t>チエン</t>
    </rPh>
    <phoneticPr fontId="1"/>
  </si>
  <si>
    <t>2社以上への分散発注</t>
    <rPh sb="0" eb="2">
      <t>２シャ</t>
    </rPh>
    <rPh sb="2" eb="4">
      <t>イジョウ</t>
    </rPh>
    <rPh sb="6" eb="8">
      <t>ブンサン</t>
    </rPh>
    <rPh sb="8" eb="10">
      <t>ハッチュウ</t>
    </rPh>
    <phoneticPr fontId="1"/>
  </si>
  <si>
    <t>2社間の調整工数発生、責任範囲の欠落・重複、1社の遅延による他社への補償費用発生、仕様不統一、整合性不良、標準化作業の当社負担</t>
    <rPh sb="0" eb="3">
      <t>２シャカン</t>
    </rPh>
    <rPh sb="4" eb="6">
      <t>チョウセイ</t>
    </rPh>
    <rPh sb="6" eb="8">
      <t>コウスウ</t>
    </rPh>
    <rPh sb="8" eb="10">
      <t>ハッセイ</t>
    </rPh>
    <rPh sb="11" eb="13">
      <t>セキニン</t>
    </rPh>
    <rPh sb="13" eb="15">
      <t>ハンイ</t>
    </rPh>
    <rPh sb="16" eb="18">
      <t>ケツラク</t>
    </rPh>
    <rPh sb="19" eb="21">
      <t>チョウフク</t>
    </rPh>
    <rPh sb="22" eb="24">
      <t>１シャ</t>
    </rPh>
    <rPh sb="25" eb="27">
      <t>チエン</t>
    </rPh>
    <rPh sb="30" eb="32">
      <t>タシャ</t>
    </rPh>
    <rPh sb="34" eb="36">
      <t>ホショウ</t>
    </rPh>
    <rPh sb="36" eb="38">
      <t>ヒヨウ</t>
    </rPh>
    <rPh sb="38" eb="40">
      <t>ハッセイ</t>
    </rPh>
    <rPh sb="41" eb="43">
      <t>シヨウ</t>
    </rPh>
    <rPh sb="43" eb="46">
      <t>フトウイツ</t>
    </rPh>
    <rPh sb="47" eb="50">
      <t>セイゴウセイ</t>
    </rPh>
    <rPh sb="50" eb="52">
      <t>フリョウ</t>
    </rPh>
    <rPh sb="53" eb="56">
      <t>ヒョウジュンカ</t>
    </rPh>
    <rPh sb="56" eb="58">
      <t>サギョウ</t>
    </rPh>
    <rPh sb="59" eb="61">
      <t>トウシャ</t>
    </rPh>
    <rPh sb="61" eb="63">
      <t>フタン</t>
    </rPh>
    <phoneticPr fontId="1"/>
  </si>
  <si>
    <t>外部委託見積評価ミス</t>
    <rPh sb="0" eb="2">
      <t>ガイブ</t>
    </rPh>
    <rPh sb="2" eb="4">
      <t>イタク</t>
    </rPh>
    <rPh sb="4" eb="6">
      <t>ミツモリ</t>
    </rPh>
    <rPh sb="6" eb="8">
      <t>ヒョウカ</t>
    </rPh>
    <phoneticPr fontId="1"/>
  </si>
  <si>
    <t>外部委託先遅延、外部委託先ギブアップ</t>
    <rPh sb="0" eb="2">
      <t>ガイブ</t>
    </rPh>
    <rPh sb="2" eb="4">
      <t>イタク</t>
    </rPh>
    <rPh sb="4" eb="5">
      <t>サキ</t>
    </rPh>
    <rPh sb="5" eb="7">
      <t>チエン</t>
    </rPh>
    <rPh sb="8" eb="10">
      <t>ガイブ</t>
    </rPh>
    <rPh sb="10" eb="12">
      <t>イタク</t>
    </rPh>
    <rPh sb="12" eb="13">
      <t>サキ</t>
    </rPh>
    <phoneticPr fontId="1"/>
  </si>
  <si>
    <t>契約管理(外部委託)</t>
    <rPh sb="0" eb="2">
      <t>ケイヤク</t>
    </rPh>
    <rPh sb="2" eb="4">
      <t>カンリ</t>
    </rPh>
    <rPh sb="5" eb="7">
      <t>ガイブ</t>
    </rPh>
    <rPh sb="7" eb="9">
      <t>イタク</t>
    </rPh>
    <phoneticPr fontId="1"/>
  </si>
  <si>
    <t>外部委託先との保守契約条件未決定</t>
    <rPh sb="0" eb="2">
      <t>ガイブ</t>
    </rPh>
    <rPh sb="2" eb="4">
      <t>イタク</t>
    </rPh>
    <rPh sb="4" eb="5">
      <t>サキ</t>
    </rPh>
    <rPh sb="7" eb="9">
      <t>ホシュ</t>
    </rPh>
    <rPh sb="9" eb="11">
      <t>ケイヤク</t>
    </rPh>
    <rPh sb="11" eb="13">
      <t>ジョウケン</t>
    </rPh>
    <rPh sb="13" eb="16">
      <t>ミケッテイ</t>
    </rPh>
    <phoneticPr fontId="1"/>
  </si>
  <si>
    <t>保守不能</t>
    <rPh sb="0" eb="2">
      <t>ホシュ</t>
    </rPh>
    <rPh sb="2" eb="4">
      <t>フノウ</t>
    </rPh>
    <phoneticPr fontId="1"/>
  </si>
  <si>
    <t>外部委託先合意形成不足、外部委託契約確認不足
・不明確な発注作業、発注工程
・不明確な最終成果物の仕様
・不明確な作業条件
・不明確な外部委託品納期
・不明確または不十分な成果物およびその品質基準
・不明確な外部委託先管理方法(報告内容、提出物、レビュー、立ち入り検査)
・不明確な各社責任範囲</t>
    <rPh sb="0" eb="2">
      <t>ガイブ</t>
    </rPh>
    <rPh sb="2" eb="4">
      <t>イタク</t>
    </rPh>
    <rPh sb="4" eb="5">
      <t>サキ</t>
    </rPh>
    <rPh sb="5" eb="7">
      <t>ゴウイ</t>
    </rPh>
    <rPh sb="7" eb="9">
      <t>ケイセイ</t>
    </rPh>
    <rPh sb="9" eb="11">
      <t>フソク</t>
    </rPh>
    <rPh sb="12" eb="14">
      <t>ガイブ</t>
    </rPh>
    <rPh sb="14" eb="16">
      <t>イタク</t>
    </rPh>
    <rPh sb="67" eb="69">
      <t>ガイブ</t>
    </rPh>
    <rPh sb="69" eb="71">
      <t>イタク</t>
    </rPh>
    <rPh sb="104" eb="106">
      <t>ガイブ</t>
    </rPh>
    <rPh sb="106" eb="108">
      <t>イタク</t>
    </rPh>
    <rPh sb="108" eb="109">
      <t>サキ</t>
    </rPh>
    <rPh sb="137" eb="140">
      <t>フメイカク</t>
    </rPh>
    <rPh sb="141" eb="143">
      <t>カクシャ</t>
    </rPh>
    <rPh sb="143" eb="145">
      <t>セキニン</t>
    </rPh>
    <rPh sb="145" eb="147">
      <t>ハンイ</t>
    </rPh>
    <phoneticPr fontId="1"/>
  </si>
  <si>
    <t>外部委託先納期遅延、外部委託品品質不良、追加外部委託費用、発注キャンセル、外部委託先ギブアップ、外部委託先管理不能、保守ドキュメント未完成</t>
    <rPh sb="0" eb="2">
      <t>ガイブ</t>
    </rPh>
    <rPh sb="2" eb="4">
      <t>イタク</t>
    </rPh>
    <rPh sb="10" eb="12">
      <t>ガイブ</t>
    </rPh>
    <rPh sb="12" eb="14">
      <t>イタク</t>
    </rPh>
    <rPh sb="22" eb="24">
      <t>ガイブ</t>
    </rPh>
    <rPh sb="24" eb="26">
      <t>イタク</t>
    </rPh>
    <rPh sb="37" eb="39">
      <t>ガイブ</t>
    </rPh>
    <rPh sb="39" eb="41">
      <t>イタク</t>
    </rPh>
    <rPh sb="48" eb="50">
      <t>ガイブ</t>
    </rPh>
    <rPh sb="50" eb="52">
      <t>イタク</t>
    </rPh>
    <rPh sb="52" eb="53">
      <t>サキ</t>
    </rPh>
    <rPh sb="58" eb="60">
      <t>ホシュ</t>
    </rPh>
    <rPh sb="66" eb="69">
      <t>ミカンセイ</t>
    </rPh>
    <phoneticPr fontId="1"/>
  </si>
  <si>
    <t>先行着手の口頭内示</t>
    <rPh sb="0" eb="2">
      <t>センコウ</t>
    </rPh>
    <rPh sb="2" eb="4">
      <t>チャクシュ</t>
    </rPh>
    <rPh sb="5" eb="7">
      <t>コウトウ</t>
    </rPh>
    <rPh sb="7" eb="9">
      <t>ナイジ</t>
    </rPh>
    <phoneticPr fontId="1"/>
  </si>
  <si>
    <t>キャンセル時の出費、契約時の発注額増大</t>
    <rPh sb="5" eb="6">
      <t>ジ</t>
    </rPh>
    <rPh sb="7" eb="9">
      <t>シュッピ</t>
    </rPh>
    <rPh sb="10" eb="12">
      <t>ケイヤク</t>
    </rPh>
    <rPh sb="12" eb="13">
      <t>ジ</t>
    </rPh>
    <rPh sb="14" eb="16">
      <t>ハッチュウ</t>
    </rPh>
    <rPh sb="16" eb="17">
      <t>ガク</t>
    </rPh>
    <rPh sb="17" eb="19">
      <t>ゾウダイ</t>
    </rPh>
    <phoneticPr fontId="1"/>
  </si>
  <si>
    <t>外部委託先管理</t>
    <rPh sb="0" eb="2">
      <t>ガイブ</t>
    </rPh>
    <rPh sb="2" eb="4">
      <t>イタク</t>
    </rPh>
    <rPh sb="4" eb="5">
      <t>サキ</t>
    </rPh>
    <rPh sb="5" eb="7">
      <t>カンリ</t>
    </rPh>
    <phoneticPr fontId="1"/>
  </si>
  <si>
    <t>受入検査省略または不十分な受入検査</t>
    <rPh sb="0" eb="2">
      <t>ウケイレ</t>
    </rPh>
    <rPh sb="2" eb="4">
      <t>ケンサ</t>
    </rPh>
    <rPh sb="4" eb="6">
      <t>ショウリャク</t>
    </rPh>
    <rPh sb="9" eb="12">
      <t>フジュウブン</t>
    </rPh>
    <rPh sb="13" eb="15">
      <t>ウケイレ</t>
    </rPh>
    <rPh sb="15" eb="17">
      <t>ケンサ</t>
    </rPh>
    <phoneticPr fontId="1"/>
  </si>
  <si>
    <t>外部委託品品質不良リカバリのための追加コスト、納期遅延</t>
    <rPh sb="0" eb="2">
      <t>ガイブ</t>
    </rPh>
    <rPh sb="2" eb="4">
      <t>イタク</t>
    </rPh>
    <rPh sb="4" eb="5">
      <t>ヒン</t>
    </rPh>
    <rPh sb="5" eb="7">
      <t>ヒンシツ</t>
    </rPh>
    <rPh sb="7" eb="9">
      <t>フリョウ</t>
    </rPh>
    <rPh sb="17" eb="19">
      <t>ツイカ</t>
    </rPh>
    <rPh sb="23" eb="25">
      <t>ノウキ</t>
    </rPh>
    <rPh sb="25" eb="27">
      <t>チエン</t>
    </rPh>
    <phoneticPr fontId="1"/>
  </si>
  <si>
    <t>外部委託先からの報告精度不良</t>
    <rPh sb="0" eb="2">
      <t>ガイブ</t>
    </rPh>
    <rPh sb="2" eb="4">
      <t>イタク</t>
    </rPh>
    <rPh sb="4" eb="5">
      <t>サキ</t>
    </rPh>
    <rPh sb="8" eb="10">
      <t>ホウコク</t>
    </rPh>
    <rPh sb="10" eb="12">
      <t>セイド</t>
    </rPh>
    <rPh sb="12" eb="14">
      <t>フリョウ</t>
    </rPh>
    <phoneticPr fontId="1"/>
  </si>
  <si>
    <t>問題発見の遅れが事態を深刻化</t>
    <rPh sb="0" eb="2">
      <t>モンダイ</t>
    </rPh>
    <rPh sb="2" eb="4">
      <t>ハッケン</t>
    </rPh>
    <rPh sb="5" eb="6">
      <t>オク</t>
    </rPh>
    <rPh sb="8" eb="10">
      <t>ジタイ</t>
    </rPh>
    <rPh sb="11" eb="14">
      <t>シンコクカ</t>
    </rPh>
    <phoneticPr fontId="1"/>
  </si>
  <si>
    <t>無責任な外部委託先依存</t>
    <rPh sb="0" eb="3">
      <t>ムセキニン</t>
    </rPh>
    <rPh sb="4" eb="6">
      <t>ガイブ</t>
    </rPh>
    <rPh sb="6" eb="8">
      <t>イタク</t>
    </rPh>
    <rPh sb="8" eb="9">
      <t>サキ</t>
    </rPh>
    <rPh sb="9" eb="11">
      <t>イゾン</t>
    </rPh>
    <phoneticPr fontId="1"/>
  </si>
  <si>
    <t>プロジェクト崩れ</t>
    <rPh sb="6" eb="7">
      <t>クズ</t>
    </rPh>
    <phoneticPr fontId="1"/>
  </si>
  <si>
    <t>プロジェクト管理</t>
    <rPh sb="6" eb="8">
      <t>カンリ</t>
    </rPh>
    <phoneticPr fontId="1"/>
  </si>
  <si>
    <t>報告に頼った定性的な進捗管理</t>
    <phoneticPr fontId="1"/>
  </si>
  <si>
    <t>工程遅延の発見遅れ</t>
    <rPh sb="0" eb="2">
      <t>コウテイ</t>
    </rPh>
    <rPh sb="2" eb="4">
      <t>チエン</t>
    </rPh>
    <rPh sb="5" eb="7">
      <t>ハッケン</t>
    </rPh>
    <rPh sb="7" eb="8">
      <t>オク</t>
    </rPh>
    <phoneticPr fontId="1"/>
  </si>
  <si>
    <t>開発要員のモチベーション低下、モラル不足</t>
    <rPh sb="0" eb="2">
      <t>カイハツ</t>
    </rPh>
    <rPh sb="2" eb="4">
      <t>ヨウイン</t>
    </rPh>
    <rPh sb="12" eb="14">
      <t>テイカ</t>
    </rPh>
    <rPh sb="18" eb="20">
      <t>フソク</t>
    </rPh>
    <phoneticPr fontId="1"/>
  </si>
  <si>
    <t>生産性低下、品質不良、工程遅延</t>
    <rPh sb="0" eb="3">
      <t>セイサンセイ</t>
    </rPh>
    <rPh sb="3" eb="5">
      <t>テイカ</t>
    </rPh>
    <rPh sb="6" eb="8">
      <t>ヒンシツ</t>
    </rPh>
    <rPh sb="8" eb="10">
      <t>フリョウ</t>
    </rPh>
    <rPh sb="11" eb="13">
      <t>コウテイ</t>
    </rPh>
    <rPh sb="13" eb="15">
      <t>チエン</t>
    </rPh>
    <phoneticPr fontId="1"/>
  </si>
  <si>
    <t>コミニュケーション不十分(プロジェクト内)</t>
    <rPh sb="9" eb="12">
      <t>フジュウブン</t>
    </rPh>
    <rPh sb="19" eb="20">
      <t>ナイ</t>
    </rPh>
    <phoneticPr fontId="1"/>
  </si>
  <si>
    <t>設計変更連絡漏れ、仕様伝達不十分、作業の重複</t>
    <rPh sb="0" eb="2">
      <t>セッケイ</t>
    </rPh>
    <rPh sb="2" eb="4">
      <t>ヘンコウ</t>
    </rPh>
    <rPh sb="4" eb="6">
      <t>レンラク</t>
    </rPh>
    <rPh sb="6" eb="7">
      <t>モ</t>
    </rPh>
    <rPh sb="9" eb="11">
      <t>シヨウ</t>
    </rPh>
    <rPh sb="11" eb="13">
      <t>デンタツ</t>
    </rPh>
    <rPh sb="13" eb="16">
      <t>フジュウブン</t>
    </rPh>
    <rPh sb="17" eb="19">
      <t>サギョウ</t>
    </rPh>
    <rPh sb="20" eb="22">
      <t>チョウフク</t>
    </rPh>
    <phoneticPr fontId="1"/>
  </si>
  <si>
    <t>コミニュケーション不十分(プロジェクト外)</t>
    <rPh sb="9" eb="12">
      <t>フジュウブン</t>
    </rPh>
    <rPh sb="19" eb="20">
      <t>ソト</t>
    </rPh>
    <phoneticPr fontId="1"/>
  </si>
  <si>
    <t>顧客ニーズの把握不足、営業担当情報の把握不足、外注先へのクレーム遅延</t>
    <rPh sb="0" eb="2">
      <t>コキャク</t>
    </rPh>
    <rPh sb="6" eb="8">
      <t>ハアク</t>
    </rPh>
    <rPh sb="8" eb="10">
      <t>フソク</t>
    </rPh>
    <rPh sb="11" eb="13">
      <t>エイギョウ</t>
    </rPh>
    <rPh sb="13" eb="15">
      <t>タントウ</t>
    </rPh>
    <rPh sb="15" eb="17">
      <t>ジョウホウ</t>
    </rPh>
    <rPh sb="18" eb="20">
      <t>ハアク</t>
    </rPh>
    <rPh sb="20" eb="22">
      <t>フソク</t>
    </rPh>
    <rPh sb="23" eb="26">
      <t>ガイチュウサキ</t>
    </rPh>
    <rPh sb="32" eb="34">
      <t>チエン</t>
    </rPh>
    <phoneticPr fontId="1"/>
  </si>
  <si>
    <t>当社の工程遅延</t>
    <phoneticPr fontId="1"/>
  </si>
  <si>
    <t>外部システム開発への影響により損害賠償</t>
    <rPh sb="0" eb="2">
      <t>ガイブ</t>
    </rPh>
    <rPh sb="6" eb="8">
      <t>カイハツ</t>
    </rPh>
    <rPh sb="10" eb="12">
      <t>エイキョウ</t>
    </rPh>
    <rPh sb="15" eb="17">
      <t>ソンガイ</t>
    </rPh>
    <rPh sb="17" eb="19">
      <t>バイショウ</t>
    </rPh>
    <phoneticPr fontId="1"/>
  </si>
  <si>
    <t>不適切な変更管理、構成管理</t>
    <rPh sb="0" eb="3">
      <t>フテキセツ</t>
    </rPh>
    <rPh sb="4" eb="6">
      <t>ヘンコウ</t>
    </rPh>
    <rPh sb="6" eb="8">
      <t>カンリ</t>
    </rPh>
    <rPh sb="9" eb="11">
      <t>コウセイ</t>
    </rPh>
    <rPh sb="11" eb="13">
      <t>カンリ</t>
    </rPh>
    <phoneticPr fontId="1"/>
  </si>
  <si>
    <t>デグレード、修正ミスの多発</t>
    <rPh sb="6" eb="8">
      <t>シュウセイ</t>
    </rPh>
    <rPh sb="11" eb="13">
      <t>タハツ</t>
    </rPh>
    <phoneticPr fontId="1"/>
  </si>
  <si>
    <t>不適切な原価管理</t>
    <rPh sb="0" eb="3">
      <t>フテキセツ</t>
    </rPh>
    <rPh sb="4" eb="6">
      <t>ゲンカ</t>
    </rPh>
    <rPh sb="6" eb="8">
      <t>カンリ</t>
    </rPh>
    <phoneticPr fontId="1"/>
  </si>
  <si>
    <t>コストオーバー</t>
    <phoneticPr fontId="1"/>
  </si>
  <si>
    <t>不適切な機密管理</t>
    <rPh sb="0" eb="3">
      <t>フテキセツ</t>
    </rPh>
    <rPh sb="4" eb="6">
      <t>キミツ</t>
    </rPh>
    <rPh sb="6" eb="8">
      <t>カンリ</t>
    </rPh>
    <phoneticPr fontId="1"/>
  </si>
  <si>
    <t>不適切な開発環境管理、バックアップの欠落</t>
    <rPh sb="0" eb="3">
      <t>フテキセツ</t>
    </rPh>
    <rPh sb="4" eb="6">
      <t>カイハツ</t>
    </rPh>
    <rPh sb="6" eb="8">
      <t>カンキョウ</t>
    </rPh>
    <rPh sb="8" eb="10">
      <t>カンリ</t>
    </rPh>
    <rPh sb="18" eb="20">
      <t>ケツラク</t>
    </rPh>
    <phoneticPr fontId="1"/>
  </si>
  <si>
    <t>ソース、データの破壊に伴う手戻り</t>
    <rPh sb="8" eb="10">
      <t>ハカイ</t>
    </rPh>
    <rPh sb="11" eb="12">
      <t>トモナ</t>
    </rPh>
    <rPh sb="13" eb="14">
      <t>テ</t>
    </rPh>
    <rPh sb="14" eb="15">
      <t>モド</t>
    </rPh>
    <phoneticPr fontId="1"/>
  </si>
  <si>
    <t>ウィルス感染防止</t>
    <rPh sb="4" eb="6">
      <t>カンセン</t>
    </rPh>
    <rPh sb="6" eb="8">
      <t>ボウシ</t>
    </rPh>
    <phoneticPr fontId="1"/>
  </si>
  <si>
    <t>ウィルスの社外流出</t>
    <rPh sb="5" eb="7">
      <t>シャガイ</t>
    </rPh>
    <rPh sb="7" eb="9">
      <t>リュウシュツ</t>
    </rPh>
    <phoneticPr fontId="1"/>
  </si>
  <si>
    <t>工程遅延状態および品質状況の把握不十分
・遅延回復に必要な情報が不十分
・リカバリの難易度が不明
・エキスパートによる妥当性評価(必要スキル、期間など)なし</t>
    <rPh sb="0" eb="2">
      <t>コウテイ</t>
    </rPh>
    <rPh sb="2" eb="4">
      <t>チエン</t>
    </rPh>
    <rPh sb="4" eb="6">
      <t>ジョウタイ</t>
    </rPh>
    <rPh sb="9" eb="11">
      <t>ヒンシツ</t>
    </rPh>
    <rPh sb="11" eb="13">
      <t>ジョウキョウ</t>
    </rPh>
    <rPh sb="14" eb="16">
      <t>ハアク</t>
    </rPh>
    <rPh sb="16" eb="19">
      <t>フジュウブン</t>
    </rPh>
    <rPh sb="21" eb="23">
      <t>チエン</t>
    </rPh>
    <rPh sb="23" eb="25">
      <t>カイフク</t>
    </rPh>
    <rPh sb="26" eb="28">
      <t>ヒツヨウ</t>
    </rPh>
    <rPh sb="29" eb="31">
      <t>ジョウホウ</t>
    </rPh>
    <rPh sb="32" eb="35">
      <t>フジュウブン</t>
    </rPh>
    <rPh sb="42" eb="45">
      <t>ナンイド</t>
    </rPh>
    <rPh sb="46" eb="48">
      <t>フメイ</t>
    </rPh>
    <rPh sb="59" eb="62">
      <t>ダトウセイ</t>
    </rPh>
    <rPh sb="62" eb="64">
      <t>ヒョウカ</t>
    </rPh>
    <rPh sb="65" eb="67">
      <t>ヒツヨウ</t>
    </rPh>
    <rPh sb="71" eb="73">
      <t>キカン</t>
    </rPh>
    <phoneticPr fontId="1"/>
  </si>
  <si>
    <t>リカバリ不充分(テスト時であればテスト不充分)、品質不良、問題の先延ばし</t>
    <rPh sb="4" eb="7">
      <t>フジュウブン</t>
    </rPh>
    <rPh sb="11" eb="12">
      <t>ドキ</t>
    </rPh>
    <rPh sb="19" eb="22">
      <t>フジュウブン</t>
    </rPh>
    <rPh sb="24" eb="26">
      <t>ヒンシツ</t>
    </rPh>
    <rPh sb="26" eb="28">
      <t>フリョウ</t>
    </rPh>
    <rPh sb="29" eb="31">
      <t>モンダイ</t>
    </rPh>
    <rPh sb="32" eb="34">
      <t>サキノ</t>
    </rPh>
    <phoneticPr fontId="1"/>
  </si>
  <si>
    <t>製造</t>
    <rPh sb="0" eb="2">
      <t>セイゾウ</t>
    </rPh>
    <phoneticPr fontId="1"/>
  </si>
  <si>
    <t>テスト</t>
    <phoneticPr fontId="1"/>
  </si>
  <si>
    <t>流用母体の品質不良</t>
    <rPh sb="0" eb="2">
      <t>リュウヨウ</t>
    </rPh>
    <rPh sb="2" eb="4">
      <t>ボタイ</t>
    </rPh>
    <rPh sb="5" eb="7">
      <t>ヒンシツ</t>
    </rPh>
    <rPh sb="7" eb="9">
      <t>フリョウ</t>
    </rPh>
    <phoneticPr fontId="1"/>
  </si>
  <si>
    <t>デバッグ時間の肥大、修正時の影響分析漏れ多発</t>
    <rPh sb="4" eb="6">
      <t>ジカン</t>
    </rPh>
    <rPh sb="7" eb="9">
      <t>ヒダイ</t>
    </rPh>
    <rPh sb="10" eb="12">
      <t>シュウセイ</t>
    </rPh>
    <rPh sb="12" eb="13">
      <t>ジ</t>
    </rPh>
    <rPh sb="14" eb="16">
      <t>エイキョウ</t>
    </rPh>
    <rPh sb="16" eb="18">
      <t>ブンセキ</t>
    </rPh>
    <rPh sb="18" eb="19">
      <t>モ</t>
    </rPh>
    <rPh sb="20" eb="22">
      <t>タハツ</t>
    </rPh>
    <phoneticPr fontId="1"/>
  </si>
  <si>
    <t>システムテスト(検収条件確認)不足</t>
    <rPh sb="8" eb="10">
      <t>ケンシュウ</t>
    </rPh>
    <rPh sb="10" eb="12">
      <t>ジョウケン</t>
    </rPh>
    <rPh sb="12" eb="14">
      <t>カクニン</t>
    </rPh>
    <rPh sb="15" eb="17">
      <t>フソク</t>
    </rPh>
    <phoneticPr fontId="1"/>
  </si>
  <si>
    <t>検収不合格、重大な手戻り</t>
    <rPh sb="0" eb="2">
      <t>ケンシュウ</t>
    </rPh>
    <rPh sb="2" eb="3">
      <t>フ</t>
    </rPh>
    <rPh sb="3" eb="5">
      <t>ゴウカク</t>
    </rPh>
    <rPh sb="6" eb="8">
      <t>ジュウダイ</t>
    </rPh>
    <rPh sb="9" eb="10">
      <t>テ</t>
    </rPh>
    <rPh sb="10" eb="11">
      <t>モド</t>
    </rPh>
    <phoneticPr fontId="1"/>
  </si>
  <si>
    <t>システムテスト(本番環境テスト)不足</t>
    <rPh sb="8" eb="10">
      <t>ホンバン</t>
    </rPh>
    <rPh sb="10" eb="12">
      <t>カンキョウ</t>
    </rPh>
    <rPh sb="16" eb="18">
      <t>フソク</t>
    </rPh>
    <phoneticPr fontId="1"/>
  </si>
  <si>
    <t>性能不良、高負荷でダウン、予定外のデータにより業務結果不正、ディスク容量不足、メモリ不足でダウン、障害回復不能、機密漏洩事故</t>
    <rPh sb="0" eb="2">
      <t>セイノウ</t>
    </rPh>
    <rPh sb="2" eb="4">
      <t>フリョウ</t>
    </rPh>
    <rPh sb="5" eb="6">
      <t>コウ</t>
    </rPh>
    <rPh sb="6" eb="8">
      <t>フカ</t>
    </rPh>
    <rPh sb="13" eb="16">
      <t>ヨテイガイ</t>
    </rPh>
    <rPh sb="23" eb="25">
      <t>ギョウム</t>
    </rPh>
    <rPh sb="25" eb="27">
      <t>ケッカ</t>
    </rPh>
    <rPh sb="27" eb="29">
      <t>フセイ</t>
    </rPh>
    <rPh sb="34" eb="36">
      <t>ヨウリョウ</t>
    </rPh>
    <rPh sb="36" eb="38">
      <t>フソク</t>
    </rPh>
    <rPh sb="42" eb="44">
      <t>フソク</t>
    </rPh>
    <rPh sb="49" eb="51">
      <t>ショウガイジ</t>
    </rPh>
    <rPh sb="51" eb="53">
      <t>カイフク</t>
    </rPh>
    <rPh sb="53" eb="55">
      <t>フノウ</t>
    </rPh>
    <rPh sb="56" eb="58">
      <t>キミツ</t>
    </rPh>
    <rPh sb="58" eb="60">
      <t>ロウエイ</t>
    </rPh>
    <rPh sb="60" eb="62">
      <t>ジコ</t>
    </rPh>
    <phoneticPr fontId="1"/>
  </si>
  <si>
    <t>結合テスト不足(テスト密度、テスト網羅度)</t>
    <rPh sb="0" eb="2">
      <t>ケツゴウ</t>
    </rPh>
    <rPh sb="5" eb="7">
      <t>フソク</t>
    </rPh>
    <phoneticPr fontId="1"/>
  </si>
  <si>
    <t>業務結果不正、運用不能、設計不良見逃し、データ不整合見逃し、検収不合格、データリカバリコスト増大、検証時間増大、手戻りが大きな出荷後障害</t>
    <rPh sb="0" eb="2">
      <t>ギョウム</t>
    </rPh>
    <rPh sb="2" eb="4">
      <t>ケッカ</t>
    </rPh>
    <rPh sb="4" eb="6">
      <t>フセイ</t>
    </rPh>
    <rPh sb="7" eb="9">
      <t>ウンヨウ</t>
    </rPh>
    <rPh sb="9" eb="11">
      <t>フノウ</t>
    </rPh>
    <rPh sb="12" eb="14">
      <t>セッケイ</t>
    </rPh>
    <rPh sb="14" eb="16">
      <t>フリョウ</t>
    </rPh>
    <rPh sb="16" eb="18">
      <t>ミノガ</t>
    </rPh>
    <rPh sb="23" eb="26">
      <t>フセイゴウ</t>
    </rPh>
    <rPh sb="26" eb="28">
      <t>ミノガ</t>
    </rPh>
    <rPh sb="30" eb="32">
      <t>ケンシュウ</t>
    </rPh>
    <rPh sb="32" eb="33">
      <t>フ</t>
    </rPh>
    <rPh sb="33" eb="35">
      <t>ゴウカク</t>
    </rPh>
    <rPh sb="46" eb="48">
      <t>ゾウダイ</t>
    </rPh>
    <rPh sb="49" eb="51">
      <t>ケンショウ</t>
    </rPh>
    <rPh sb="51" eb="53">
      <t>ジカン</t>
    </rPh>
    <rPh sb="53" eb="55">
      <t>ゾウダイ</t>
    </rPh>
    <rPh sb="56" eb="57">
      <t>テ</t>
    </rPh>
    <rPh sb="57" eb="58">
      <t>モド</t>
    </rPh>
    <rPh sb="60" eb="61">
      <t>オオ</t>
    </rPh>
    <rPh sb="63" eb="65">
      <t>シュッカ</t>
    </rPh>
    <rPh sb="65" eb="66">
      <t>ゴ</t>
    </rPh>
    <rPh sb="66" eb="68">
      <t>ショウガイ</t>
    </rPh>
    <phoneticPr fontId="1"/>
  </si>
  <si>
    <t>単体テスト不足(テスト密度、テスト網羅度)</t>
    <rPh sb="0" eb="2">
      <t>タンタイ</t>
    </rPh>
    <rPh sb="5" eb="7">
      <t>フソク</t>
    </rPh>
    <rPh sb="11" eb="13">
      <t>ミツド</t>
    </rPh>
    <rPh sb="17" eb="19">
      <t>モウラ</t>
    </rPh>
    <rPh sb="19" eb="20">
      <t>ド</t>
    </rPh>
    <phoneticPr fontId="1"/>
  </si>
  <si>
    <t>後工程の効率低下、結合テストの停滞、例外発生時の出荷後障害、境界条件での不具合多発</t>
    <rPh sb="0" eb="1">
      <t>アト</t>
    </rPh>
    <rPh sb="1" eb="3">
      <t>コウテイ</t>
    </rPh>
    <rPh sb="4" eb="6">
      <t>コウリツ</t>
    </rPh>
    <rPh sb="6" eb="8">
      <t>テイカ</t>
    </rPh>
    <rPh sb="9" eb="11">
      <t>ケツゴウ</t>
    </rPh>
    <rPh sb="15" eb="17">
      <t>テイタイ</t>
    </rPh>
    <rPh sb="18" eb="20">
      <t>レイガイ</t>
    </rPh>
    <rPh sb="20" eb="22">
      <t>ハッセイ</t>
    </rPh>
    <rPh sb="22" eb="23">
      <t>ジ</t>
    </rPh>
    <rPh sb="24" eb="26">
      <t>シュッカ</t>
    </rPh>
    <rPh sb="26" eb="27">
      <t>ゴ</t>
    </rPh>
    <rPh sb="27" eb="29">
      <t>ショウガイ</t>
    </rPh>
    <rPh sb="30" eb="32">
      <t>キョウカイ</t>
    </rPh>
    <rPh sb="32" eb="34">
      <t>ジョウケン</t>
    </rPh>
    <rPh sb="36" eb="39">
      <t>フグアイ</t>
    </rPh>
    <rPh sb="39" eb="41">
      <t>タハツ</t>
    </rPh>
    <phoneticPr fontId="1"/>
  </si>
  <si>
    <t>稼働環境(ＯＳ、マシン、ブラウザ種類、ＰＤＡ種類、ソフトバージョン)テストの不足</t>
    <rPh sb="0" eb="2">
      <t>カドウ</t>
    </rPh>
    <rPh sb="2" eb="4">
      <t>カンキョウ</t>
    </rPh>
    <rPh sb="16" eb="18">
      <t>シュルイ</t>
    </rPh>
    <rPh sb="22" eb="24">
      <t>シュルイ</t>
    </rPh>
    <rPh sb="38" eb="40">
      <t>フソク</t>
    </rPh>
    <phoneticPr fontId="1"/>
  </si>
  <si>
    <t>環境依存の不具合、環境側不具合によるワークアラウンド、テスト工数の肥大</t>
    <rPh sb="0" eb="2">
      <t>カンキョウ</t>
    </rPh>
    <rPh sb="2" eb="4">
      <t>イゾン</t>
    </rPh>
    <rPh sb="5" eb="8">
      <t>フグアイ</t>
    </rPh>
    <rPh sb="9" eb="11">
      <t>カンキョウ</t>
    </rPh>
    <rPh sb="11" eb="12">
      <t>ガワ</t>
    </rPh>
    <rPh sb="12" eb="15">
      <t>フグアイ</t>
    </rPh>
    <rPh sb="30" eb="32">
      <t>コウスウ</t>
    </rPh>
    <rPh sb="33" eb="35">
      <t>ヒダイ</t>
    </rPh>
    <phoneticPr fontId="1"/>
  </si>
  <si>
    <t>移行</t>
    <rPh sb="0" eb="2">
      <t>イコウ</t>
    </rPh>
    <phoneticPr fontId="1"/>
  </si>
  <si>
    <t>移行作業ミス</t>
    <rPh sb="0" eb="2">
      <t>イコウ</t>
    </rPh>
    <rPh sb="2" eb="4">
      <t>サギョウ</t>
    </rPh>
    <phoneticPr fontId="1"/>
  </si>
  <si>
    <t>データ消失、業務停止</t>
    <rPh sb="3" eb="5">
      <t>ショウシツ</t>
    </rPh>
    <rPh sb="6" eb="8">
      <t>ギョウム</t>
    </rPh>
    <rPh sb="8" eb="10">
      <t>テイシ</t>
    </rPh>
    <phoneticPr fontId="1"/>
  </si>
  <si>
    <t>データ移行結果確認不足</t>
    <rPh sb="3" eb="5">
      <t>イコウ</t>
    </rPh>
    <rPh sb="5" eb="7">
      <t>ケッカ</t>
    </rPh>
    <rPh sb="7" eb="9">
      <t>カクニン</t>
    </rPh>
    <rPh sb="9" eb="11">
      <t>フソク</t>
    </rPh>
    <phoneticPr fontId="1"/>
  </si>
  <si>
    <t>データ破壊、重大障害</t>
    <rPh sb="3" eb="5">
      <t>ハカイ</t>
    </rPh>
    <rPh sb="6" eb="8">
      <t>ジュウダイ</t>
    </rPh>
    <rPh sb="8" eb="10">
      <t>ショウガイ</t>
    </rPh>
    <phoneticPr fontId="1"/>
  </si>
  <si>
    <t>本番移行リスクの検討不足</t>
    <rPh sb="0" eb="2">
      <t>ホンバン</t>
    </rPh>
    <rPh sb="2" eb="4">
      <t>イコウ</t>
    </rPh>
    <rPh sb="8" eb="10">
      <t>ケントウ</t>
    </rPh>
    <rPh sb="10" eb="12">
      <t>フソク</t>
    </rPh>
    <phoneticPr fontId="1"/>
  </si>
  <si>
    <t>業務停止、重大障害</t>
    <rPh sb="0" eb="2">
      <t>ギョウム</t>
    </rPh>
    <rPh sb="2" eb="4">
      <t>テイシ</t>
    </rPh>
    <rPh sb="5" eb="7">
      <t>ジュウダイ</t>
    </rPh>
    <rPh sb="7" eb="9">
      <t>ショウガイ</t>
    </rPh>
    <phoneticPr fontId="1"/>
  </si>
  <si>
    <t>リスク観点リスト</t>
    <rPh sb="3" eb="5">
      <t>カンテン</t>
    </rPh>
    <phoneticPr fontId="1"/>
  </si>
  <si>
    <t xml:space="preserve">  </t>
    <phoneticPr fontId="1"/>
  </si>
  <si>
    <t>該当なし</t>
    <phoneticPr fontId="1"/>
  </si>
  <si>
    <t>1.スコープ定義&gt;1.顧客</t>
    <rPh sb="11" eb="13">
      <t>コキャク</t>
    </rPh>
    <phoneticPr fontId="1"/>
  </si>
  <si>
    <t>1.スコープ定義&gt;2.顧客・体制</t>
    <rPh sb="11" eb="13">
      <t>コキャク</t>
    </rPh>
    <rPh sb="14" eb="16">
      <t>タイセイ</t>
    </rPh>
    <phoneticPr fontId="1"/>
  </si>
  <si>
    <t>1.スコープ定義&gt;3.顧客・契約</t>
    <rPh sb="11" eb="13">
      <t>コキャク</t>
    </rPh>
    <rPh sb="14" eb="16">
      <t>ケイヤク</t>
    </rPh>
    <phoneticPr fontId="1"/>
  </si>
  <si>
    <t>1.スコープ定義&gt;4.社内・体制</t>
    <rPh sb="11" eb="13">
      <t>シャナイ</t>
    </rPh>
    <rPh sb="14" eb="16">
      <t>タイセイ</t>
    </rPh>
    <phoneticPr fontId="1"/>
  </si>
  <si>
    <t>1.スコープ定義&gt;5.工期・納期</t>
    <rPh sb="11" eb="13">
      <t>コウキ</t>
    </rPh>
    <rPh sb="14" eb="16">
      <t>ノウキ</t>
    </rPh>
    <phoneticPr fontId="1"/>
  </si>
  <si>
    <t>2.要件洗い出し&gt;6.役割・責任</t>
    <phoneticPr fontId="1"/>
  </si>
  <si>
    <t>2.要件洗い出し&gt;7.コミュニケーション</t>
    <phoneticPr fontId="1"/>
  </si>
  <si>
    <t>2.要件洗い出し&gt;8.要求・要件</t>
    <phoneticPr fontId="1"/>
  </si>
  <si>
    <t>2.要件洗い出し&gt;9.要求・要件</t>
    <phoneticPr fontId="1"/>
  </si>
  <si>
    <t>2.要件洗い出し&gt;10.要求・要件</t>
    <phoneticPr fontId="1"/>
  </si>
  <si>
    <t>2.要件洗い出し&gt;11.要件・難易度</t>
    <phoneticPr fontId="1"/>
  </si>
  <si>
    <t>2.要件洗い出し&gt;12.要件・法令</t>
    <rPh sb="15" eb="17">
      <t>ホウレイ</t>
    </rPh>
    <phoneticPr fontId="1"/>
  </si>
  <si>
    <t>2.要件洗い出し&gt;13.要件・コンプライアンス</t>
    <phoneticPr fontId="1"/>
  </si>
  <si>
    <t>2.要件洗い出し&gt;14.パッケージ・製品</t>
    <rPh sb="18" eb="20">
      <t>セイヒン</t>
    </rPh>
    <phoneticPr fontId="1"/>
  </si>
  <si>
    <t>2.要件洗い出し&gt;15.AIシステム</t>
    <phoneticPr fontId="1"/>
  </si>
  <si>
    <t>3.作業洗い出し(WBS)&gt;16.成果物、タスク</t>
    <phoneticPr fontId="1"/>
  </si>
  <si>
    <t>3.作業洗い出し(WBS)&gt;17.パッケージ・製品</t>
    <rPh sb="23" eb="25">
      <t>セイヒン</t>
    </rPh>
    <phoneticPr fontId="1"/>
  </si>
  <si>
    <t>3.作業洗い出し(WBS)&gt;18.オフショア</t>
    <phoneticPr fontId="1"/>
  </si>
  <si>
    <t>4.要員計画&gt;19.PM</t>
    <phoneticPr fontId="1"/>
  </si>
  <si>
    <t>4.要員計画&gt;20.社内・体制</t>
    <phoneticPr fontId="1"/>
  </si>
  <si>
    <t>4.要員計画&gt;21.社内・組織支援</t>
    <phoneticPr fontId="1"/>
  </si>
  <si>
    <t>4.要員計画&gt;22.委託先・見積</t>
    <phoneticPr fontId="1"/>
  </si>
  <si>
    <t>4.要員計画&gt;23.委託先・動員力</t>
    <phoneticPr fontId="1"/>
  </si>
  <si>
    <t>4.要員計画&gt;24.委託先・経営状況</t>
    <phoneticPr fontId="1"/>
  </si>
  <si>
    <t>4.要員計画&gt;25.パッケージ・製品</t>
    <rPh sb="16" eb="18">
      <t>セイヒン</t>
    </rPh>
    <phoneticPr fontId="1"/>
  </si>
  <si>
    <t>5.作業計画&gt;26.成果物、タスク</t>
    <phoneticPr fontId="1"/>
  </si>
  <si>
    <t>改　訂　履　歴</t>
    <rPh sb="0" eb="1">
      <t>カイ</t>
    </rPh>
    <rPh sb="2" eb="3">
      <t>テイ</t>
    </rPh>
    <rPh sb="4" eb="5">
      <t>クツ</t>
    </rPh>
    <rPh sb="6" eb="7">
      <t>レキ</t>
    </rPh>
    <phoneticPr fontId="1"/>
  </si>
  <si>
    <t>版数</t>
    <rPh sb="0" eb="2">
      <t>ハンスウ</t>
    </rPh>
    <phoneticPr fontId="1"/>
  </si>
  <si>
    <t>改訂日</t>
    <rPh sb="0" eb="2">
      <t>カイテイ</t>
    </rPh>
    <rPh sb="2" eb="3">
      <t>ビ</t>
    </rPh>
    <phoneticPr fontId="1"/>
  </si>
  <si>
    <t>改訂内容</t>
    <rPh sb="0" eb="2">
      <t>カイテイ</t>
    </rPh>
    <rPh sb="2" eb="4">
      <t>ナイヨウ</t>
    </rPh>
    <phoneticPr fontId="1"/>
  </si>
  <si>
    <t>改訂者</t>
    <rPh sb="0" eb="2">
      <t>カイテイ</t>
    </rPh>
    <rPh sb="2" eb="3">
      <t>シャ</t>
    </rPh>
    <phoneticPr fontId="1"/>
  </si>
  <si>
    <t>改訂指摘番号</t>
    <rPh sb="0" eb="2">
      <t>カイテイ</t>
    </rPh>
    <rPh sb="2" eb="4">
      <t>シテキ</t>
    </rPh>
    <rPh sb="4" eb="6">
      <t>バンゴウ</t>
    </rPh>
    <phoneticPr fontId="1"/>
  </si>
  <si>
    <t>08.00</t>
    <phoneticPr fontId="1"/>
  </si>
  <si>
    <t>案件チェックリスト運用説明シート
　・案件規模の説明を修正
案件チェックリスト
　・案件規模のカテゴリを「3000万円以上」「全案件」の
　2種類に変更
　・承認欄の文言を修正
リスク管理計画立案手順ガイド
　・シート名「【NEW】リスク管理計画立案手順ガイド」の
　【NEW】を削除
リスク管理計画シート、リスク管理計画立案手順ガイド
　・シート上部にリスク見直し/実績を管理する表を追加
　・リスク管理計画表に「リスク状況確認日」「確認結果」
　「確認状況」項目を追加
　・「対応方針」を追加し、プルダウンリストにて回避、転嫁、
　軽減、受容を選択
　・表の項目行の金額記載を修正「M\」⇒「\M」
　・その他体裁を修正</t>
    <rPh sb="0" eb="2">
      <t>アンケン</t>
    </rPh>
    <rPh sb="9" eb="11">
      <t>ウンヨウ</t>
    </rPh>
    <rPh sb="11" eb="13">
      <t>セツメイ</t>
    </rPh>
    <rPh sb="19" eb="21">
      <t>アンケン</t>
    </rPh>
    <rPh sb="21" eb="23">
      <t>キボ</t>
    </rPh>
    <rPh sb="24" eb="26">
      <t>セツメイ</t>
    </rPh>
    <rPh sb="27" eb="29">
      <t>シュウセイ</t>
    </rPh>
    <rPh sb="30" eb="32">
      <t>アンケン</t>
    </rPh>
    <rPh sb="42" eb="44">
      <t>アンケン</t>
    </rPh>
    <rPh sb="44" eb="46">
      <t>キボ</t>
    </rPh>
    <rPh sb="57" eb="59">
      <t>マンエン</t>
    </rPh>
    <rPh sb="59" eb="61">
      <t>イジョウ</t>
    </rPh>
    <rPh sb="63" eb="64">
      <t>ゼン</t>
    </rPh>
    <rPh sb="64" eb="66">
      <t>アンケン</t>
    </rPh>
    <rPh sb="71" eb="73">
      <t>シュルイ</t>
    </rPh>
    <rPh sb="74" eb="76">
      <t>ヘンコウ</t>
    </rPh>
    <phoneticPr fontId="1"/>
  </si>
  <si>
    <t>全社CQMS事務局</t>
    <rPh sb="0" eb="2">
      <t>ゼンシャ</t>
    </rPh>
    <rPh sb="6" eb="9">
      <t>ジムキョク</t>
    </rPh>
    <phoneticPr fontId="1"/>
  </si>
  <si>
    <t>09.00</t>
    <phoneticPr fontId="1"/>
  </si>
  <si>
    <t>CQMSバージョン更新</t>
    <phoneticPr fontId="1"/>
  </si>
  <si>
    <t>09.01</t>
    <phoneticPr fontId="1"/>
  </si>
  <si>
    <t>案件チェックリスト説明
　・説明内容の現状の運用方法に合わせ、全体的に修正
案件チェックリスト
　・契約違反時の損害賠償の上限金額
　　契約違反時の損害賠償の上限金額有無を選択する
　　欄を追加
　・チェック項番No.12
　　顧客要求/要件に、全社管理の法律、法令以外で個別に
　　遵守すべき法律が含まれるかを確認する項目を追加
　・捺印欄を削除
　・全体的な誤字脱字、体裁の修正
リスク管理計画シート
　・リスク観点
　　案件チェックリストの項目追加に伴い、リスク観点の
　　プルダウンを修正
　・全体的な誤字脱字、体裁を修正</t>
    <rPh sb="14" eb="16">
      <t>セツメイ</t>
    </rPh>
    <rPh sb="16" eb="18">
      <t>ナイヨウ</t>
    </rPh>
    <rPh sb="19" eb="21">
      <t>ゲンジョウ</t>
    </rPh>
    <rPh sb="22" eb="24">
      <t>ウンヨウ</t>
    </rPh>
    <rPh sb="24" eb="26">
      <t>ホウホウ</t>
    </rPh>
    <rPh sb="27" eb="28">
      <t>ア</t>
    </rPh>
    <rPh sb="31" eb="34">
      <t>ゼンタイテキ</t>
    </rPh>
    <rPh sb="35" eb="37">
      <t>シュウセイ</t>
    </rPh>
    <rPh sb="83" eb="85">
      <t>ウム</t>
    </rPh>
    <rPh sb="86" eb="88">
      <t>センタク</t>
    </rPh>
    <rPh sb="104" eb="106">
      <t>コウバン</t>
    </rPh>
    <rPh sb="150" eb="151">
      <t>フク</t>
    </rPh>
    <rPh sb="156" eb="158">
      <t>カクニン</t>
    </rPh>
    <rPh sb="160" eb="162">
      <t>コウモク</t>
    </rPh>
    <rPh sb="163" eb="165">
      <t>ツイカ</t>
    </rPh>
    <rPh sb="168" eb="170">
      <t>ナツイン</t>
    </rPh>
    <rPh sb="170" eb="171">
      <t>ラン</t>
    </rPh>
    <rPh sb="172" eb="174">
      <t>サクジョ</t>
    </rPh>
    <rPh sb="177" eb="180">
      <t>ゼンタイテキ</t>
    </rPh>
    <rPh sb="181" eb="183">
      <t>ゴジ</t>
    </rPh>
    <rPh sb="183" eb="185">
      <t>ダツジ</t>
    </rPh>
    <rPh sb="186" eb="188">
      <t>テイサイ</t>
    </rPh>
    <rPh sb="189" eb="191">
      <t>シュウセイ</t>
    </rPh>
    <phoneticPr fontId="1"/>
  </si>
  <si>
    <t>FY19-036
FY19-042</t>
    <phoneticPr fontId="1"/>
  </si>
  <si>
    <t>09.10</t>
    <phoneticPr fontId="1"/>
  </si>
  <si>
    <t>案件チェックリスト
　・チェック項番No.12
　　チェック項目と回答の記述に矛盾があったため、文言を
　　修正
　　説明欄についても表現を修正
　・大項目「4.工数見積」
　　現状はチェック項目がないため、大項目を削除</t>
    <rPh sb="0" eb="2">
      <t>アンケン</t>
    </rPh>
    <rPh sb="16" eb="18">
      <t>コウバン</t>
    </rPh>
    <rPh sb="30" eb="32">
      <t>コウモク</t>
    </rPh>
    <rPh sb="33" eb="35">
      <t>カイトウ</t>
    </rPh>
    <rPh sb="36" eb="38">
      <t>キジュツ</t>
    </rPh>
    <rPh sb="39" eb="41">
      <t>ムジュン</t>
    </rPh>
    <rPh sb="48" eb="50">
      <t>モンゴン</t>
    </rPh>
    <rPh sb="54" eb="56">
      <t>シュウセイ</t>
    </rPh>
    <rPh sb="59" eb="61">
      <t>セツメイ</t>
    </rPh>
    <rPh sb="61" eb="62">
      <t>ラン</t>
    </rPh>
    <rPh sb="67" eb="69">
      <t>ヒョウゲン</t>
    </rPh>
    <rPh sb="70" eb="72">
      <t>シュウセイ</t>
    </rPh>
    <rPh sb="89" eb="91">
      <t>ゲンジョウ</t>
    </rPh>
    <rPh sb="96" eb="98">
      <t>コウモク</t>
    </rPh>
    <rPh sb="104" eb="107">
      <t>ダイコウモク</t>
    </rPh>
    <rPh sb="108" eb="110">
      <t>サクジョ</t>
    </rPh>
    <phoneticPr fontId="1"/>
  </si>
  <si>
    <t>FY20-020
FY20-021</t>
    <phoneticPr fontId="1"/>
  </si>
  <si>
    <t>09.30</t>
  </si>
  <si>
    <t>リスク管理計画立案手順ガイド
　・手順①の「被害金額」の表現を、「リスクが顕在化したとき
　　に必要となる対応コスト」に修正
　・リスク顕在化前の記入項目であることがわかるように
　　「対応策」を「リスクを顕在化させないための対応策」に
　　文言を変更
   ・リスク対応方針「受容、軽減、回避、転嫁」の説明を記載
　・「リスク顕在化による対応費用実績(\M)」の項目は
　　「手順6」とし、最終列に移動
リスク管理計画シート
　・項目「対応方針」上部に、リスク対応方針の説明への
　　リンクを追加
　・ リスク顕在化前の記入項目であることがわかるように
　　「対応策」を「リスクを顕在化させないための対応策」に
　　文言を変更
　・「対応期限」の項目をK列からL列へ変更
　・「リスク顕在化による対応費用実績(\M)」を最終列に移動</t>
    <rPh sb="17" eb="20">
      <t>テジュン1</t>
    </rPh>
    <rPh sb="22" eb="26">
      <t>ヒガイキンガク</t>
    </rPh>
    <rPh sb="28" eb="30">
      <t>ヒョウゲン</t>
    </rPh>
    <rPh sb="60" eb="62">
      <t>シュウセイ</t>
    </rPh>
    <rPh sb="134" eb="138">
      <t>タイオウホウシン</t>
    </rPh>
    <rPh sb="217" eb="219">
      <t>コウモク</t>
    </rPh>
    <rPh sb="220" eb="224">
      <t>タイオウホウシン</t>
    </rPh>
    <rPh sb="225" eb="227">
      <t>ジョウブ</t>
    </rPh>
    <rPh sb="237" eb="239">
      <t>セツメイ</t>
    </rPh>
    <rPh sb="248" eb="250">
      <t>ツイカ</t>
    </rPh>
    <phoneticPr fontId="1"/>
  </si>
  <si>
    <t>全社CQMS事務局</t>
  </si>
  <si>
    <t>FY22-011
FY22-023</t>
    <phoneticPr fontId="1"/>
  </si>
  <si>
    <t>09.31</t>
    <phoneticPr fontId="1"/>
  </si>
  <si>
    <t xml:space="preserve">案件チェックリスト
　・チェック項番15 AIシステムを追加　
リスク観点リスト
　・2.要件洗い出し&gt;15.AIシステム を追加
</t>
    <phoneticPr fontId="1"/>
  </si>
  <si>
    <t>FY23-031</t>
    <phoneticPr fontId="1"/>
  </si>
  <si>
    <t>09.50</t>
    <phoneticPr fontId="1"/>
  </si>
  <si>
    <t xml:space="preserve">案件チェックリスト
  ・No.15 AIリスクのチェックに使用するガイドラインを
   『AI利活用ガイドライン』から『AIシステム開発・提供ガイド
    ライン』に変更
</t>
    <rPh sb="0" eb="2">
      <t>アンケン</t>
    </rPh>
    <rPh sb="30" eb="32">
      <t>シヨウ</t>
    </rPh>
    <rPh sb="48" eb="51">
      <t>リカツヨウ</t>
    </rPh>
    <rPh sb="67" eb="69">
      <t>カイハツ</t>
    </rPh>
    <rPh sb="70" eb="72">
      <t>テイキョウ</t>
    </rPh>
    <rPh sb="85" eb="87">
      <t>ヘンコウ</t>
    </rPh>
    <phoneticPr fontId="1"/>
  </si>
  <si>
    <t>FY24-058</t>
    <phoneticPr fontId="1"/>
  </si>
  <si>
    <t>①スコープ定義</t>
    <phoneticPr fontId="1"/>
  </si>
  <si>
    <t>1.顧客</t>
    <rPh sb="2" eb="4">
      <t>コキャク</t>
    </rPh>
    <phoneticPr fontId="1"/>
  </si>
  <si>
    <t>2.顧客・体制</t>
    <rPh sb="2" eb="4">
      <t>コキャク</t>
    </rPh>
    <rPh sb="5" eb="7">
      <t>タイセイ</t>
    </rPh>
    <phoneticPr fontId="1"/>
  </si>
  <si>
    <t>3.顧客・契約</t>
    <rPh sb="2" eb="4">
      <t>コキャク</t>
    </rPh>
    <rPh sb="5" eb="7">
      <t>ケイヤク</t>
    </rPh>
    <phoneticPr fontId="1"/>
  </si>
  <si>
    <t>4.顧客・予算</t>
    <rPh sb="2" eb="4">
      <t>コキャク</t>
    </rPh>
    <rPh sb="5" eb="7">
      <t>ヨサン</t>
    </rPh>
    <phoneticPr fontId="1"/>
  </si>
  <si>
    <t>5.社内・体制</t>
    <rPh sb="2" eb="4">
      <t>シャナイ</t>
    </rPh>
    <rPh sb="5" eb="7">
      <t>タイセイ</t>
    </rPh>
    <phoneticPr fontId="1"/>
  </si>
  <si>
    <t>6.工期・納期</t>
    <rPh sb="2" eb="4">
      <t>コウキ</t>
    </rPh>
    <rPh sb="5" eb="7">
      <t>ノウキ</t>
    </rPh>
    <phoneticPr fontId="1"/>
  </si>
  <si>
    <t>②要件洗い出し</t>
    <phoneticPr fontId="1"/>
  </si>
  <si>
    <t>7.役割・責任</t>
    <phoneticPr fontId="1"/>
  </si>
  <si>
    <t>8.コミュニケーション</t>
    <phoneticPr fontId="1"/>
  </si>
  <si>
    <t>9.要求・要件</t>
    <phoneticPr fontId="1"/>
  </si>
  <si>
    <t>10.要求・要件</t>
    <phoneticPr fontId="1"/>
  </si>
  <si>
    <t>11.要求・要件</t>
    <phoneticPr fontId="1"/>
  </si>
  <si>
    <t>12.要件・難易度</t>
    <phoneticPr fontId="1"/>
  </si>
  <si>
    <t>13.要件・コンプライアンス</t>
    <phoneticPr fontId="1"/>
  </si>
  <si>
    <t>14.パッケージ・スコープ</t>
    <phoneticPr fontId="1"/>
  </si>
  <si>
    <t>③作業洗い出し</t>
    <phoneticPr fontId="1"/>
  </si>
  <si>
    <t>15.成果物、タスク</t>
    <phoneticPr fontId="1"/>
  </si>
  <si>
    <t>16.パッケージ</t>
    <phoneticPr fontId="1"/>
  </si>
  <si>
    <t>17.オフショア</t>
    <phoneticPr fontId="1"/>
  </si>
  <si>
    <t>④工数見積</t>
    <phoneticPr fontId="1"/>
  </si>
  <si>
    <t>⑤要員計画</t>
    <phoneticPr fontId="1"/>
  </si>
  <si>
    <t>18.社内・体制</t>
    <phoneticPr fontId="1"/>
  </si>
  <si>
    <t>19.社内・組織支援</t>
    <phoneticPr fontId="1"/>
  </si>
  <si>
    <t>20.委託先・見積</t>
    <phoneticPr fontId="1"/>
  </si>
  <si>
    <t>21.委託先・動員力</t>
    <phoneticPr fontId="1"/>
  </si>
  <si>
    <t>22.委託先・経営状況</t>
    <phoneticPr fontId="1"/>
  </si>
  <si>
    <t>23.パッケージ</t>
    <phoneticPr fontId="1"/>
  </si>
  <si>
    <t>⑥作業計画</t>
    <phoneticPr fontId="1"/>
  </si>
  <si>
    <t>24.成果物、タスク</t>
    <phoneticPr fontId="1"/>
  </si>
  <si>
    <t>⑦全体コスト見積</t>
    <phoneticPr fontId="1"/>
  </si>
  <si>
    <t>25.その他費用</t>
    <phoneticPr fontId="1"/>
  </si>
  <si>
    <t>その他</t>
    <rPh sb="2" eb="3">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</si>
</sst>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Red]\(0\)"/>
    <numFmt numFmtId="177" formatCode="0.0%"/>
    <numFmt numFmtId="178" formatCode="#,##0;\-#,##0;&quot;-&quot;"/>
    <numFmt numFmtId="179" formatCode="00#"/>
    <numFmt numFmtId="180" formatCode="0.0_ "/>
    <numFmt numFmtId="181" formatCode="m/d"/>
    <numFmt numFmtId="182" formatCode="0.0_);[Red]\(0.0\)"/>
    <numFmt numFmtId="183" formatCode="yyyy&quot;年&quot;m&quot;月&quot;d&quot;日&quot;;@"/>
    <numFmt numFmtId="184" formatCode="yyyy/mm/dd"/>
    <numFmt numFmtId="185" formatCode="&quot;¥&quot;#,##0_);[Red]\(&quot;¥&quot;#,##0\)"/>
  </numFmts>
  <fonts count="36">
    <font>
      <sz val="10"/>
      <name val="ＭＳ Ｐゴシック"/>
      <family val="3"/>
      <charset val="128"/>
    </font>
    <font>
      <sz val="6"/>
      <name val="ＭＳ Ｐゴシック"/>
      <family val="3"/>
      <charset val="128"/>
    </font>
    <font>
      <sz val="10"/>
      <name val="Arial"/>
      <family val="2"/>
    </font>
    <font>
      <sz val="10"/>
      <color indexed="8"/>
      <name val="Arial"/>
      <family val="2"/>
    </font>
    <font>
      <b/>
      <sz val="12"/>
      <name val="Arial"/>
      <family val="2"/>
    </font>
    <font>
      <sz val="9"/>
      <color indexed="81"/>
      <name val="ＭＳ Ｐゴシック"/>
      <family val="3"/>
      <charset val="128"/>
    </font>
    <font>
      <b/>
      <sz val="9"/>
      <color indexed="81"/>
      <name val="ＭＳ Ｐゴシック"/>
      <family val="3"/>
      <charset val="128"/>
    </font>
    <font>
      <b/>
      <sz val="10"/>
      <color indexed="81"/>
      <name val="ＭＳ Ｐゴシック"/>
      <family val="3"/>
      <charset val="128"/>
    </font>
    <font>
      <sz val="10"/>
      <name val="ＭＳ Ｐゴシック"/>
      <family val="3"/>
      <charset val="128"/>
    </font>
    <font>
      <sz val="11"/>
      <name val="ＭＳ Ｐゴシック"/>
      <family val="3"/>
      <charset val="128"/>
    </font>
    <font>
      <sz val="9"/>
      <name val="ＭＳ Ｐゴシック"/>
      <family val="3"/>
      <charset val="128"/>
    </font>
    <font>
      <sz val="10"/>
      <name val="ＭＳ Ｐ明朝"/>
      <family val="1"/>
      <charset val="128"/>
    </font>
    <font>
      <sz val="6"/>
      <name val="ＭＳ Ｐ明朝"/>
      <family val="1"/>
      <charset val="128"/>
    </font>
    <font>
      <b/>
      <sz val="9"/>
      <color indexed="81"/>
      <name val="MS P ゴシック"/>
      <family val="3"/>
      <charset val="128"/>
    </font>
    <font>
      <sz val="20"/>
      <name val="ＭＳ Ｐゴシック"/>
      <family val="3"/>
      <charset val="128"/>
    </font>
    <font>
      <b/>
      <sz val="14"/>
      <name val="メイリオ"/>
      <family val="3"/>
      <charset val="128"/>
    </font>
    <font>
      <sz val="10"/>
      <name val="メイリオ"/>
      <family val="3"/>
      <charset val="128"/>
    </font>
    <font>
      <b/>
      <sz val="10"/>
      <name val="メイリオ"/>
      <family val="3"/>
      <charset val="128"/>
    </font>
    <font>
      <sz val="10"/>
      <color indexed="12"/>
      <name val="メイリオ"/>
      <family val="3"/>
      <charset val="128"/>
    </font>
    <font>
      <b/>
      <sz val="10"/>
      <color indexed="12"/>
      <name val="メイリオ"/>
      <family val="3"/>
      <charset val="128"/>
    </font>
    <font>
      <sz val="10"/>
      <color indexed="10"/>
      <name val="メイリオ"/>
      <family val="3"/>
      <charset val="128"/>
    </font>
    <font>
      <b/>
      <sz val="10"/>
      <color indexed="10"/>
      <name val="メイリオ"/>
      <family val="3"/>
      <charset val="128"/>
    </font>
    <font>
      <sz val="10"/>
      <color theme="1"/>
      <name val="メイリオ"/>
      <family val="3"/>
      <charset val="128"/>
    </font>
    <font>
      <b/>
      <sz val="10"/>
      <color theme="1"/>
      <name val="メイリオ"/>
      <family val="3"/>
      <charset val="128"/>
    </font>
    <font>
      <sz val="10"/>
      <color indexed="8"/>
      <name val="メイリオ"/>
      <family val="3"/>
      <charset val="128"/>
    </font>
    <font>
      <sz val="10"/>
      <color rgb="FF0000FF"/>
      <name val="メイリオ"/>
      <family val="3"/>
      <charset val="128"/>
    </font>
    <font>
      <sz val="8"/>
      <name val="メイリオ"/>
      <family val="3"/>
      <charset val="128"/>
    </font>
    <font>
      <sz val="9"/>
      <name val="メイリオ"/>
      <family val="3"/>
      <charset val="128"/>
    </font>
    <font>
      <b/>
      <sz val="8"/>
      <name val="メイリオ"/>
      <family val="3"/>
      <charset val="128"/>
    </font>
    <font>
      <sz val="10"/>
      <color theme="0"/>
      <name val="メイリオ"/>
      <family val="3"/>
      <charset val="128"/>
    </font>
    <font>
      <sz val="14"/>
      <name val="メイリオ"/>
      <family val="3"/>
      <charset val="128"/>
    </font>
    <font>
      <sz val="11"/>
      <name val="メイリオ"/>
      <family val="3"/>
      <charset val="128"/>
    </font>
    <font>
      <sz val="10"/>
      <color rgb="FFFF0000"/>
      <name val="メイリオ"/>
      <family val="3"/>
      <charset val="128"/>
    </font>
    <font>
      <sz val="9"/>
      <color theme="1"/>
      <name val="メイリオ"/>
      <family val="3"/>
      <charset val="128"/>
    </font>
    <font>
      <u/>
      <sz val="10"/>
      <color theme="10"/>
      <name val="ＭＳ Ｐゴシック"/>
      <family val="3"/>
      <charset val="128"/>
    </font>
    <font>
      <b/>
      <sz val="10"/>
      <color rgb="FFFF0000"/>
      <name val="メイリオ"/>
      <family val="3"/>
      <charset val="128"/>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99CCFF"/>
        <bgColor indexed="64"/>
      </patternFill>
    </fill>
    <fill>
      <patternFill patternType="solid">
        <fgColor rgb="FFFFFF99"/>
        <bgColor indexed="64"/>
      </patternFill>
    </fill>
    <fill>
      <patternFill patternType="solid">
        <fgColor rgb="FFFFFFCC"/>
        <bgColor indexed="64"/>
      </patternFill>
    </fill>
    <fill>
      <patternFill patternType="solid">
        <fgColor rgb="FF92D050"/>
        <bgColor indexed="64"/>
      </patternFill>
    </fill>
    <fill>
      <patternFill patternType="solid">
        <fgColor rgb="FF00B0F0"/>
        <bgColor indexed="64"/>
      </patternFill>
    </fill>
    <fill>
      <patternFill patternType="solid">
        <fgColor theme="0" tint="-0.24994659260841701"/>
        <bgColor indexed="64"/>
      </patternFill>
    </fill>
    <fill>
      <patternFill patternType="solid">
        <fgColor rgb="FF0000FF"/>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CCECFF"/>
        <bgColor indexed="64"/>
      </patternFill>
    </fill>
  </fills>
  <borders count="9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double">
        <color indexed="64"/>
      </left>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double">
        <color indexed="64"/>
      </right>
      <top style="thin">
        <color indexed="64"/>
      </top>
      <bottom style="hair">
        <color indexed="64"/>
      </bottom>
      <diagonal/>
    </border>
    <border>
      <left style="double">
        <color indexed="64"/>
      </left>
      <right style="hair">
        <color indexed="64"/>
      </right>
      <top style="thin">
        <color indexed="64"/>
      </top>
      <bottom style="hair">
        <color indexed="64"/>
      </bottom>
      <diagonal/>
    </border>
    <border>
      <left style="double">
        <color indexed="64"/>
      </left>
      <right/>
      <top style="hair">
        <color indexed="64"/>
      </top>
      <bottom style="hair">
        <color indexed="64"/>
      </bottom>
      <diagonal/>
    </border>
    <border>
      <left style="double">
        <color indexed="64"/>
      </left>
      <right style="hair">
        <color indexed="64"/>
      </right>
      <top/>
      <bottom style="hair">
        <color indexed="64"/>
      </bottom>
      <diagonal/>
    </border>
    <border>
      <left style="double">
        <color indexed="64"/>
      </left>
      <right/>
      <top/>
      <bottom style="hair">
        <color indexed="64"/>
      </bottom>
      <diagonal/>
    </border>
    <border>
      <left style="hair">
        <color indexed="64"/>
      </left>
      <right/>
      <top/>
      <bottom style="hair">
        <color indexed="64"/>
      </bottom>
      <diagonal/>
    </border>
    <border>
      <left style="double">
        <color indexed="64"/>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thin">
        <color indexed="64"/>
      </top>
      <bottom style="hair">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double">
        <color indexed="64"/>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style="double">
        <color indexed="64"/>
      </left>
      <right style="hair">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double">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ck">
        <color rgb="FF0000FF"/>
      </left>
      <right style="hair">
        <color indexed="64"/>
      </right>
      <top style="hair">
        <color indexed="64"/>
      </top>
      <bottom style="hair">
        <color indexed="64"/>
      </bottom>
      <diagonal/>
    </border>
    <border>
      <left style="thick">
        <color rgb="FF0000FF"/>
      </left>
      <right style="hair">
        <color indexed="64"/>
      </right>
      <top style="hair">
        <color indexed="64"/>
      </top>
      <bottom/>
      <diagonal/>
    </border>
    <border>
      <left style="thick">
        <color rgb="FF0000FF"/>
      </left>
      <right style="thin">
        <color indexed="64"/>
      </right>
      <top style="thick">
        <color rgb="FF0000FF"/>
      </top>
      <bottom style="thick">
        <color rgb="FF0000FF"/>
      </bottom>
      <diagonal/>
    </border>
    <border>
      <left style="thick">
        <color rgb="FF0000FF"/>
      </left>
      <right style="hair">
        <color indexed="64"/>
      </right>
      <top style="thick">
        <color rgb="FF0000FF"/>
      </top>
      <bottom style="thin">
        <color indexed="64"/>
      </bottom>
      <diagonal/>
    </border>
    <border>
      <left style="hair">
        <color indexed="64"/>
      </left>
      <right style="thick">
        <color rgb="FF0000FF"/>
      </right>
      <top style="hair">
        <color indexed="64"/>
      </top>
      <bottom style="hair">
        <color indexed="64"/>
      </bottom>
      <diagonal/>
    </border>
    <border>
      <left style="hair">
        <color indexed="64"/>
      </left>
      <right style="thick">
        <color rgb="FF0000FF"/>
      </right>
      <top/>
      <bottom style="hair">
        <color indexed="64"/>
      </bottom>
      <diagonal/>
    </border>
    <border>
      <left style="thick">
        <color rgb="FF0000FF"/>
      </left>
      <right style="hair">
        <color rgb="FF0000FF"/>
      </right>
      <top style="hair">
        <color indexed="64"/>
      </top>
      <bottom style="thick">
        <color rgb="FF0000FF"/>
      </bottom>
      <diagonal/>
    </border>
    <border>
      <left/>
      <right style="thick">
        <color rgb="FF0000FF"/>
      </right>
      <top style="hair">
        <color indexed="64"/>
      </top>
      <bottom style="thick">
        <color rgb="FF0000FF"/>
      </bottom>
      <diagonal/>
    </border>
    <border>
      <left style="hair">
        <color indexed="64"/>
      </left>
      <right style="thick">
        <color rgb="FF0000FF"/>
      </right>
      <top style="thick">
        <color rgb="FF0000FF"/>
      </top>
      <bottom style="thin">
        <color indexed="64"/>
      </bottom>
      <diagonal/>
    </border>
    <border>
      <left style="hair">
        <color indexed="64"/>
      </left>
      <right style="hair">
        <color indexed="64"/>
      </right>
      <top style="hair">
        <color indexed="64"/>
      </top>
      <bottom style="thick">
        <color rgb="FF0000FF"/>
      </bottom>
      <diagonal/>
    </border>
    <border>
      <left/>
      <right/>
      <top style="thick">
        <color rgb="FF0000FF"/>
      </top>
      <bottom style="thick">
        <color rgb="FF0000FF"/>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bottom style="hair">
        <color indexed="64"/>
      </bottom>
      <diagonal/>
    </border>
    <border>
      <left style="hair">
        <color indexed="64"/>
      </left>
      <right style="thick">
        <color rgb="FF0000FF"/>
      </right>
      <top/>
      <bottom/>
      <diagonal/>
    </border>
    <border>
      <left style="thick">
        <color rgb="FF0000FF"/>
      </left>
      <right style="hair">
        <color indexed="64"/>
      </right>
      <top/>
      <bottom style="hair">
        <color indexed="64"/>
      </bottom>
      <diagonal/>
    </border>
    <border>
      <left style="thick">
        <color rgb="FF0000FF"/>
      </left>
      <right style="hair">
        <color indexed="64"/>
      </right>
      <top style="thin">
        <color indexed="64"/>
      </top>
      <bottom style="thin">
        <color indexed="64"/>
      </bottom>
      <diagonal/>
    </border>
    <border>
      <left style="hair">
        <color indexed="64"/>
      </left>
      <right style="double">
        <color indexed="64"/>
      </right>
      <top/>
      <bottom style="hair">
        <color indexed="64"/>
      </bottom>
      <diagonal/>
    </border>
    <border>
      <left style="hair">
        <color indexed="64"/>
      </left>
      <right style="thick">
        <color rgb="FF0000FF"/>
      </right>
      <top style="thin">
        <color indexed="64"/>
      </top>
      <bottom style="thin">
        <color indexed="64"/>
      </bottom>
      <diagonal/>
    </border>
    <border>
      <left/>
      <right/>
      <top/>
      <bottom style="thin">
        <color indexed="64"/>
      </bottom>
      <diagonal/>
    </border>
    <border>
      <left style="thin">
        <color indexed="64"/>
      </left>
      <right style="thin">
        <color indexed="64"/>
      </right>
      <top style="thin">
        <color theme="1"/>
      </top>
      <bottom style="thin">
        <color indexed="64"/>
      </bottom>
      <diagonal/>
    </border>
    <border>
      <left style="thick">
        <color rgb="FF0000FF"/>
      </left>
      <right style="double">
        <color theme="1"/>
      </right>
      <top style="hair">
        <color indexed="64"/>
      </top>
      <bottom style="thin">
        <color indexed="64"/>
      </bottom>
      <diagonal/>
    </border>
    <border>
      <left style="double">
        <color theme="1"/>
      </left>
      <right style="thin">
        <color theme="1"/>
      </right>
      <top style="hair">
        <color indexed="64"/>
      </top>
      <bottom style="thin">
        <color indexed="64"/>
      </bottom>
      <diagonal/>
    </border>
    <border>
      <left style="hair">
        <color theme="1"/>
      </left>
      <right style="hair">
        <color theme="1"/>
      </right>
      <top style="thick">
        <color rgb="FF0000FF"/>
      </top>
      <bottom style="thick">
        <color rgb="FF0000FF"/>
      </bottom>
      <diagonal/>
    </border>
    <border>
      <left style="hair">
        <color rgb="FF0000FF"/>
      </left>
      <right style="hair">
        <color rgb="FF0000FF"/>
      </right>
      <top style="hair">
        <color indexed="64"/>
      </top>
      <bottom style="thin">
        <color indexed="64"/>
      </bottom>
      <diagonal/>
    </border>
    <border>
      <left style="hair">
        <color rgb="FF0000FF"/>
      </left>
      <right style="double">
        <color theme="1"/>
      </right>
      <top style="hair">
        <color indexed="64"/>
      </top>
      <bottom style="thin">
        <color indexed="64"/>
      </bottom>
      <diagonal/>
    </border>
    <border>
      <left style="double">
        <color theme="1"/>
      </left>
      <right style="hair">
        <color theme="1"/>
      </right>
      <top style="hair">
        <color indexed="64"/>
      </top>
      <bottom style="thin">
        <color indexed="64"/>
      </bottom>
      <diagonal/>
    </border>
    <border>
      <left style="thick">
        <color rgb="FF0000FF"/>
      </left>
      <right style="thick">
        <color rgb="FF0000FF"/>
      </right>
      <top style="thick">
        <color rgb="FF0000FF"/>
      </top>
      <bottom style="thin">
        <color indexed="64"/>
      </bottom>
      <diagonal/>
    </border>
    <border>
      <left style="thick">
        <color rgb="FF0000FF"/>
      </left>
      <right style="thick">
        <color rgb="FF0000FF"/>
      </right>
      <top style="thin">
        <color indexed="64"/>
      </top>
      <bottom style="thin">
        <color indexed="64"/>
      </bottom>
      <diagonal/>
    </border>
    <border>
      <left style="thick">
        <color rgb="FF0000FF"/>
      </left>
      <right style="thick">
        <color rgb="FF0000FF"/>
      </right>
      <top/>
      <bottom style="hair">
        <color indexed="64"/>
      </bottom>
      <diagonal/>
    </border>
    <border>
      <left style="thick">
        <color rgb="FF0000FF"/>
      </left>
      <right style="thick">
        <color rgb="FF0000FF"/>
      </right>
      <top style="hair">
        <color indexed="64"/>
      </top>
      <bottom style="hair">
        <color indexed="64"/>
      </bottom>
      <diagonal/>
    </border>
    <border>
      <left style="thick">
        <color rgb="FF0000FF"/>
      </left>
      <right style="thick">
        <color rgb="FF0000FF"/>
      </right>
      <top style="hair">
        <color indexed="64"/>
      </top>
      <bottom/>
      <diagonal/>
    </border>
    <border>
      <left style="thick">
        <color rgb="FF0000FF"/>
      </left>
      <right style="thick">
        <color rgb="FF0000FF"/>
      </right>
      <top style="hair">
        <color indexed="64"/>
      </top>
      <bottom style="thick">
        <color rgb="FF0000FF"/>
      </bottom>
      <diagonal/>
    </border>
    <border>
      <left style="hair">
        <color theme="1"/>
      </left>
      <right/>
      <top style="thick">
        <color rgb="FF0000FF"/>
      </top>
      <bottom style="thick">
        <color rgb="FF0000FF"/>
      </bottom>
      <diagonal/>
    </border>
    <border>
      <left/>
      <right style="hair">
        <color rgb="FF0000FF"/>
      </right>
      <top style="hair">
        <color indexed="64"/>
      </top>
      <bottom style="thin">
        <color indexed="64"/>
      </bottom>
      <diagonal/>
    </border>
  </borders>
  <cellStyleXfs count="12">
    <xf numFmtId="0" fontId="0" fillId="0" borderId="0"/>
    <xf numFmtId="178"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2" fillId="0" borderId="0"/>
    <xf numFmtId="38" fontId="8" fillId="0" borderId="0" applyFont="0" applyFill="0" applyBorder="0" applyAlignment="0" applyProtection="0"/>
    <xf numFmtId="0" fontId="8" fillId="0" borderId="0">
      <alignment vertical="center"/>
    </xf>
    <xf numFmtId="0" fontId="11" fillId="0" borderId="0">
      <alignment vertical="center"/>
    </xf>
    <xf numFmtId="0" fontId="11" fillId="0" borderId="0">
      <alignment vertical="center"/>
    </xf>
    <xf numFmtId="0" fontId="9" fillId="0" borderId="0"/>
    <xf numFmtId="0" fontId="9" fillId="0" borderId="0">
      <alignment vertical="center"/>
    </xf>
    <xf numFmtId="0" fontId="34" fillId="0" borderId="0" applyNumberFormat="0" applyFill="0" applyBorder="0" applyAlignment="0" applyProtection="0"/>
  </cellStyleXfs>
  <cellXfs count="320">
    <xf numFmtId="0" fontId="0" fillId="0" borderId="0" xfId="0"/>
    <xf numFmtId="0" fontId="10" fillId="0" borderId="0" xfId="0" applyFont="1"/>
    <xf numFmtId="0" fontId="10" fillId="0" borderId="0" xfId="9" applyFont="1" applyAlignment="1">
      <alignment vertical="center" wrapText="1" shrinkToFit="1"/>
    </xf>
    <xf numFmtId="0" fontId="0" fillId="0" borderId="12" xfId="0" applyBorder="1" applyAlignment="1">
      <alignment vertical="center" wrapText="1"/>
    </xf>
    <xf numFmtId="49" fontId="0" fillId="0" borderId="12" xfId="0" applyNumberFormat="1" applyBorder="1" applyAlignment="1">
      <alignment horizontal="center" vertical="center"/>
    </xf>
    <xf numFmtId="0" fontId="0" fillId="0" borderId="12" xfId="0" applyBorder="1" applyAlignment="1">
      <alignment horizontal="center" vertical="center"/>
    </xf>
    <xf numFmtId="49" fontId="8" fillId="4" borderId="12" xfId="6" applyNumberFormat="1" applyFill="1" applyBorder="1" applyAlignment="1">
      <alignment horizontal="center" vertical="center"/>
    </xf>
    <xf numFmtId="0" fontId="8" fillId="4" borderId="12" xfId="6" applyFill="1" applyBorder="1" applyAlignment="1">
      <alignment horizontal="center" vertical="center"/>
    </xf>
    <xf numFmtId="0" fontId="8" fillId="0" borderId="0" xfId="6">
      <alignment vertical="center"/>
    </xf>
    <xf numFmtId="0" fontId="0" fillId="0" borderId="0" xfId="0" applyAlignment="1">
      <alignment wrapText="1"/>
    </xf>
    <xf numFmtId="0" fontId="8" fillId="4" borderId="12" xfId="6" applyFill="1" applyBorder="1" applyAlignment="1">
      <alignment horizontal="center" vertical="center" wrapText="1"/>
    </xf>
    <xf numFmtId="0" fontId="0" fillId="0" borderId="0" xfId="0" applyAlignment="1">
      <alignment horizontal="center"/>
    </xf>
    <xf numFmtId="184" fontId="0" fillId="0" borderId="12" xfId="0" applyNumberFormat="1" applyBorder="1" applyAlignment="1">
      <alignment horizontal="center" vertical="center"/>
    </xf>
    <xf numFmtId="0" fontId="0" fillId="0" borderId="12" xfId="0" applyBorder="1" applyAlignment="1">
      <alignment horizontal="center" vertical="center" wrapText="1"/>
    </xf>
    <xf numFmtId="0" fontId="16" fillId="0" borderId="0" xfId="0" applyFont="1"/>
    <xf numFmtId="0" fontId="16" fillId="4" borderId="12" xfId="0" applyFont="1" applyFill="1" applyBorder="1" applyAlignment="1">
      <alignment vertical="center"/>
    </xf>
    <xf numFmtId="0" fontId="16" fillId="0" borderId="12" xfId="0" applyFont="1" applyBorder="1" applyAlignment="1">
      <alignment vertical="center" wrapText="1"/>
    </xf>
    <xf numFmtId="0" fontId="15" fillId="0" borderId="0" xfId="0" applyFont="1"/>
    <xf numFmtId="0" fontId="17" fillId="0" borderId="0" xfId="0" applyFont="1" applyAlignment="1">
      <alignment horizontal="center" vertical="center"/>
    </xf>
    <xf numFmtId="0" fontId="16" fillId="0" borderId="0" xfId="0" applyFont="1" applyAlignment="1">
      <alignment horizontal="center" vertical="center"/>
    </xf>
    <xf numFmtId="0" fontId="16" fillId="0" borderId="0" xfId="0" applyFont="1" applyAlignment="1">
      <alignment horizontal="right"/>
    </xf>
    <xf numFmtId="0" fontId="17" fillId="0" borderId="0" xfId="0" applyFont="1" applyAlignment="1">
      <alignment horizontal="right" vertical="center"/>
    </xf>
    <xf numFmtId="0" fontId="17" fillId="0" borderId="0" xfId="0" applyFont="1" applyAlignment="1">
      <alignment horizontal="right"/>
    </xf>
    <xf numFmtId="0" fontId="17" fillId="0" borderId="0" xfId="0" applyFont="1"/>
    <xf numFmtId="0" fontId="16" fillId="0" borderId="17" xfId="0" applyFont="1" applyBorder="1" applyAlignment="1">
      <alignment vertical="center" wrapText="1"/>
    </xf>
    <xf numFmtId="0" fontId="16" fillId="0" borderId="43" xfId="0" applyFont="1" applyBorder="1" applyAlignment="1">
      <alignment horizontal="center" vertical="center" wrapText="1"/>
    </xf>
    <xf numFmtId="0" fontId="16" fillId="0" borderId="12" xfId="9" applyFont="1" applyBorder="1" applyAlignment="1">
      <alignment vertical="center" wrapText="1" shrinkToFit="1"/>
    </xf>
    <xf numFmtId="0" fontId="16" fillId="0" borderId="12" xfId="9" applyFont="1" applyBorder="1" applyAlignment="1">
      <alignment horizontal="center" vertical="center" wrapText="1"/>
    </xf>
    <xf numFmtId="0" fontId="17" fillId="0" borderId="18" xfId="0" applyFont="1" applyBorder="1" applyAlignment="1">
      <alignment vertical="top" wrapText="1"/>
    </xf>
    <xf numFmtId="0" fontId="16" fillId="0" borderId="19" xfId="0" applyFont="1" applyBorder="1" applyAlignment="1">
      <alignment horizontal="center" vertical="center" wrapText="1"/>
    </xf>
    <xf numFmtId="0" fontId="22" fillId="0" borderId="17" xfId="0" applyFont="1" applyBorder="1" applyAlignment="1">
      <alignment vertical="center" wrapText="1"/>
    </xf>
    <xf numFmtId="0" fontId="22" fillId="0" borderId="12" xfId="9" applyFont="1" applyBorder="1" applyAlignment="1">
      <alignment vertical="center" wrapText="1" shrinkToFit="1"/>
    </xf>
    <xf numFmtId="0" fontId="22" fillId="0" borderId="12" xfId="0" applyFont="1" applyBorder="1" applyAlignment="1">
      <alignment vertical="center" wrapText="1"/>
    </xf>
    <xf numFmtId="0" fontId="22" fillId="0" borderId="12" xfId="9" applyFont="1" applyBorder="1" applyAlignment="1">
      <alignment horizontal="center" vertical="center" wrapText="1"/>
    </xf>
    <xf numFmtId="0" fontId="23" fillId="0" borderId="18" xfId="0" applyFont="1" applyBorder="1" applyAlignment="1">
      <alignment vertical="top" wrapText="1"/>
    </xf>
    <xf numFmtId="0" fontId="22" fillId="0" borderId="19" xfId="0" applyFont="1" applyBorder="1" applyAlignment="1">
      <alignment horizontal="center" vertical="center" wrapText="1"/>
    </xf>
    <xf numFmtId="0" fontId="26" fillId="0" borderId="0" xfId="0" applyFont="1" applyAlignment="1">
      <alignment horizontal="center"/>
    </xf>
    <xf numFmtId="181" fontId="26" fillId="0" borderId="0" xfId="0" applyNumberFormat="1" applyFont="1" applyAlignment="1">
      <alignment horizontal="right"/>
    </xf>
    <xf numFmtId="0" fontId="16" fillId="0" borderId="0" xfId="0" applyFont="1" applyAlignment="1">
      <alignment horizontal="right" vertical="center"/>
    </xf>
    <xf numFmtId="0" fontId="26" fillId="0" borderId="0" xfId="0" applyFont="1"/>
    <xf numFmtId="49" fontId="26" fillId="0" borderId="0" xfId="0" applyNumberFormat="1" applyFont="1" applyAlignment="1">
      <alignment horizontal="center" vertical="center"/>
    </xf>
    <xf numFmtId="49" fontId="16" fillId="0" borderId="0" xfId="0" applyNumberFormat="1" applyFont="1" applyAlignment="1">
      <alignment horizontal="right" vertical="center"/>
    </xf>
    <xf numFmtId="49" fontId="16" fillId="0" borderId="0" xfId="0" applyNumberFormat="1" applyFont="1" applyAlignment="1">
      <alignment horizontal="left" vertical="center"/>
    </xf>
    <xf numFmtId="0" fontId="26" fillId="0" borderId="0" xfId="0" applyFont="1" applyAlignment="1">
      <alignment horizontal="left"/>
    </xf>
    <xf numFmtId="49" fontId="26" fillId="0" borderId="0" xfId="0" applyNumberFormat="1" applyFont="1" applyAlignment="1">
      <alignment vertical="center"/>
    </xf>
    <xf numFmtId="181" fontId="26" fillId="0" borderId="0" xfId="0" applyNumberFormat="1" applyFont="1" applyAlignment="1">
      <alignment horizontal="center"/>
    </xf>
    <xf numFmtId="182" fontId="26" fillId="0" borderId="0" xfId="0" applyNumberFormat="1" applyFont="1"/>
    <xf numFmtId="181" fontId="16" fillId="0" borderId="0" xfId="0" applyNumberFormat="1" applyFont="1" applyAlignment="1">
      <alignment horizontal="center" vertical="center"/>
    </xf>
    <xf numFmtId="0" fontId="16" fillId="0" borderId="0" xfId="0" applyFont="1" applyAlignment="1">
      <alignment horizontal="left" vertical="center"/>
    </xf>
    <xf numFmtId="176" fontId="16" fillId="12" borderId="12" xfId="0" applyNumberFormat="1" applyFont="1" applyFill="1" applyBorder="1" applyAlignment="1">
      <alignment horizontal="center" vertical="center"/>
    </xf>
    <xf numFmtId="0" fontId="27" fillId="12" borderId="12" xfId="0" applyFont="1" applyFill="1" applyBorder="1" applyAlignment="1">
      <alignment horizontal="center" vertical="center"/>
    </xf>
    <xf numFmtId="176" fontId="16" fillId="0" borderId="12" xfId="0" applyNumberFormat="1" applyFont="1" applyBorder="1" applyAlignment="1">
      <alignment horizontal="center" vertical="center"/>
    </xf>
    <xf numFmtId="0" fontId="17" fillId="0" borderId="12" xfId="0" applyFont="1" applyBorder="1" applyAlignment="1">
      <alignment horizontal="left" vertical="center"/>
    </xf>
    <xf numFmtId="180" fontId="26" fillId="0" borderId="0" xfId="0" applyNumberFormat="1" applyFont="1"/>
    <xf numFmtId="0" fontId="16" fillId="8" borderId="35" xfId="0" applyFont="1" applyFill="1" applyBorder="1" applyAlignment="1">
      <alignment horizontal="center" vertical="center" wrapText="1"/>
    </xf>
    <xf numFmtId="181" fontId="16" fillId="8" borderId="36" xfId="0" applyNumberFormat="1" applyFont="1" applyFill="1" applyBorder="1" applyAlignment="1">
      <alignment horizontal="center" vertical="center" wrapText="1"/>
    </xf>
    <xf numFmtId="0" fontId="16" fillId="8" borderId="36" xfId="0" applyFont="1" applyFill="1" applyBorder="1" applyAlignment="1">
      <alignment horizontal="center" vertical="center" wrapText="1"/>
    </xf>
    <xf numFmtId="180" fontId="16" fillId="8" borderId="36" xfId="0" applyNumberFormat="1" applyFont="1" applyFill="1" applyBorder="1" applyAlignment="1">
      <alignment horizontal="center" vertical="center" wrapText="1"/>
    </xf>
    <xf numFmtId="0" fontId="16" fillId="8" borderId="37" xfId="0" applyFont="1" applyFill="1" applyBorder="1" applyAlignment="1">
      <alignment horizontal="center" vertical="center" wrapText="1"/>
    </xf>
    <xf numFmtId="182" fontId="16" fillId="8" borderId="36" xfId="0" applyNumberFormat="1" applyFont="1" applyFill="1" applyBorder="1" applyAlignment="1">
      <alignment horizontal="center" vertical="center" wrapText="1"/>
    </xf>
    <xf numFmtId="182" fontId="16" fillId="8" borderId="2" xfId="0" applyNumberFormat="1" applyFont="1" applyFill="1" applyBorder="1" applyAlignment="1">
      <alignment horizontal="center" vertical="center" wrapText="1"/>
    </xf>
    <xf numFmtId="182" fontId="16" fillId="5" borderId="46" xfId="0" applyNumberFormat="1" applyFont="1" applyFill="1" applyBorder="1" applyAlignment="1">
      <alignment horizontal="center" vertical="center" wrapText="1"/>
    </xf>
    <xf numFmtId="181" fontId="16" fillId="5" borderId="36" xfId="0" applyNumberFormat="1" applyFont="1" applyFill="1" applyBorder="1" applyAlignment="1">
      <alignment horizontal="center" vertical="center" wrapText="1"/>
    </xf>
    <xf numFmtId="0" fontId="16" fillId="5" borderId="37" xfId="0" applyFont="1" applyFill="1" applyBorder="1" applyAlignment="1">
      <alignment horizontal="center" vertical="center" wrapText="1"/>
    </xf>
    <xf numFmtId="181" fontId="16" fillId="5" borderId="47" xfId="0" applyNumberFormat="1" applyFont="1" applyFill="1" applyBorder="1" applyAlignment="1">
      <alignment horizontal="center" vertical="center" wrapText="1"/>
    </xf>
    <xf numFmtId="0" fontId="22" fillId="6" borderId="67" xfId="0" applyFont="1" applyFill="1" applyBorder="1" applyAlignment="1">
      <alignment horizontal="center" vertical="center" wrapText="1"/>
    </xf>
    <xf numFmtId="0" fontId="16" fillId="7" borderId="46" xfId="0" applyFont="1" applyFill="1" applyBorder="1" applyAlignment="1">
      <alignment horizontal="center" vertical="center" wrapText="1"/>
    </xf>
    <xf numFmtId="0" fontId="16" fillId="7" borderId="36" xfId="0" applyFont="1" applyFill="1" applyBorder="1" applyAlignment="1">
      <alignment horizontal="center" vertical="center" wrapText="1"/>
    </xf>
    <xf numFmtId="0" fontId="16" fillId="7" borderId="37" xfId="0" applyFont="1" applyFill="1" applyBorder="1" applyAlignment="1">
      <alignment horizontal="center" vertical="center" wrapText="1"/>
    </xf>
    <xf numFmtId="181" fontId="16" fillId="6" borderId="45" xfId="0" applyNumberFormat="1" applyFont="1" applyFill="1" applyBorder="1" applyAlignment="1">
      <alignment horizontal="center" vertical="center" wrapText="1"/>
    </xf>
    <xf numFmtId="181" fontId="16" fillId="6" borderId="2" xfId="0" applyNumberFormat="1" applyFont="1" applyFill="1" applyBorder="1" applyAlignment="1">
      <alignment horizontal="center" vertical="center" wrapText="1"/>
    </xf>
    <xf numFmtId="0" fontId="16" fillId="6" borderId="44" xfId="0" applyFont="1" applyFill="1" applyBorder="1" applyAlignment="1">
      <alignment horizontal="center" vertical="center" wrapText="1"/>
    </xf>
    <xf numFmtId="0" fontId="16" fillId="0" borderId="23" xfId="0" applyFont="1" applyBorder="1" applyAlignment="1">
      <alignment horizontal="center" vertical="top" wrapText="1"/>
    </xf>
    <xf numFmtId="181" fontId="16" fillId="0" borderId="4" xfId="0" applyNumberFormat="1" applyFont="1" applyBorder="1" applyAlignment="1">
      <alignment horizontal="center" vertical="top" wrapText="1"/>
    </xf>
    <xf numFmtId="0" fontId="16" fillId="0" borderId="4" xfId="0" applyFont="1" applyBorder="1" applyAlignment="1">
      <alignment vertical="top" wrapText="1"/>
    </xf>
    <xf numFmtId="0" fontId="16" fillId="0" borderId="4" xfId="0" applyFont="1" applyBorder="1" applyAlignment="1">
      <alignment horizontal="left" vertical="top" wrapText="1"/>
    </xf>
    <xf numFmtId="177" fontId="16" fillId="0" borderId="4" xfId="0" applyNumberFormat="1" applyFont="1" applyBorder="1" applyAlignment="1">
      <alignment vertical="top" wrapText="1"/>
    </xf>
    <xf numFmtId="0" fontId="16" fillId="0" borderId="24" xfId="0" applyFont="1" applyBorder="1" applyAlignment="1">
      <alignment vertical="top" wrapText="1"/>
    </xf>
    <xf numFmtId="180" fontId="16" fillId="0" borderId="4" xfId="0" applyNumberFormat="1" applyFont="1" applyBorder="1" applyAlignment="1">
      <alignment vertical="top" wrapText="1"/>
    </xf>
    <xf numFmtId="182" fontId="16" fillId="0" borderId="25" xfId="0" applyNumberFormat="1" applyFont="1" applyBorder="1" applyAlignment="1">
      <alignment vertical="top" wrapText="1"/>
    </xf>
    <xf numFmtId="176" fontId="16" fillId="0" borderId="41" xfId="0" applyNumberFormat="1" applyFont="1" applyBorder="1" applyAlignment="1">
      <alignment horizontal="right" vertical="top" wrapText="1"/>
    </xf>
    <xf numFmtId="176" fontId="16" fillId="0" borderId="26" xfId="0" applyNumberFormat="1" applyFont="1" applyBorder="1" applyAlignment="1">
      <alignment horizontal="right" vertical="top" wrapText="1"/>
    </xf>
    <xf numFmtId="0" fontId="16" fillId="0" borderId="25" xfId="0" applyFont="1" applyBorder="1" applyAlignment="1">
      <alignment vertical="top" wrapText="1"/>
    </xf>
    <xf numFmtId="0" fontId="16" fillId="0" borderId="27" xfId="0" applyFont="1" applyBorder="1" applyAlignment="1">
      <alignment vertical="top" wrapText="1"/>
    </xf>
    <xf numFmtId="181" fontId="16" fillId="0" borderId="25" xfId="0" applyNumberFormat="1" applyFont="1" applyBorder="1" applyAlignment="1">
      <alignment horizontal="center" vertical="top" wrapText="1"/>
    </xf>
    <xf numFmtId="181" fontId="16" fillId="0" borderId="41" xfId="0" applyNumberFormat="1" applyFont="1" applyBorder="1" applyAlignment="1">
      <alignment horizontal="center" vertical="top" wrapText="1"/>
    </xf>
    <xf numFmtId="0" fontId="16" fillId="0" borderId="56" xfId="0" applyFont="1" applyBorder="1"/>
    <xf numFmtId="0" fontId="16" fillId="0" borderId="54" xfId="0" applyFont="1" applyBorder="1"/>
    <xf numFmtId="0" fontId="16" fillId="0" borderId="26" xfId="0" applyFont="1" applyBorder="1" applyAlignment="1">
      <alignment vertical="top" wrapText="1"/>
    </xf>
    <xf numFmtId="0" fontId="16" fillId="0" borderId="28" xfId="0" applyFont="1" applyBorder="1" applyAlignment="1">
      <alignment vertical="top" wrapText="1"/>
    </xf>
    <xf numFmtId="181" fontId="16" fillId="0" borderId="29" xfId="0" applyNumberFormat="1" applyFont="1" applyBorder="1" applyAlignment="1">
      <alignment horizontal="center" vertical="top" wrapText="1"/>
    </xf>
    <xf numFmtId="0" fontId="16" fillId="0" borderId="38" xfId="0" applyFont="1" applyBorder="1" applyAlignment="1">
      <alignment vertical="top" wrapText="1"/>
    </xf>
    <xf numFmtId="0" fontId="27" fillId="0" borderId="0" xfId="9" applyFont="1" applyAlignment="1">
      <alignment vertical="center" wrapText="1" shrinkToFit="1"/>
    </xf>
    <xf numFmtId="0" fontId="16" fillId="0" borderId="9" xfId="0" applyFont="1" applyBorder="1" applyAlignment="1">
      <alignment horizontal="center" vertical="top" wrapText="1"/>
    </xf>
    <xf numFmtId="182" fontId="16" fillId="0" borderId="4" xfId="0" applyNumberFormat="1" applyFont="1" applyBorder="1" applyAlignment="1">
      <alignment vertical="top" wrapText="1"/>
    </xf>
    <xf numFmtId="176" fontId="16" fillId="0" borderId="39" xfId="0" applyNumberFormat="1" applyFont="1" applyBorder="1" applyAlignment="1">
      <alignment vertical="top" wrapText="1"/>
    </xf>
    <xf numFmtId="176" fontId="16" fillId="0" borderId="30" xfId="0" applyNumberFormat="1" applyFont="1" applyBorder="1" applyAlignment="1">
      <alignment vertical="top" wrapText="1"/>
    </xf>
    <xf numFmtId="181" fontId="16" fillId="0" borderId="39" xfId="0" applyNumberFormat="1" applyFont="1" applyBorder="1" applyAlignment="1">
      <alignment horizontal="center" vertical="top" wrapText="1"/>
    </xf>
    <xf numFmtId="0" fontId="16" fillId="0" borderId="3" xfId="0" applyFont="1" applyBorder="1"/>
    <xf numFmtId="0" fontId="16" fillId="0" borderId="55" xfId="0" applyFont="1" applyBorder="1"/>
    <xf numFmtId="0" fontId="16" fillId="0" borderId="30" xfId="0" applyFont="1" applyBorder="1" applyAlignment="1">
      <alignment vertical="top" wrapText="1"/>
    </xf>
    <xf numFmtId="181" fontId="16" fillId="0" borderId="31" xfId="0" applyNumberFormat="1" applyFont="1" applyBorder="1" applyAlignment="1">
      <alignment horizontal="center" vertical="top" wrapText="1"/>
    </xf>
    <xf numFmtId="181" fontId="16" fillId="0" borderId="10" xfId="0" applyNumberFormat="1" applyFont="1" applyBorder="1" applyAlignment="1">
      <alignment horizontal="center" vertical="top" wrapText="1"/>
    </xf>
    <xf numFmtId="0" fontId="16" fillId="0" borderId="11" xfId="0" applyFont="1" applyBorder="1" applyAlignment="1">
      <alignment vertical="top" wrapText="1"/>
    </xf>
    <xf numFmtId="181" fontId="16" fillId="0" borderId="0" xfId="0" applyNumberFormat="1" applyFont="1" applyAlignment="1">
      <alignment horizontal="center" vertical="top" wrapText="1"/>
    </xf>
    <xf numFmtId="38" fontId="16" fillId="0" borderId="4" xfId="5" applyFont="1" applyBorder="1" applyAlignment="1">
      <alignment vertical="top" wrapText="1"/>
    </xf>
    <xf numFmtId="182" fontId="16" fillId="0" borderId="10" xfId="0" applyNumberFormat="1" applyFont="1" applyBorder="1" applyAlignment="1">
      <alignment vertical="top" wrapText="1"/>
    </xf>
    <xf numFmtId="176" fontId="16" fillId="0" borderId="40" xfId="0" applyNumberFormat="1" applyFont="1" applyBorder="1" applyAlignment="1">
      <alignment vertical="top" wrapText="1"/>
    </xf>
    <xf numFmtId="176" fontId="16" fillId="0" borderId="32" xfId="0" applyNumberFormat="1" applyFont="1" applyBorder="1" applyAlignment="1">
      <alignment vertical="top" wrapText="1"/>
    </xf>
    <xf numFmtId="0" fontId="16" fillId="0" borderId="10" xfId="0" applyFont="1" applyBorder="1" applyAlignment="1">
      <alignment vertical="top" wrapText="1"/>
    </xf>
    <xf numFmtId="0" fontId="16" fillId="0" borderId="33" xfId="0" applyFont="1" applyBorder="1" applyAlignment="1">
      <alignment vertical="top" wrapText="1"/>
    </xf>
    <xf numFmtId="181" fontId="16" fillId="0" borderId="40" xfId="0" applyNumberFormat="1" applyFont="1" applyBorder="1" applyAlignment="1">
      <alignment horizontal="center" vertical="top" wrapText="1"/>
    </xf>
    <xf numFmtId="0" fontId="16" fillId="0" borderId="32" xfId="0" applyFont="1" applyBorder="1" applyAlignment="1">
      <alignment vertical="top" wrapText="1"/>
    </xf>
    <xf numFmtId="0" fontId="16" fillId="0" borderId="3" xfId="0" applyFont="1" applyBorder="1" applyAlignment="1">
      <alignment horizontal="center" vertical="top" wrapText="1"/>
    </xf>
    <xf numFmtId="181" fontId="16" fillId="0" borderId="34" xfId="0" applyNumberFormat="1" applyFont="1" applyBorder="1" applyAlignment="1">
      <alignment horizontal="center" vertical="top" wrapText="1"/>
    </xf>
    <xf numFmtId="0" fontId="16" fillId="0" borderId="5" xfId="0" applyFont="1" applyBorder="1" applyAlignment="1">
      <alignment vertical="top" wrapText="1"/>
    </xf>
    <xf numFmtId="0" fontId="27" fillId="0" borderId="0" xfId="0" applyFont="1"/>
    <xf numFmtId="0" fontId="16" fillId="0" borderId="3" xfId="0" applyFont="1" applyBorder="1" applyAlignment="1">
      <alignment vertical="top" wrapText="1"/>
    </xf>
    <xf numFmtId="0" fontId="16" fillId="0" borderId="55" xfId="0" applyFont="1" applyBorder="1" applyAlignment="1">
      <alignment vertical="top" wrapText="1"/>
    </xf>
    <xf numFmtId="0" fontId="16" fillId="0" borderId="0" xfId="0" applyFont="1" applyAlignment="1">
      <alignment vertical="top" wrapText="1"/>
    </xf>
    <xf numFmtId="0" fontId="16" fillId="0" borderId="0" xfId="0" applyFont="1" applyAlignment="1">
      <alignment horizontal="center"/>
    </xf>
    <xf numFmtId="181" fontId="16" fillId="0" borderId="0" xfId="0" applyNumberFormat="1" applyFont="1" applyAlignment="1">
      <alignment horizontal="center"/>
    </xf>
    <xf numFmtId="180" fontId="16" fillId="0" borderId="0" xfId="0" applyNumberFormat="1" applyFont="1"/>
    <xf numFmtId="182" fontId="16" fillId="0" borderId="0" xfId="0" applyNumberFormat="1" applyFont="1"/>
    <xf numFmtId="176" fontId="16" fillId="0" borderId="0" xfId="0" applyNumberFormat="1" applyFont="1" applyAlignment="1">
      <alignment vertical="top" wrapText="1"/>
    </xf>
    <xf numFmtId="0" fontId="16" fillId="12" borderId="37" xfId="0" applyFont="1" applyFill="1" applyBorder="1" applyAlignment="1">
      <alignment vertical="top" wrapText="1"/>
    </xf>
    <xf numFmtId="180" fontId="16" fillId="0" borderId="64" xfId="0" applyNumberFormat="1" applyFont="1" applyBorder="1" applyAlignment="1">
      <alignment vertical="top" wrapText="1"/>
    </xf>
    <xf numFmtId="180" fontId="16" fillId="0" borderId="79" xfId="0" applyNumberFormat="1" applyFont="1" applyBorder="1" applyAlignment="1">
      <alignment vertical="top" wrapText="1"/>
    </xf>
    <xf numFmtId="182" fontId="16" fillId="11" borderId="68" xfId="0" applyNumberFormat="1" applyFont="1" applyFill="1" applyBorder="1" applyAlignment="1">
      <alignment vertical="top" wrapText="1"/>
    </xf>
    <xf numFmtId="176" fontId="16" fillId="0" borderId="76" xfId="0" applyNumberFormat="1" applyFont="1" applyBorder="1" applyAlignment="1">
      <alignment vertical="top" wrapText="1"/>
    </xf>
    <xf numFmtId="181" fontId="16" fillId="0" borderId="61" xfId="0" applyNumberFormat="1" applyFont="1" applyBorder="1" applyAlignment="1">
      <alignment horizontal="center" vertical="top" wrapText="1"/>
    </xf>
    <xf numFmtId="0" fontId="16" fillId="0" borderId="39" xfId="0" applyFont="1" applyBorder="1" applyAlignment="1">
      <alignment vertical="top" wrapText="1"/>
    </xf>
    <xf numFmtId="38" fontId="16" fillId="0" borderId="24" xfId="5" applyFont="1" applyBorder="1" applyAlignment="1">
      <alignment vertical="top" wrapText="1"/>
    </xf>
    <xf numFmtId="182" fontId="16" fillId="0" borderId="64" xfId="0" applyNumberFormat="1" applyFont="1" applyBorder="1" applyAlignment="1">
      <alignment vertical="top" wrapText="1"/>
    </xf>
    <xf numFmtId="176" fontId="16" fillId="0" borderId="77" xfId="0" applyNumberFormat="1" applyFont="1" applyBorder="1" applyAlignment="1">
      <alignment vertical="top" wrapText="1"/>
    </xf>
    <xf numFmtId="0" fontId="16" fillId="0" borderId="40" xfId="0" applyFont="1" applyBorder="1" applyAlignment="1">
      <alignment vertical="top" wrapText="1"/>
    </xf>
    <xf numFmtId="181" fontId="16" fillId="0" borderId="58" xfId="0" applyNumberFormat="1" applyFont="1" applyBorder="1" applyAlignment="1">
      <alignment horizontal="center" vertical="top" wrapText="1"/>
    </xf>
    <xf numFmtId="0" fontId="16" fillId="0" borderId="60" xfId="0" applyFont="1" applyBorder="1" applyAlignment="1">
      <alignment horizontal="center" vertical="top" wrapText="1"/>
    </xf>
    <xf numFmtId="181" fontId="16" fillId="0" borderId="48" xfId="0" applyNumberFormat="1" applyFont="1" applyBorder="1" applyAlignment="1">
      <alignment horizontal="center" vertical="top" wrapText="1"/>
    </xf>
    <xf numFmtId="0" fontId="16" fillId="0" borderId="48" xfId="0" applyFont="1" applyBorder="1" applyAlignment="1">
      <alignment vertical="top" wrapText="1"/>
    </xf>
    <xf numFmtId="0" fontId="16" fillId="0" borderId="48" xfId="0" applyFont="1" applyBorder="1" applyAlignment="1">
      <alignment horizontal="left" vertical="top" wrapText="1"/>
    </xf>
    <xf numFmtId="177" fontId="16" fillId="0" borderId="48" xfId="0" applyNumberFormat="1" applyFont="1" applyBorder="1" applyAlignment="1">
      <alignment vertical="top" wrapText="1"/>
    </xf>
    <xf numFmtId="0" fontId="16" fillId="0" borderId="49" xfId="0" applyFont="1" applyBorder="1" applyAlignment="1">
      <alignment vertical="top" wrapText="1"/>
    </xf>
    <xf numFmtId="180" fontId="16" fillId="0" borderId="65" xfId="0" applyNumberFormat="1" applyFont="1" applyBorder="1" applyAlignment="1">
      <alignment vertical="top" wrapText="1"/>
    </xf>
    <xf numFmtId="182" fontId="16" fillId="11" borderId="69" xfId="0" applyNumberFormat="1" applyFont="1" applyFill="1" applyBorder="1" applyAlignment="1">
      <alignment vertical="top" wrapText="1"/>
    </xf>
    <xf numFmtId="176" fontId="16" fillId="0" borderId="50" xfId="0" applyNumberFormat="1" applyFont="1" applyBorder="1" applyAlignment="1">
      <alignment vertical="top" wrapText="1"/>
    </xf>
    <xf numFmtId="181" fontId="16" fillId="0" borderId="50" xfId="0" applyNumberFormat="1" applyFont="1" applyBorder="1" applyAlignment="1">
      <alignment horizontal="center" vertical="top" wrapText="1"/>
    </xf>
    <xf numFmtId="0" fontId="16" fillId="0" borderId="73" xfId="0" applyFont="1" applyBorder="1" applyAlignment="1">
      <alignment vertical="top" wrapText="1"/>
    </xf>
    <xf numFmtId="181" fontId="16" fillId="0" borderId="59" xfId="0" applyNumberFormat="1" applyFont="1" applyBorder="1" applyAlignment="1">
      <alignment horizontal="center" vertical="top" wrapText="1"/>
    </xf>
    <xf numFmtId="0" fontId="16" fillId="0" borderId="50" xfId="0" applyFont="1" applyBorder="1" applyAlignment="1">
      <alignment vertical="top" wrapText="1"/>
    </xf>
    <xf numFmtId="181" fontId="16" fillId="0" borderId="51" xfId="0" applyNumberFormat="1" applyFont="1" applyBorder="1" applyAlignment="1">
      <alignment horizontal="center" vertical="top" wrapText="1"/>
    </xf>
    <xf numFmtId="0" fontId="16" fillId="9" borderId="52" xfId="0" applyFont="1" applyFill="1" applyBorder="1" applyAlignment="1">
      <alignment horizontal="center"/>
    </xf>
    <xf numFmtId="181" fontId="16" fillId="9" borderId="53" xfId="0" applyNumberFormat="1" applyFont="1" applyFill="1" applyBorder="1" applyAlignment="1">
      <alignment horizontal="center"/>
    </xf>
    <xf numFmtId="180" fontId="16" fillId="9" borderId="53" xfId="0" applyNumberFormat="1" applyFont="1" applyFill="1" applyBorder="1"/>
    <xf numFmtId="0" fontId="29" fillId="10" borderId="66" xfId="0" applyFont="1" applyFill="1" applyBorder="1" applyAlignment="1">
      <alignment horizontal="center" vertical="center"/>
    </xf>
    <xf numFmtId="180" fontId="16" fillId="11" borderId="70" xfId="0" applyNumberFormat="1" applyFont="1" applyFill="1" applyBorder="1" applyAlignment="1">
      <alignment vertical="top" wrapText="1"/>
    </xf>
    <xf numFmtId="180" fontId="16" fillId="11" borderId="71" xfId="0" applyNumberFormat="1" applyFont="1" applyFill="1" applyBorder="1" applyAlignment="1">
      <alignment vertical="top" wrapText="1"/>
    </xf>
    <xf numFmtId="3" fontId="16" fillId="11" borderId="0" xfId="0" applyNumberFormat="1" applyFont="1" applyFill="1"/>
    <xf numFmtId="0" fontId="27" fillId="11" borderId="0" xfId="0" applyFont="1" applyFill="1"/>
    <xf numFmtId="0" fontId="16" fillId="0" borderId="0" xfId="0" applyFont="1" applyAlignment="1">
      <alignment vertical="center"/>
    </xf>
    <xf numFmtId="0" fontId="16" fillId="0" borderId="10" xfId="0" applyFont="1" applyBorder="1" applyAlignment="1">
      <alignment horizontal="left" vertical="top" wrapText="1"/>
    </xf>
    <xf numFmtId="177" fontId="16" fillId="0" borderId="10" xfId="0" applyNumberFormat="1" applyFont="1" applyBorder="1" applyAlignment="1">
      <alignment vertical="top" wrapText="1"/>
    </xf>
    <xf numFmtId="182" fontId="16" fillId="11" borderId="78" xfId="0" applyNumberFormat="1" applyFont="1" applyFill="1" applyBorder="1" applyAlignment="1">
      <alignment vertical="top" wrapText="1"/>
    </xf>
    <xf numFmtId="176" fontId="16" fillId="0" borderId="40" xfId="0" applyNumberFormat="1" applyFont="1" applyBorder="1" applyAlignment="1">
      <alignment horizontal="right" vertical="top" wrapText="1"/>
    </xf>
    <xf numFmtId="176" fontId="16" fillId="0" borderId="77" xfId="0" applyNumberFormat="1" applyFont="1" applyBorder="1" applyAlignment="1">
      <alignment horizontal="right" vertical="top" wrapText="1"/>
    </xf>
    <xf numFmtId="0" fontId="16" fillId="0" borderId="81" xfId="0" applyFont="1" applyBorder="1" applyAlignment="1">
      <alignment vertical="top" wrapText="1"/>
    </xf>
    <xf numFmtId="0" fontId="16" fillId="12" borderId="35" xfId="0" applyFont="1" applyFill="1" applyBorder="1" applyAlignment="1">
      <alignment horizontal="center" vertical="center" wrapText="1"/>
    </xf>
    <xf numFmtId="181" fontId="16" fillId="12" borderId="36" xfId="0" applyNumberFormat="1" applyFont="1" applyFill="1" applyBorder="1" applyAlignment="1">
      <alignment vertical="top" wrapText="1"/>
    </xf>
    <xf numFmtId="0" fontId="16" fillId="12" borderId="36" xfId="0" applyFont="1" applyFill="1" applyBorder="1" applyAlignment="1">
      <alignment vertical="top" wrapText="1"/>
    </xf>
    <xf numFmtId="181" fontId="16" fillId="12" borderId="36" xfId="0" applyNumberFormat="1" applyFont="1" applyFill="1" applyBorder="1" applyAlignment="1">
      <alignment horizontal="left" vertical="top" wrapText="1"/>
    </xf>
    <xf numFmtId="180" fontId="16" fillId="12" borderId="36" xfId="0" applyNumberFormat="1" applyFont="1" applyFill="1" applyBorder="1" applyAlignment="1">
      <alignment horizontal="left" vertical="top" wrapText="1"/>
    </xf>
    <xf numFmtId="180" fontId="16" fillId="12" borderId="80" xfId="0" applyNumberFormat="1" applyFont="1" applyFill="1" applyBorder="1" applyAlignment="1">
      <alignment horizontal="left" vertical="top" wrapText="1"/>
    </xf>
    <xf numFmtId="182" fontId="16" fillId="12" borderId="82" xfId="0" applyNumberFormat="1" applyFont="1" applyFill="1" applyBorder="1" applyAlignment="1">
      <alignment horizontal="left" vertical="top" wrapText="1"/>
    </xf>
    <xf numFmtId="182" fontId="16" fillId="12" borderId="75" xfId="0" applyNumberFormat="1" applyFont="1" applyFill="1" applyBorder="1" applyAlignment="1">
      <alignment vertical="top" wrapText="1"/>
    </xf>
    <xf numFmtId="0" fontId="16" fillId="12" borderId="2" xfId="0" applyFont="1" applyFill="1" applyBorder="1" applyAlignment="1">
      <alignment horizontal="left" vertical="top" wrapText="1"/>
    </xf>
    <xf numFmtId="0" fontId="16" fillId="12" borderId="57" xfId="0" applyFont="1" applyFill="1" applyBorder="1" applyAlignment="1">
      <alignment horizontal="left" vertical="top" wrapText="1"/>
    </xf>
    <xf numFmtId="181" fontId="16" fillId="12" borderId="45" xfId="0" applyNumberFormat="1" applyFont="1" applyFill="1" applyBorder="1" applyAlignment="1">
      <alignment vertical="top" wrapText="1"/>
    </xf>
    <xf numFmtId="181" fontId="16" fillId="12" borderId="2" xfId="0" applyNumberFormat="1" applyFont="1" applyFill="1" applyBorder="1" applyAlignment="1">
      <alignment vertical="top" wrapText="1"/>
    </xf>
    <xf numFmtId="181" fontId="16" fillId="0" borderId="0" xfId="0" applyNumberFormat="1" applyFont="1" applyAlignment="1">
      <alignment horizontal="left"/>
    </xf>
    <xf numFmtId="0" fontId="16" fillId="0" borderId="0" xfId="0" applyFont="1" applyAlignment="1">
      <alignment horizontal="left"/>
    </xf>
    <xf numFmtId="49" fontId="16" fillId="0" borderId="0" xfId="0" applyNumberFormat="1" applyFont="1" applyAlignment="1">
      <alignment horizontal="center" vertical="center"/>
    </xf>
    <xf numFmtId="182" fontId="16" fillId="4" borderId="12" xfId="0" applyNumberFormat="1" applyFont="1" applyFill="1" applyBorder="1" applyAlignment="1">
      <alignment horizontal="center" vertical="center" wrapText="1"/>
    </xf>
    <xf numFmtId="0" fontId="16" fillId="4" borderId="35" xfId="0" applyFont="1" applyFill="1" applyBorder="1" applyAlignment="1">
      <alignment horizontal="center" vertical="center" wrapText="1"/>
    </xf>
    <xf numFmtId="181" fontId="16" fillId="4" borderId="36" xfId="0" applyNumberFormat="1" applyFont="1" applyFill="1" applyBorder="1" applyAlignment="1">
      <alignment horizontal="center" vertical="center" wrapText="1"/>
    </xf>
    <xf numFmtId="0" fontId="16" fillId="4" borderId="36" xfId="0" applyFont="1" applyFill="1" applyBorder="1" applyAlignment="1">
      <alignment horizontal="center" vertical="center" wrapText="1"/>
    </xf>
    <xf numFmtId="180" fontId="16" fillId="4" borderId="36" xfId="0" applyNumberFormat="1" applyFont="1" applyFill="1" applyBorder="1" applyAlignment="1">
      <alignment horizontal="center" vertical="center" wrapText="1"/>
    </xf>
    <xf numFmtId="0" fontId="16" fillId="4" borderId="37" xfId="0" applyFont="1" applyFill="1" applyBorder="1" applyAlignment="1">
      <alignment horizontal="center" vertical="center" wrapText="1"/>
    </xf>
    <xf numFmtId="180" fontId="16" fillId="4" borderId="67" xfId="0" applyNumberFormat="1" applyFont="1" applyFill="1" applyBorder="1" applyAlignment="1">
      <alignment horizontal="center" vertical="center" wrapText="1"/>
    </xf>
    <xf numFmtId="182" fontId="16" fillId="4" borderId="72" xfId="0" applyNumberFormat="1" applyFont="1" applyFill="1" applyBorder="1" applyAlignment="1">
      <alignment horizontal="center" vertical="center" wrapText="1"/>
    </xf>
    <xf numFmtId="182" fontId="16" fillId="4" borderId="2" xfId="0" applyNumberFormat="1" applyFont="1" applyFill="1" applyBorder="1" applyAlignment="1">
      <alignment horizontal="center" vertical="center" wrapText="1"/>
    </xf>
    <xf numFmtId="182" fontId="16" fillId="4" borderId="75" xfId="0" applyNumberFormat="1"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57" xfId="0" applyFont="1" applyFill="1" applyBorder="1" applyAlignment="1">
      <alignment horizontal="center" vertical="center" wrapText="1"/>
    </xf>
    <xf numFmtId="181" fontId="16" fillId="13" borderId="45" xfId="0" applyNumberFormat="1" applyFont="1" applyFill="1" applyBorder="1" applyAlignment="1">
      <alignment horizontal="center" vertical="center" wrapText="1"/>
    </xf>
    <xf numFmtId="181" fontId="16" fillId="13" borderId="2" xfId="0" applyNumberFormat="1" applyFont="1" applyFill="1" applyBorder="1" applyAlignment="1">
      <alignment horizontal="center" vertical="center" wrapText="1"/>
    </xf>
    <xf numFmtId="0" fontId="16" fillId="4" borderId="12" xfId="0" applyFont="1" applyFill="1" applyBorder="1" applyAlignment="1">
      <alignment horizontal="right" vertical="center"/>
    </xf>
    <xf numFmtId="0" fontId="30" fillId="0" borderId="0" xfId="6" applyFont="1">
      <alignment vertical="center"/>
    </xf>
    <xf numFmtId="0" fontId="16" fillId="0" borderId="17" xfId="6" applyFont="1" applyBorder="1" applyAlignment="1">
      <alignment horizontal="center" vertical="top" wrapText="1"/>
    </xf>
    <xf numFmtId="0" fontId="16" fillId="0" borderId="12" xfId="7" applyFont="1" applyBorder="1" applyAlignment="1">
      <alignment horizontal="left" vertical="top" wrapText="1"/>
    </xf>
    <xf numFmtId="0" fontId="16" fillId="0" borderId="12" xfId="7" applyFont="1" applyBorder="1" applyAlignment="1">
      <alignment horizontal="center" vertical="center" wrapText="1"/>
    </xf>
    <xf numFmtId="0" fontId="16" fillId="2" borderId="12" xfId="7" applyFont="1" applyFill="1" applyBorder="1" applyAlignment="1">
      <alignment horizontal="left" vertical="top" wrapText="1"/>
    </xf>
    <xf numFmtId="0" fontId="30" fillId="0" borderId="19" xfId="6" applyFont="1" applyBorder="1" applyAlignment="1">
      <alignment horizontal="center" vertical="center"/>
    </xf>
    <xf numFmtId="0" fontId="16" fillId="0" borderId="19" xfId="6" applyFont="1" applyBorder="1" applyAlignment="1">
      <alignment horizontal="center" vertical="center"/>
    </xf>
    <xf numFmtId="0" fontId="16" fillId="0" borderId="0" xfId="6" applyFont="1">
      <alignment vertical="center"/>
    </xf>
    <xf numFmtId="0" fontId="16" fillId="0" borderId="12" xfId="6" applyFont="1" applyBorder="1" applyAlignment="1">
      <alignment horizontal="left" vertical="top" wrapText="1"/>
    </xf>
    <xf numFmtId="0" fontId="16" fillId="0" borderId="12" xfId="6" applyFont="1" applyBorder="1" applyAlignment="1">
      <alignment horizontal="center" vertical="center" wrapText="1"/>
    </xf>
    <xf numFmtId="0" fontId="16" fillId="0" borderId="12" xfId="7" applyFont="1" applyBorder="1" applyAlignment="1">
      <alignment vertical="top" wrapText="1"/>
    </xf>
    <xf numFmtId="0" fontId="16" fillId="3" borderId="12" xfId="7" applyFont="1" applyFill="1" applyBorder="1" applyAlignment="1">
      <alignment horizontal="left" vertical="top" wrapText="1"/>
    </xf>
    <xf numFmtId="0" fontId="16" fillId="3" borderId="12" xfId="8" applyFont="1" applyFill="1" applyBorder="1" applyAlignment="1">
      <alignment horizontal="left" vertical="top" wrapText="1"/>
    </xf>
    <xf numFmtId="0" fontId="16" fillId="3" borderId="12" xfId="6" applyFont="1" applyFill="1" applyBorder="1" applyAlignment="1">
      <alignment horizontal="left" vertical="top" wrapText="1"/>
    </xf>
    <xf numFmtId="0" fontId="16" fillId="0" borderId="12" xfId="10" applyFont="1" applyBorder="1" applyAlignment="1">
      <alignment horizontal="left" vertical="top" wrapText="1"/>
    </xf>
    <xf numFmtId="0" fontId="16" fillId="0" borderId="12" xfId="10" applyFont="1" applyBorder="1" applyAlignment="1">
      <alignment horizontal="center" vertical="center" wrapText="1"/>
    </xf>
    <xf numFmtId="0" fontId="16" fillId="0" borderId="20" xfId="6" applyFont="1" applyBorder="1" applyAlignment="1">
      <alignment horizontal="center" vertical="top" wrapText="1"/>
    </xf>
    <xf numFmtId="0" fontId="16" fillId="0" borderId="21" xfId="6" applyFont="1" applyBorder="1" applyAlignment="1">
      <alignment horizontal="left" vertical="top" wrapText="1"/>
    </xf>
    <xf numFmtId="0" fontId="16" fillId="0" borderId="21" xfId="6" applyFont="1" applyBorder="1" applyAlignment="1">
      <alignment horizontal="center" vertical="center" wrapText="1"/>
    </xf>
    <xf numFmtId="0" fontId="16" fillId="3" borderId="21" xfId="6" applyFont="1" applyFill="1" applyBorder="1" applyAlignment="1">
      <alignment horizontal="left" vertical="top" wrapText="1"/>
    </xf>
    <xf numFmtId="0" fontId="30" fillId="0" borderId="22" xfId="6" applyFont="1" applyBorder="1" applyAlignment="1">
      <alignment horizontal="center" vertical="center"/>
    </xf>
    <xf numFmtId="0" fontId="30" fillId="0" borderId="0" xfId="6" applyFont="1" applyAlignment="1">
      <alignment horizontal="center" vertical="center" wrapText="1"/>
    </xf>
    <xf numFmtId="0" fontId="30" fillId="0" borderId="0" xfId="6" applyFont="1" applyAlignment="1">
      <alignment horizontal="center" vertical="center"/>
    </xf>
    <xf numFmtId="0" fontId="30" fillId="0" borderId="0" xfId="6" applyFont="1" applyAlignment="1">
      <alignment horizontal="left" vertical="top"/>
    </xf>
    <xf numFmtId="0" fontId="15" fillId="0" borderId="0" xfId="6" applyFont="1" applyAlignment="1">
      <alignment horizontal="left" vertical="center"/>
    </xf>
    <xf numFmtId="0" fontId="16" fillId="0" borderId="0" xfId="0" applyFont="1" applyAlignment="1">
      <alignment vertical="center" wrapText="1"/>
    </xf>
    <xf numFmtId="0" fontId="16" fillId="4" borderId="12" xfId="0" applyFont="1" applyFill="1" applyBorder="1" applyAlignment="1">
      <alignment horizontal="center" vertical="center" wrapText="1"/>
    </xf>
    <xf numFmtId="0" fontId="16" fillId="0" borderId="9" xfId="0" applyFont="1" applyBorder="1" applyAlignment="1">
      <alignment vertical="top" wrapText="1"/>
    </xf>
    <xf numFmtId="179" fontId="16" fillId="0" borderId="10" xfId="0" applyNumberFormat="1" applyFont="1" applyBorder="1" applyAlignment="1">
      <alignment vertical="top" wrapText="1"/>
    </xf>
    <xf numFmtId="179" fontId="16" fillId="0" borderId="4" xfId="0" applyNumberFormat="1" applyFont="1" applyBorder="1" applyAlignment="1">
      <alignment vertical="top" wrapText="1"/>
    </xf>
    <xf numFmtId="0" fontId="16" fillId="0" borderId="6" xfId="0" applyFont="1" applyBorder="1" applyAlignment="1">
      <alignment vertical="top" wrapText="1"/>
    </xf>
    <xf numFmtId="0" fontId="16" fillId="0" borderId="7" xfId="0" applyFont="1" applyBorder="1" applyAlignment="1">
      <alignment vertical="top" wrapText="1"/>
    </xf>
    <xf numFmtId="179" fontId="16" fillId="0" borderId="7" xfId="0" applyNumberFormat="1" applyFont="1" applyBorder="1" applyAlignment="1">
      <alignment vertical="top" wrapText="1"/>
    </xf>
    <xf numFmtId="0" fontId="16" fillId="0" borderId="8" xfId="0" applyFont="1" applyBorder="1" applyAlignment="1">
      <alignment vertical="top" wrapText="1"/>
    </xf>
    <xf numFmtId="0" fontId="16" fillId="0" borderId="0" xfId="0" applyFont="1" applyAlignment="1">
      <alignment vertical="top"/>
    </xf>
    <xf numFmtId="0" fontId="16" fillId="0" borderId="83" xfId="0" applyFont="1" applyBorder="1" applyAlignment="1">
      <alignment horizontal="left" vertical="center"/>
    </xf>
    <xf numFmtId="0" fontId="16" fillId="0" borderId="4" xfId="0" applyFont="1" applyBorder="1" applyAlignment="1">
      <alignment vertical="top" wrapText="1" shrinkToFit="1"/>
    </xf>
    <xf numFmtId="0" fontId="15" fillId="0" borderId="0" xfId="0" applyFont="1" applyAlignment="1">
      <alignment horizontal="left"/>
    </xf>
    <xf numFmtId="49" fontId="16" fillId="4" borderId="12" xfId="0" applyNumberFormat="1" applyFont="1" applyFill="1" applyBorder="1" applyAlignment="1">
      <alignment horizontal="right" vertical="center"/>
    </xf>
    <xf numFmtId="0" fontId="31" fillId="4" borderId="13" xfId="0" applyFont="1" applyFill="1" applyBorder="1" applyAlignment="1">
      <alignment horizontal="center" vertical="center" wrapText="1"/>
    </xf>
    <xf numFmtId="0" fontId="31" fillId="4" borderId="42" xfId="0" applyFont="1" applyFill="1" applyBorder="1" applyAlignment="1">
      <alignment horizontal="center" vertical="center" wrapText="1"/>
    </xf>
    <xf numFmtId="0" fontId="31" fillId="4" borderId="14" xfId="0" applyFont="1" applyFill="1" applyBorder="1" applyAlignment="1">
      <alignment horizontal="center" vertical="center" wrapText="1"/>
    </xf>
    <xf numFmtId="0" fontId="31" fillId="4" borderId="15" xfId="0" applyFont="1" applyFill="1" applyBorder="1" applyAlignment="1">
      <alignment horizontal="center" vertical="center" wrapText="1"/>
    </xf>
    <xf numFmtId="0" fontId="31" fillId="4" borderId="16" xfId="0" applyFont="1" applyFill="1" applyBorder="1" applyAlignment="1">
      <alignment horizontal="center" vertical="center" wrapText="1"/>
    </xf>
    <xf numFmtId="181" fontId="16" fillId="4" borderId="12" xfId="0" applyNumberFormat="1" applyFont="1" applyFill="1" applyBorder="1" applyAlignment="1">
      <alignment horizontal="left"/>
    </xf>
    <xf numFmtId="0" fontId="27" fillId="0" borderId="12" xfId="0" applyFont="1" applyBorder="1"/>
    <xf numFmtId="0" fontId="27" fillId="0" borderId="12" xfId="9" applyFont="1" applyBorder="1" applyAlignment="1">
      <alignment vertical="center"/>
    </xf>
    <xf numFmtId="0" fontId="14" fillId="0" borderId="0" xfId="6" applyFont="1" applyAlignment="1">
      <alignment horizontal="center" vertical="center"/>
    </xf>
    <xf numFmtId="14" fontId="16" fillId="0" borderId="12" xfId="0" applyNumberFormat="1" applyFont="1" applyBorder="1" applyAlignment="1">
      <alignment horizontal="left" vertical="center"/>
    </xf>
    <xf numFmtId="185" fontId="16" fillId="0" borderId="0" xfId="0" applyNumberFormat="1" applyFont="1"/>
    <xf numFmtId="182" fontId="27" fillId="12" borderId="2" xfId="0" applyNumberFormat="1" applyFont="1" applyFill="1" applyBorder="1" applyAlignment="1">
      <alignment vertical="top" wrapText="1"/>
    </xf>
    <xf numFmtId="0" fontId="22" fillId="6" borderId="84" xfId="0" applyFont="1" applyFill="1" applyBorder="1" applyAlignment="1">
      <alignment horizontal="center" vertical="center" wrapText="1"/>
    </xf>
    <xf numFmtId="182" fontId="16" fillId="9" borderId="85" xfId="0" applyNumberFormat="1" applyFont="1" applyFill="1" applyBorder="1"/>
    <xf numFmtId="182" fontId="16" fillId="9" borderId="86" xfId="0" applyNumberFormat="1" applyFont="1" applyFill="1" applyBorder="1"/>
    <xf numFmtId="0" fontId="16" fillId="9" borderId="88" xfId="0" applyFont="1" applyFill="1" applyBorder="1"/>
    <xf numFmtId="0" fontId="16" fillId="9" borderId="89" xfId="0" applyFont="1" applyFill="1" applyBorder="1"/>
    <xf numFmtId="0" fontId="16" fillId="9" borderId="90" xfId="0" applyFont="1" applyFill="1" applyBorder="1"/>
    <xf numFmtId="0" fontId="16" fillId="13" borderId="37" xfId="0" applyFont="1" applyFill="1" applyBorder="1" applyAlignment="1">
      <alignment horizontal="center" vertical="center" wrapText="1"/>
    </xf>
    <xf numFmtId="0" fontId="33" fillId="13" borderId="91" xfId="0" applyFont="1" applyFill="1" applyBorder="1" applyAlignment="1">
      <alignment horizontal="center" vertical="center" wrapText="1"/>
    </xf>
    <xf numFmtId="0" fontId="16" fillId="12" borderId="92" xfId="0" applyFont="1" applyFill="1" applyBorder="1" applyAlignment="1">
      <alignment vertical="top" wrapText="1"/>
    </xf>
    <xf numFmtId="182" fontId="16" fillId="3" borderId="93" xfId="0" applyNumberFormat="1" applyFont="1" applyFill="1" applyBorder="1" applyAlignment="1">
      <alignment vertical="top" wrapText="1"/>
    </xf>
    <xf numFmtId="182" fontId="16" fillId="3" borderId="94" xfId="0" applyNumberFormat="1" applyFont="1" applyFill="1" applyBorder="1" applyAlignment="1">
      <alignment vertical="top" wrapText="1"/>
    </xf>
    <xf numFmtId="182" fontId="16" fillId="3" borderId="95" xfId="0" applyNumberFormat="1" applyFont="1" applyFill="1" applyBorder="1" applyAlignment="1">
      <alignment vertical="top" wrapText="1"/>
    </xf>
    <xf numFmtId="180" fontId="16" fillId="11" borderId="96" xfId="0" applyNumberFormat="1" applyFont="1" applyFill="1" applyBorder="1" applyAlignment="1">
      <alignment vertical="top" wrapText="1"/>
    </xf>
    <xf numFmtId="0" fontId="16" fillId="9" borderId="98" xfId="0" applyFont="1" applyFill="1" applyBorder="1"/>
    <xf numFmtId="0" fontId="22" fillId="13" borderId="91" xfId="0" applyFont="1" applyFill="1" applyBorder="1" applyAlignment="1">
      <alignment horizontal="center" vertical="center" wrapText="1"/>
    </xf>
    <xf numFmtId="180" fontId="16" fillId="0" borderId="93" xfId="0" applyNumberFormat="1" applyFont="1" applyBorder="1" applyAlignment="1">
      <alignment vertical="top" wrapText="1"/>
    </xf>
    <xf numFmtId="180" fontId="16" fillId="0" borderId="94" xfId="0" applyNumberFormat="1" applyFont="1" applyBorder="1" applyAlignment="1">
      <alignment vertical="top" wrapText="1"/>
    </xf>
    <xf numFmtId="182" fontId="16" fillId="0" borderId="94" xfId="0" applyNumberFormat="1" applyFont="1" applyBorder="1" applyAlignment="1">
      <alignment vertical="top" wrapText="1"/>
    </xf>
    <xf numFmtId="180" fontId="16" fillId="0" borderId="95" xfId="0" applyNumberFormat="1" applyFont="1" applyBorder="1" applyAlignment="1">
      <alignment vertical="top" wrapText="1"/>
    </xf>
    <xf numFmtId="0" fontId="34" fillId="0" borderId="0" xfId="11" applyFill="1"/>
    <xf numFmtId="181" fontId="16" fillId="4" borderId="82" xfId="0" applyNumberFormat="1" applyFont="1" applyFill="1" applyBorder="1" applyAlignment="1">
      <alignment horizontal="center" vertical="center" wrapText="1"/>
    </xf>
    <xf numFmtId="0" fontId="16" fillId="12" borderId="35" xfId="0" applyFont="1" applyFill="1" applyBorder="1" applyAlignment="1">
      <alignment vertical="top" wrapText="1"/>
    </xf>
    <xf numFmtId="0" fontId="16" fillId="12" borderId="82" xfId="0" applyFont="1" applyFill="1" applyBorder="1" applyAlignment="1">
      <alignment vertical="top" wrapText="1"/>
    </xf>
    <xf numFmtId="0" fontId="16" fillId="0" borderId="12" xfId="0" applyFont="1" applyBorder="1" applyAlignment="1">
      <alignment horizontal="center" vertical="center" wrapText="1"/>
    </xf>
    <xf numFmtId="0" fontId="17" fillId="0" borderId="12" xfId="0" applyFont="1" applyBorder="1" applyAlignment="1">
      <alignment vertical="top" wrapText="1"/>
    </xf>
    <xf numFmtId="0" fontId="16" fillId="4" borderId="12" xfId="0" applyFont="1" applyFill="1" applyBorder="1" applyAlignment="1">
      <alignment horizontal="right"/>
    </xf>
    <xf numFmtId="0" fontId="17" fillId="13" borderId="62" xfId="0" applyFont="1" applyFill="1" applyBorder="1" applyAlignment="1">
      <alignment vertical="center" wrapText="1"/>
    </xf>
    <xf numFmtId="0" fontId="17" fillId="13" borderId="2" xfId="0" applyFont="1" applyFill="1" applyBorder="1" applyAlignment="1">
      <alignment vertical="center" wrapText="1"/>
    </xf>
    <xf numFmtId="0" fontId="17" fillId="13" borderId="63" xfId="0" applyFont="1" applyFill="1" applyBorder="1" applyAlignment="1">
      <alignment vertical="center" wrapText="1"/>
    </xf>
    <xf numFmtId="0" fontId="31" fillId="4" borderId="15" xfId="0" applyFont="1" applyFill="1" applyBorder="1" applyAlignment="1">
      <alignment horizontal="center" vertical="center" wrapText="1"/>
    </xf>
    <xf numFmtId="0" fontId="31" fillId="4" borderId="42" xfId="0" applyFont="1" applyFill="1" applyBorder="1" applyAlignment="1">
      <alignment horizontal="center" vertical="center" wrapText="1"/>
    </xf>
    <xf numFmtId="49" fontId="16" fillId="0" borderId="12" xfId="0" applyNumberFormat="1" applyFont="1" applyBorder="1" applyAlignment="1">
      <alignment vertical="center"/>
    </xf>
    <xf numFmtId="181" fontId="16" fillId="0" borderId="18" xfId="0" applyNumberFormat="1" applyFont="1" applyBorder="1" applyAlignment="1">
      <alignment horizontal="left"/>
    </xf>
    <xf numFmtId="181" fontId="16" fillId="0" borderId="43" xfId="0" applyNumberFormat="1" applyFont="1" applyBorder="1" applyAlignment="1">
      <alignment horizontal="left"/>
    </xf>
    <xf numFmtId="181" fontId="28" fillId="0" borderId="12" xfId="0" applyNumberFormat="1" applyFont="1" applyBorder="1" applyAlignment="1">
      <alignment horizontal="left"/>
    </xf>
    <xf numFmtId="181" fontId="28" fillId="0" borderId="18" xfId="0" applyNumberFormat="1" applyFont="1" applyBorder="1" applyAlignment="1">
      <alignment horizontal="center"/>
    </xf>
    <xf numFmtId="181" fontId="28" fillId="0" borderId="43" xfId="0" applyNumberFormat="1" applyFont="1" applyBorder="1" applyAlignment="1">
      <alignment horizontal="center"/>
    </xf>
    <xf numFmtId="0" fontId="16" fillId="0" borderId="18" xfId="0" applyFont="1" applyBorder="1" applyAlignment="1">
      <alignment horizontal="right" vertical="center"/>
    </xf>
    <xf numFmtId="0" fontId="16" fillId="0" borderId="2" xfId="0" applyFont="1" applyBorder="1" applyAlignment="1">
      <alignment horizontal="right" vertical="center"/>
    </xf>
    <xf numFmtId="0" fontId="16" fillId="0" borderId="43" xfId="0" applyFont="1" applyBorder="1" applyAlignment="1">
      <alignment horizontal="right" vertical="center"/>
    </xf>
    <xf numFmtId="182" fontId="16" fillId="4" borderId="12" xfId="0" applyNumberFormat="1" applyFont="1" applyFill="1" applyBorder="1" applyAlignment="1">
      <alignment horizontal="center" vertical="center" wrapText="1"/>
    </xf>
    <xf numFmtId="182" fontId="16" fillId="4" borderId="2" xfId="0" applyNumberFormat="1" applyFont="1" applyFill="1" applyBorder="1" applyAlignment="1">
      <alignment horizontal="center" vertical="center" wrapText="1"/>
    </xf>
    <xf numFmtId="182" fontId="16" fillId="4" borderId="43" xfId="0" applyNumberFormat="1" applyFont="1" applyFill="1" applyBorder="1" applyAlignment="1">
      <alignment horizontal="center" vertical="center" wrapText="1"/>
    </xf>
    <xf numFmtId="183" fontId="27" fillId="12" borderId="12" xfId="0" applyNumberFormat="1" applyFont="1" applyFill="1" applyBorder="1" applyAlignment="1">
      <alignment horizontal="center" vertical="center"/>
    </xf>
    <xf numFmtId="181" fontId="27" fillId="12" borderId="12" xfId="0" applyNumberFormat="1" applyFont="1" applyFill="1" applyBorder="1" applyAlignment="1">
      <alignment horizontal="center" vertical="center"/>
    </xf>
    <xf numFmtId="0" fontId="16" fillId="0" borderId="12" xfId="0" applyFont="1" applyBorder="1" applyAlignment="1">
      <alignment horizontal="left" vertical="center"/>
    </xf>
    <xf numFmtId="181" fontId="16" fillId="0" borderId="12" xfId="0" applyNumberFormat="1" applyFont="1" applyBorder="1" applyAlignment="1">
      <alignment horizontal="left"/>
    </xf>
    <xf numFmtId="0" fontId="16" fillId="4" borderId="12" xfId="0" applyFont="1" applyFill="1" applyBorder="1" applyAlignment="1">
      <alignment horizontal="right" vertical="center"/>
    </xf>
    <xf numFmtId="0" fontId="29" fillId="10" borderId="74" xfId="0" applyFont="1" applyFill="1" applyBorder="1" applyAlignment="1">
      <alignment horizontal="center" vertical="center"/>
    </xf>
    <xf numFmtId="0" fontId="0" fillId="0" borderId="74" xfId="0" applyBorder="1" applyAlignment="1">
      <alignment horizontal="center" vertical="center"/>
    </xf>
    <xf numFmtId="181" fontId="17" fillId="0" borderId="12" xfId="0" applyNumberFormat="1" applyFont="1" applyBorder="1" applyAlignment="1">
      <alignment horizontal="left"/>
    </xf>
    <xf numFmtId="0" fontId="29" fillId="10" borderId="87" xfId="0" applyFont="1" applyFill="1" applyBorder="1" applyAlignment="1">
      <alignment horizontal="center" vertical="center"/>
    </xf>
    <xf numFmtId="0" fontId="29" fillId="10" borderId="97" xfId="0" applyFont="1" applyFill="1" applyBorder="1" applyAlignment="1">
      <alignment horizontal="center" vertical="center"/>
    </xf>
    <xf numFmtId="181" fontId="17" fillId="0" borderId="18" xfId="0" applyNumberFormat="1" applyFont="1" applyBorder="1" applyAlignment="1">
      <alignment horizontal="center"/>
    </xf>
    <xf numFmtId="181" fontId="17" fillId="0" borderId="43" xfId="0" applyNumberFormat="1" applyFont="1" applyBorder="1" applyAlignment="1">
      <alignment horizontal="center"/>
    </xf>
    <xf numFmtId="0" fontId="16" fillId="4" borderId="13" xfId="7" applyFont="1" applyFill="1" applyBorder="1" applyAlignment="1">
      <alignment horizontal="center" vertical="center" wrapText="1"/>
    </xf>
    <xf numFmtId="0" fontId="16" fillId="4" borderId="17" xfId="7" applyFont="1" applyFill="1" applyBorder="1" applyAlignment="1">
      <alignment horizontal="center" vertical="center" wrapText="1"/>
    </xf>
    <xf numFmtId="0" fontId="16" fillId="4" borderId="14" xfId="7" applyFont="1" applyFill="1" applyBorder="1" applyAlignment="1">
      <alignment horizontal="center" vertical="center" wrapText="1"/>
    </xf>
    <xf numFmtId="0" fontId="16" fillId="4" borderId="12" xfId="7" applyFont="1" applyFill="1" applyBorder="1" applyAlignment="1">
      <alignment horizontal="center" vertical="center" wrapText="1"/>
    </xf>
    <xf numFmtId="0" fontId="16" fillId="13" borderId="14" xfId="7" applyFont="1" applyFill="1" applyBorder="1" applyAlignment="1">
      <alignment horizontal="center" vertical="center" wrapText="1"/>
    </xf>
    <xf numFmtId="0" fontId="16" fillId="13" borderId="12" xfId="7" applyFont="1" applyFill="1" applyBorder="1" applyAlignment="1">
      <alignment horizontal="center" vertical="center" wrapText="1"/>
    </xf>
    <xf numFmtId="0" fontId="16" fillId="13" borderId="16" xfId="7" applyFont="1" applyFill="1" applyBorder="1" applyAlignment="1">
      <alignment horizontal="center" vertical="center" wrapText="1"/>
    </xf>
    <xf numFmtId="0" fontId="16" fillId="13" borderId="19" xfId="7" applyFont="1" applyFill="1" applyBorder="1" applyAlignment="1">
      <alignment horizontal="center" vertical="center" wrapText="1"/>
    </xf>
    <xf numFmtId="0" fontId="16" fillId="0" borderId="12" xfId="6" applyFont="1" applyBorder="1" applyAlignment="1">
      <alignment horizontal="left" vertical="top" wrapText="1"/>
    </xf>
    <xf numFmtId="0" fontId="16" fillId="0" borderId="12" xfId="7" applyFont="1" applyBorder="1" applyAlignment="1">
      <alignment horizontal="left" vertical="top" wrapText="1"/>
    </xf>
    <xf numFmtId="0" fontId="16" fillId="0" borderId="12" xfId="7" applyFont="1" applyBorder="1" applyAlignment="1">
      <alignment horizontal="center" vertical="top" wrapText="1"/>
    </xf>
    <xf numFmtId="0" fontId="16" fillId="0" borderId="21" xfId="7" applyFont="1" applyBorder="1" applyAlignment="1">
      <alignment horizontal="left" vertical="top" wrapText="1"/>
    </xf>
    <xf numFmtId="0" fontId="16" fillId="0" borderId="12" xfId="10" applyFont="1" applyBorder="1" applyAlignment="1">
      <alignment horizontal="left" vertical="top" wrapText="1"/>
    </xf>
    <xf numFmtId="0" fontId="16" fillId="0" borderId="12" xfId="0" applyFont="1" applyBorder="1" applyAlignment="1">
      <alignment vertical="center"/>
    </xf>
    <xf numFmtId="0" fontId="16" fillId="4" borderId="12" xfId="0" applyFont="1" applyFill="1" applyBorder="1" applyAlignment="1">
      <alignment horizontal="center" vertical="center" wrapText="1"/>
    </xf>
    <xf numFmtId="0" fontId="14" fillId="0" borderId="0" xfId="6" applyFont="1" applyAlignment="1">
      <alignment horizontal="center" vertical="center"/>
    </xf>
    <xf numFmtId="0" fontId="16" fillId="0" borderId="12" xfId="0" applyFont="1" applyBorder="1" applyAlignment="1"/>
    <xf numFmtId="0" fontId="0" fillId="0" borderId="12" xfId="0" applyBorder="1" applyAlignment="1"/>
  </cellXfs>
  <cellStyles count="12">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ハイパーリンク" xfId="11" builtinId="8"/>
    <cellStyle name="桁区切り 2" xfId="5" xr:uid="{00000000-0005-0000-0000-000004000000}"/>
    <cellStyle name="標準" xfId="0" builtinId="0"/>
    <cellStyle name="標準 2" xfId="6" xr:uid="{00000000-0005-0000-0000-000006000000}"/>
    <cellStyle name="標準_Sheet1" xfId="7" xr:uid="{00000000-0005-0000-0000-000007000000}"/>
    <cellStyle name="標準_Sheet1_1" xfId="8" xr:uid="{00000000-0005-0000-0000-000008000000}"/>
    <cellStyle name="標準_チェック項目一覧" xfId="9" xr:uid="{00000000-0005-0000-0000-000009000000}"/>
    <cellStyle name="標準_対策種別一覧" xfId="10" xr:uid="{00000000-0005-0000-0000-00000A000000}"/>
  </cellStyles>
  <dxfs count="5">
    <dxf>
      <fill>
        <patternFill>
          <bgColor theme="0" tint="-0.34998626667073579"/>
        </patternFill>
      </fill>
    </dxf>
    <dxf>
      <fill>
        <patternFill>
          <bgColor theme="0" tint="-0.34998626667073579"/>
        </patternFill>
      </fill>
    </dxf>
    <dxf>
      <fill>
        <patternFill>
          <bgColor rgb="FFFF99FF"/>
        </patternFill>
      </fill>
    </dxf>
    <dxf>
      <fill>
        <patternFill>
          <bgColor theme="0" tint="-0.24994659260841701"/>
        </patternFill>
      </fill>
    </dxf>
    <dxf>
      <fill>
        <patternFill>
          <bgColor theme="0" tint="-0.24994659260841701"/>
        </patternFill>
      </fill>
    </dxf>
  </dxfs>
  <tableStyles count="0" defaultTableStyle="TableStyleMedium9" defaultPivotStyle="PivotStyleLight1"/>
  <colors>
    <mruColors>
      <color rgb="FF0000FF"/>
      <color rgb="FFFFFFCC"/>
      <color rgb="FFCCFFFF"/>
      <color rgb="FFFF99FF"/>
      <color rgb="FFFF66FF"/>
      <color rgb="FF99CCFF"/>
      <color rgb="FFCCFF33"/>
      <color rgb="FF99FF66"/>
      <color rgb="FFFFCC0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5</xdr:col>
      <xdr:colOff>704850</xdr:colOff>
      <xdr:row>57</xdr:row>
      <xdr:rowOff>104775</xdr:rowOff>
    </xdr:from>
    <xdr:to>
      <xdr:col>6</xdr:col>
      <xdr:colOff>28575</xdr:colOff>
      <xdr:row>59</xdr:row>
      <xdr:rowOff>0</xdr:rowOff>
    </xdr:to>
    <xdr:sp macro="" textlink="">
      <xdr:nvSpPr>
        <xdr:cNvPr id="42709" name="Text Box 316">
          <a:extLst>
            <a:ext uri="{FF2B5EF4-FFF2-40B4-BE49-F238E27FC236}">
              <a16:creationId xmlns:a16="http://schemas.microsoft.com/office/drawing/2014/main" id="{00000000-0008-0000-0100-0000D5A60000}"/>
            </a:ext>
          </a:extLst>
        </xdr:cNvPr>
        <xdr:cNvSpPr txBox="1">
          <a:spLocks noChangeArrowheads="1"/>
        </xdr:cNvSpPr>
      </xdr:nvSpPr>
      <xdr:spPr bwMode="auto">
        <a:xfrm>
          <a:off x="5038725" y="41890950"/>
          <a:ext cx="38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6350</xdr:colOff>
      <xdr:row>10</xdr:row>
      <xdr:rowOff>169931</xdr:rowOff>
    </xdr:from>
    <xdr:to>
      <xdr:col>13</xdr:col>
      <xdr:colOff>698500</xdr:colOff>
      <xdr:row>66</xdr:row>
      <xdr:rowOff>88107</xdr:rowOff>
    </xdr:to>
    <xdr:sp macro="" textlink="">
      <xdr:nvSpPr>
        <xdr:cNvPr id="3" name="角丸四角形 2">
          <a:extLst>
            <a:ext uri="{FF2B5EF4-FFF2-40B4-BE49-F238E27FC236}">
              <a16:creationId xmlns:a16="http://schemas.microsoft.com/office/drawing/2014/main" id="{00000000-0008-0000-0200-000003000000}"/>
            </a:ext>
          </a:extLst>
        </xdr:cNvPr>
        <xdr:cNvSpPr/>
      </xdr:nvSpPr>
      <xdr:spPr bwMode="auto">
        <a:xfrm>
          <a:off x="7775762" y="2508225"/>
          <a:ext cx="4412503" cy="11520000"/>
        </a:xfrm>
        <a:prstGeom prst="roundRect">
          <a:avLst>
            <a:gd name="adj" fmla="val 8460"/>
          </a:avLst>
        </a:prstGeom>
        <a:solidFill>
          <a:srgbClr val="FFFFFF">
            <a:alpha val="28000"/>
          </a:srgbClr>
        </a:solidFill>
        <a:ln w="44450" cap="flat" cmpd="sng"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a:t>
          </a:r>
          <a:r>
            <a:rPr kumimoji="1" lang="en-US" altLang="ja-JP" sz="2800" i="0">
              <a:latin typeface="メイリオ" panose="020B0604030504040204" pitchFamily="50" charset="-128"/>
              <a:ea typeface="メイリオ" panose="020B0604030504040204" pitchFamily="50" charset="-128"/>
            </a:rPr>
            <a:t>2</a:t>
          </a:r>
          <a:r>
            <a:rPr kumimoji="1" lang="ja-JP" altLang="en-US" sz="2800" i="0">
              <a:latin typeface="メイリオ" panose="020B0604030504040204" pitchFamily="50" charset="-128"/>
              <a:ea typeface="メイリオ" panose="020B0604030504040204" pitchFamily="50" charset="-128"/>
            </a:rPr>
            <a:t>：</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リスクを顕在化させない</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ための対応策を策定する。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a:solidFill>
                <a:schemeClr val="tx1"/>
              </a:solidFill>
              <a:latin typeface="メイリオ" panose="020B0604030504040204" pitchFamily="50" charset="-128"/>
              <a:ea typeface="メイリオ" panose="020B0604030504040204" pitchFamily="50" charset="-128"/>
            </a:rPr>
            <a:t>・手順</a:t>
          </a:r>
          <a:r>
            <a:rPr kumimoji="1" lang="en-US" altLang="ja-JP" sz="1200" i="0">
              <a:solidFill>
                <a:schemeClr val="tx1"/>
              </a:solidFill>
              <a:latin typeface="メイリオ" panose="020B0604030504040204" pitchFamily="50" charset="-128"/>
              <a:ea typeface="メイリオ" panose="020B0604030504040204" pitchFamily="50" charset="-128"/>
            </a:rPr>
            <a:t>1</a:t>
          </a:r>
          <a:r>
            <a:rPr kumimoji="1" lang="ja-JP" altLang="en-US" sz="1200" i="0">
              <a:solidFill>
                <a:schemeClr val="tx1"/>
              </a:solidFill>
              <a:latin typeface="メイリオ" panose="020B0604030504040204" pitchFamily="50" charset="-128"/>
              <a:ea typeface="メイリオ" panose="020B0604030504040204" pitchFamily="50" charset="-128"/>
            </a:rPr>
            <a:t>で算出した</a:t>
          </a:r>
          <a:r>
            <a:rPr kumimoji="1" lang="ja-JP" altLang="en-US" sz="1200" b="1" i="0" u="sng">
              <a:solidFill>
                <a:schemeClr val="tx1"/>
              </a:solidFill>
              <a:latin typeface="メイリオ" panose="020B0604030504040204" pitchFamily="50" charset="-128"/>
              <a:ea typeface="メイリオ" panose="020B0604030504040204" pitchFamily="50" charset="-128"/>
            </a:rPr>
            <a:t>予測値</a:t>
          </a:r>
          <a:r>
            <a:rPr kumimoji="1" lang="en-US" altLang="ja-JP" sz="1200" b="1" i="0" u="sng">
              <a:solidFill>
                <a:schemeClr val="tx1"/>
              </a:solidFill>
              <a:latin typeface="メイリオ" panose="020B0604030504040204" pitchFamily="50" charset="-128"/>
              <a:ea typeface="メイリオ" panose="020B0604030504040204" pitchFamily="50" charset="-128"/>
            </a:rPr>
            <a:t>(</a:t>
          </a:r>
          <a:r>
            <a:rPr kumimoji="1" lang="en-US" altLang="ja-JP" sz="1200" b="1" i="0" u="sng">
              <a:solidFill>
                <a:schemeClr val="tx1"/>
              </a:solidFill>
              <a:effectLst/>
              <a:latin typeface="メイリオ" panose="020B0604030504040204" pitchFamily="50" charset="-128"/>
              <a:ea typeface="メイリオ" panose="020B0604030504040204" pitchFamily="50" charset="-128"/>
              <a:cs typeface="+mn-cs"/>
            </a:rPr>
            <a:t>\</a:t>
          </a:r>
          <a:r>
            <a:rPr kumimoji="1" lang="en-US" altLang="ja-JP" sz="1200" b="1" i="0" u="sng">
              <a:solidFill>
                <a:schemeClr val="tx1"/>
              </a:solidFill>
              <a:latin typeface="メイリオ" panose="020B0604030504040204" pitchFamily="50" charset="-128"/>
              <a:ea typeface="メイリオ" panose="020B0604030504040204" pitchFamily="50" charset="-128"/>
            </a:rPr>
            <a:t>M</a:t>
          </a:r>
          <a:r>
            <a:rPr kumimoji="1" lang="en-US" altLang="ja-JP" sz="1200" b="1" i="0">
              <a:solidFill>
                <a:schemeClr val="tx1"/>
              </a:solidFill>
              <a:latin typeface="メイリオ" panose="020B0604030504040204" pitchFamily="50" charset="-128"/>
              <a:ea typeface="メイリオ" panose="020B0604030504040204" pitchFamily="50" charset="-128"/>
            </a:rPr>
            <a:t>)</a:t>
          </a:r>
          <a:r>
            <a:rPr kumimoji="1" lang="ja-JP" altLang="en-US" sz="1200" i="0">
              <a:solidFill>
                <a:schemeClr val="tx1"/>
              </a:solidFill>
              <a:latin typeface="メイリオ" panose="020B0604030504040204" pitchFamily="50" charset="-128"/>
              <a:ea typeface="メイリオ" panose="020B0604030504040204" pitchFamily="50" charset="-128"/>
            </a:rPr>
            <a:t>を踏まえて、想定される</a:t>
          </a:r>
          <a:endParaRPr kumimoji="1" lang="en-US" altLang="ja-JP" sz="1200" i="0">
            <a:solidFill>
              <a:schemeClr val="tx1"/>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i="0">
              <a:solidFill>
                <a:schemeClr val="tx1"/>
              </a:solidFill>
              <a:latin typeface="メイリオ" panose="020B0604030504040204" pitchFamily="50" charset="-128"/>
              <a:ea typeface="メイリオ" panose="020B0604030504040204" pitchFamily="50" charset="-128"/>
            </a:rPr>
            <a:t>　各リスクに対する</a:t>
          </a:r>
          <a:r>
            <a:rPr kumimoji="1" lang="ja-JP" altLang="en-US" sz="1200" b="1" i="0" u="sng">
              <a:solidFill>
                <a:schemeClr val="tx1"/>
              </a:solidFill>
              <a:latin typeface="メイリオ" panose="020B0604030504040204" pitchFamily="50" charset="-128"/>
              <a:ea typeface="メイリオ" panose="020B0604030504040204" pitchFamily="50" charset="-128"/>
            </a:rPr>
            <a:t>対応方針</a:t>
          </a:r>
          <a:r>
            <a:rPr kumimoji="1" lang="ja-JP" altLang="en-US" sz="1200" b="0" i="0">
              <a:solidFill>
                <a:schemeClr val="tx1"/>
              </a:solidFill>
              <a:latin typeface="メイリオ" panose="020B0604030504040204" pitchFamily="50" charset="-128"/>
              <a:ea typeface="メイリオ" panose="020B0604030504040204" pitchFamily="50" charset="-128"/>
            </a:rPr>
            <a:t>をプルダウンリストから選択し、</a:t>
          </a:r>
          <a:endParaRPr kumimoji="1" lang="en-US" altLang="ja-JP" sz="1200" b="0" i="0">
            <a:solidFill>
              <a:schemeClr val="tx1"/>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b="0" i="0">
              <a:solidFill>
                <a:schemeClr val="tx1"/>
              </a:solidFill>
              <a:latin typeface="メイリオ" panose="020B0604030504040204" pitchFamily="50" charset="-128"/>
              <a:ea typeface="メイリオ" panose="020B0604030504040204" pitchFamily="50" charset="-128"/>
            </a:rPr>
            <a:t>　決定</a:t>
          </a:r>
          <a:r>
            <a:rPr kumimoji="1" lang="ja-JP" altLang="en-US" sz="1200" i="0">
              <a:solidFill>
                <a:schemeClr val="tx1"/>
              </a:solidFill>
              <a:latin typeface="メイリオ" panose="020B0604030504040204" pitchFamily="50" charset="-128"/>
              <a:ea typeface="メイリオ" panose="020B0604030504040204" pitchFamily="50" charset="-128"/>
            </a:rPr>
            <a:t>します。</a:t>
          </a:r>
          <a:endParaRPr kumimoji="1" lang="en-US" altLang="ja-JP" sz="1200" i="0">
            <a:solidFill>
              <a:schemeClr val="tx1"/>
            </a:solidFill>
            <a:latin typeface="メイリオ" panose="020B0604030504040204" pitchFamily="50" charset="-128"/>
            <a:ea typeface="メイリオ" panose="020B0604030504040204" pitchFamily="50" charset="-128"/>
          </a:endParaRPr>
        </a:p>
        <a:p>
          <a:pPr eaLnBrk="1" fontAlgn="auto" latinLnBrk="0" hangingPunct="1"/>
          <a:r>
            <a:rPr kumimoji="1" lang="en-US" altLang="ja-JP" sz="1200" b="0" i="0" baseline="0">
              <a:solidFill>
                <a:schemeClr val="tx1"/>
              </a:solidFill>
              <a:effectLst/>
              <a:latin typeface="+mn-lt"/>
              <a:ea typeface="+mn-ea"/>
              <a:cs typeface="+mn-cs"/>
            </a:rPr>
            <a:t> </a:t>
          </a:r>
          <a:r>
            <a:rPr kumimoji="1" lang="ja-JP" altLang="ja-JP" sz="1200" b="0" i="0" baseline="0">
              <a:solidFill>
                <a:schemeClr val="tx1"/>
              </a:solidFill>
              <a:effectLst/>
              <a:latin typeface="+mn-lt"/>
              <a:ea typeface="+mn-ea"/>
              <a:cs typeface="+mn-cs"/>
            </a:rPr>
            <a:t>・</a:t>
          </a:r>
          <a:r>
            <a:rPr kumimoji="1" lang="ja-JP" altLang="ja-JP" sz="1200" b="1" i="0" baseline="0">
              <a:solidFill>
                <a:schemeClr val="tx1"/>
              </a:solidFill>
              <a:effectLst/>
              <a:latin typeface="メイリオ" panose="020B0604030504040204" pitchFamily="50" charset="-128"/>
              <a:ea typeface="メイリオ" panose="020B0604030504040204" pitchFamily="50" charset="-128"/>
              <a:cs typeface="+mn-cs"/>
            </a:rPr>
            <a:t>対応方針</a:t>
          </a:r>
          <a:r>
            <a:rPr kumimoji="1" lang="ja-JP" altLang="ja-JP" sz="1200" b="0" i="0" baseline="0">
              <a:solidFill>
                <a:schemeClr val="tx1"/>
              </a:solidFill>
              <a:effectLst/>
              <a:latin typeface="メイリオ" panose="020B0604030504040204" pitchFamily="50" charset="-128"/>
              <a:ea typeface="メイリオ" panose="020B0604030504040204" pitchFamily="50" charset="-128"/>
              <a:cs typeface="+mn-cs"/>
            </a:rPr>
            <a:t>に従い、</a:t>
          </a:r>
          <a:r>
            <a:rPr kumimoji="1" lang="ja-JP" altLang="ja-JP" sz="1200" b="1" i="0" u="sng" baseline="0">
              <a:solidFill>
                <a:schemeClr val="tx1"/>
              </a:solidFill>
              <a:effectLst/>
              <a:latin typeface="メイリオ" panose="020B0604030504040204" pitchFamily="50" charset="-128"/>
              <a:ea typeface="メイリオ" panose="020B0604030504040204" pitchFamily="50" charset="-128"/>
              <a:cs typeface="+mn-cs"/>
            </a:rPr>
            <a:t>リスクを顕在化させないための対応策</a:t>
          </a:r>
          <a:r>
            <a:rPr kumimoji="1" lang="ja-JP" altLang="ja-JP" sz="1200" b="0" i="0" baseline="0">
              <a:solidFill>
                <a:schemeClr val="tx1"/>
              </a:solidFill>
              <a:effectLst/>
              <a:latin typeface="メイリオ" panose="020B0604030504040204" pitchFamily="50" charset="-128"/>
              <a:ea typeface="メイリオ" panose="020B0604030504040204" pitchFamily="50" charset="-128"/>
              <a:cs typeface="+mn-cs"/>
            </a:rPr>
            <a:t>を</a:t>
          </a:r>
          <a:endParaRPr kumimoji="1" lang="en-US" altLang="ja-JP" sz="1200" b="0" i="0" baseline="0">
            <a:solidFill>
              <a:schemeClr val="tx1"/>
            </a:solidFill>
            <a:effectLst/>
            <a:latin typeface="メイリオ" panose="020B0604030504040204" pitchFamily="50" charset="-128"/>
            <a:ea typeface="メイリオ" panose="020B0604030504040204" pitchFamily="50" charset="-128"/>
            <a:cs typeface="+mn-cs"/>
          </a:endParaRPr>
        </a:p>
        <a:p>
          <a:pPr eaLnBrk="1" fontAlgn="auto" latinLnBrk="0" hangingPunct="1"/>
          <a:r>
            <a:rPr kumimoji="1" lang="ja-JP" altLang="en-US" sz="1200" b="0" i="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200" b="0" i="0" baseline="0">
              <a:solidFill>
                <a:schemeClr val="tx1"/>
              </a:solidFill>
              <a:effectLst/>
              <a:latin typeface="メイリオ" panose="020B0604030504040204" pitchFamily="50" charset="-128"/>
              <a:ea typeface="メイリオ" panose="020B0604030504040204" pitchFamily="50" charset="-128"/>
              <a:cs typeface="+mn-cs"/>
            </a:rPr>
            <a:t>策定します。</a:t>
          </a:r>
          <a:endParaRPr lang="ja-JP" altLang="ja-JP" sz="1200">
            <a:solidFill>
              <a:schemeClr val="tx1"/>
            </a:solidFill>
            <a:effectLst/>
            <a:latin typeface="メイリオ" panose="020B0604030504040204" pitchFamily="50" charset="-128"/>
            <a:ea typeface="メイリオ" panose="020B0604030504040204" pitchFamily="50" charset="-128"/>
          </a:endParaRPr>
        </a:p>
        <a:p>
          <a:r>
            <a:rPr kumimoji="1" lang="en-US" altLang="ja-JP" sz="1100" b="0" i="0" baseline="0">
              <a:effectLst/>
              <a:latin typeface="+mn-lt"/>
              <a:ea typeface="+mn-ea"/>
              <a:cs typeface="+mn-cs"/>
            </a:rPr>
            <a:t> </a:t>
          </a:r>
          <a:r>
            <a:rPr kumimoji="1" lang="ja-JP" altLang="ja-JP" sz="1100" b="0" i="0" baseline="0">
              <a:effectLst/>
              <a:latin typeface="+mn-lt"/>
              <a:ea typeface="+mn-ea"/>
              <a:cs typeface="+mn-cs"/>
            </a:rPr>
            <a:t>・</a:t>
          </a:r>
          <a:r>
            <a:rPr kumimoji="1" lang="ja-JP" altLang="ja-JP" sz="1200" b="1" i="0" u="sng">
              <a:solidFill>
                <a:schemeClr val="tx1"/>
              </a:solidFill>
              <a:effectLst/>
              <a:latin typeface="メイリオ" panose="020B0604030504040204" pitchFamily="50" charset="-128"/>
              <a:ea typeface="メイリオ" panose="020B0604030504040204" pitchFamily="50" charset="-128"/>
              <a:cs typeface="+mn-cs"/>
            </a:rPr>
            <a:t>対応期限</a:t>
          </a:r>
          <a:r>
            <a:rPr kumimoji="1" lang="ja-JP" altLang="ja-JP" sz="1200" b="0" i="0">
              <a:solidFill>
                <a:schemeClr val="tx1"/>
              </a:solidFill>
              <a:effectLst/>
              <a:latin typeface="メイリオ" panose="020B0604030504040204" pitchFamily="50" charset="-128"/>
              <a:ea typeface="メイリオ" panose="020B0604030504040204" pitchFamily="50" charset="-128"/>
              <a:cs typeface="+mn-cs"/>
            </a:rPr>
            <a:t>、</a:t>
          </a:r>
          <a:r>
            <a:rPr kumimoji="1" lang="ja-JP" altLang="ja-JP" sz="1200" b="1" i="0" u="sng">
              <a:solidFill>
                <a:schemeClr val="tx1"/>
              </a:solidFill>
              <a:effectLst/>
              <a:latin typeface="メイリオ" panose="020B0604030504040204" pitchFamily="50" charset="-128"/>
              <a:ea typeface="メイリオ" panose="020B0604030504040204" pitchFamily="50" charset="-128"/>
              <a:cs typeface="+mn-cs"/>
            </a:rPr>
            <a:t>対応責任者</a:t>
          </a:r>
          <a:r>
            <a:rPr kumimoji="1" lang="ja-JP" altLang="ja-JP" sz="1200" i="0">
              <a:solidFill>
                <a:schemeClr val="tx1"/>
              </a:solidFill>
              <a:effectLst/>
              <a:latin typeface="メイリオ" panose="020B0604030504040204" pitchFamily="50" charset="-128"/>
              <a:ea typeface="メイリオ" panose="020B0604030504040204" pitchFamily="50" charset="-128"/>
              <a:cs typeface="+mn-cs"/>
            </a:rPr>
            <a:t>を設定し、対応策の実施が完了</a:t>
          </a:r>
          <a:endParaRPr lang="ja-JP" altLang="ja-JP" sz="1200">
            <a:solidFill>
              <a:schemeClr val="tx1"/>
            </a:solidFill>
            <a:effectLst/>
            <a:latin typeface="メイリオ" panose="020B0604030504040204" pitchFamily="50" charset="-128"/>
            <a:ea typeface="メイリオ" panose="020B0604030504040204" pitchFamily="50" charset="-128"/>
          </a:endParaRPr>
        </a:p>
        <a:p>
          <a:r>
            <a:rPr kumimoji="1" lang="ja-JP" altLang="ja-JP" sz="1200" i="0">
              <a:solidFill>
                <a:schemeClr val="tx1"/>
              </a:solidFill>
              <a:effectLst/>
              <a:latin typeface="メイリオ" panose="020B0604030504040204" pitchFamily="50" charset="-128"/>
              <a:ea typeface="メイリオ" panose="020B0604030504040204" pitchFamily="50" charset="-128"/>
              <a:cs typeface="+mn-cs"/>
            </a:rPr>
            <a:t>　したら、</a:t>
          </a:r>
          <a:r>
            <a:rPr kumimoji="1" lang="ja-JP" altLang="ja-JP" sz="1200" b="1" i="0" u="sng">
              <a:solidFill>
                <a:schemeClr val="tx1"/>
              </a:solidFill>
              <a:effectLst/>
              <a:latin typeface="メイリオ" panose="020B0604030504040204" pitchFamily="50" charset="-128"/>
              <a:ea typeface="メイリオ" panose="020B0604030504040204" pitchFamily="50" charset="-128"/>
              <a:cs typeface="+mn-cs"/>
            </a:rPr>
            <a:t>対応策実施完了日</a:t>
          </a:r>
          <a:r>
            <a:rPr kumimoji="1" lang="ja-JP" altLang="ja-JP" sz="1200" i="0">
              <a:solidFill>
                <a:schemeClr val="tx1"/>
              </a:solidFill>
              <a:effectLst/>
              <a:latin typeface="メイリオ" panose="020B0604030504040204" pitchFamily="50" charset="-128"/>
              <a:ea typeface="メイリオ" panose="020B0604030504040204" pitchFamily="50" charset="-128"/>
              <a:cs typeface="+mn-cs"/>
            </a:rPr>
            <a:t>に日付を記載します。</a:t>
          </a:r>
          <a:endParaRPr lang="ja-JP" altLang="ja-JP" sz="1200">
            <a:solidFill>
              <a:schemeClr val="tx1"/>
            </a:solidFill>
            <a:effectLst/>
            <a:latin typeface="メイリオ" panose="020B0604030504040204" pitchFamily="50" charset="-128"/>
            <a:ea typeface="メイリオ" panose="020B0604030504040204" pitchFamily="50" charset="-128"/>
          </a:endParaRPr>
        </a:p>
        <a:p>
          <a:pPr algn="l">
            <a:lnSpc>
              <a:spcPct val="88000"/>
            </a:lnSpc>
          </a:pPr>
          <a:endParaRPr kumimoji="1" lang="en-US" altLang="ja-JP" sz="1200" i="0">
            <a:solidFill>
              <a:srgbClr val="7030A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40121</xdr:colOff>
      <xdr:row>10</xdr:row>
      <xdr:rowOff>161528</xdr:rowOff>
    </xdr:from>
    <xdr:to>
      <xdr:col>8</xdr:col>
      <xdr:colOff>306294</xdr:colOff>
      <xdr:row>66</xdr:row>
      <xdr:rowOff>79704</xdr:rowOff>
    </xdr:to>
    <xdr:sp macro="" textlink="">
      <xdr:nvSpPr>
        <xdr:cNvPr id="2" name="角丸四角形 1">
          <a:extLst>
            <a:ext uri="{FF2B5EF4-FFF2-40B4-BE49-F238E27FC236}">
              <a16:creationId xmlns:a16="http://schemas.microsoft.com/office/drawing/2014/main" id="{00000000-0008-0000-0200-000002000000}"/>
            </a:ext>
          </a:extLst>
        </xdr:cNvPr>
        <xdr:cNvSpPr/>
      </xdr:nvSpPr>
      <xdr:spPr bwMode="auto">
        <a:xfrm>
          <a:off x="40121" y="2499822"/>
          <a:ext cx="7691938" cy="11520000"/>
        </a:xfrm>
        <a:prstGeom prst="roundRect">
          <a:avLst>
            <a:gd name="adj" fmla="val 5022"/>
          </a:avLst>
        </a:prstGeom>
        <a:solidFill>
          <a:srgbClr val="FFFFFF">
            <a:alpha val="30000"/>
          </a:srgbClr>
        </a:solidFill>
        <a:ln w="44450" cap="flat" cmpd="sng" algn="ctr">
          <a:solidFill>
            <a:srgbClr val="C00000"/>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手順１</a:t>
          </a:r>
          <a:r>
            <a:rPr kumimoji="1" lang="en-US" altLang="ja-JP" sz="2800" i="0">
              <a:latin typeface="メイリオ" panose="020B0604030504040204" pitchFamily="50" charset="-128"/>
              <a:ea typeface="メイリオ" panose="020B0604030504040204" pitchFamily="50" charset="-128"/>
            </a:rPr>
            <a:t>:</a:t>
          </a:r>
        </a:p>
        <a:p>
          <a:pPr algn="l">
            <a:lnSpc>
              <a:spcPct val="88000"/>
            </a:lnSpc>
          </a:pPr>
          <a:r>
            <a:rPr kumimoji="1" lang="ja-JP" altLang="en-US" sz="2800" i="0">
              <a:latin typeface="メイリオ" panose="020B0604030504040204" pitchFamily="50" charset="-128"/>
              <a:ea typeface="メイリオ" panose="020B0604030504040204" pitchFamily="50" charset="-128"/>
            </a:rPr>
            <a:t>リスクを特定し、発生確率と影響度、リスクが顕在化したときに必要となる対応コストを予測する。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案件チェックリストにてリスクを洗い出します。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想定されるリスク要因と、その影響による現象を</a:t>
          </a:r>
          <a:r>
            <a:rPr kumimoji="1" lang="ja-JP" altLang="en-US" sz="1200" b="1" i="0" u="sng" baseline="0">
              <a:latin typeface="メイリオ" panose="020B0604030504040204" pitchFamily="50" charset="-128"/>
              <a:ea typeface="メイリオ" panose="020B0604030504040204" pitchFamily="50" charset="-128"/>
            </a:rPr>
            <a:t>リスクイベント</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案件チェックリストにて「リスクあり」となった場合、該当項目の</a:t>
          </a:r>
          <a:r>
            <a:rPr kumimoji="1" lang="ja-JP" altLang="en-US" sz="1200" b="1" i="0" u="sng" baseline="0">
              <a:latin typeface="メイリオ" panose="020B0604030504040204" pitchFamily="50" charset="-128"/>
              <a:ea typeface="メイリオ" panose="020B0604030504040204" pitchFamily="50" charset="-128"/>
            </a:rPr>
            <a:t>リスク観点</a:t>
          </a:r>
          <a:r>
            <a:rPr kumimoji="1" lang="ja-JP" altLang="en-US" sz="1200" i="0" baseline="0">
              <a:latin typeface="メイリオ" panose="020B0604030504040204" pitchFamily="50" charset="-128"/>
              <a:ea typeface="メイリオ" panose="020B0604030504040204" pitchFamily="50" charset="-128"/>
            </a:rPr>
            <a:t>を選択します。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想定されるリスクに対して、リスクの発生する確率を</a:t>
          </a:r>
          <a:r>
            <a:rPr kumimoji="1" lang="ja-JP" altLang="en-US" sz="1200" b="1" i="0" u="sng" baseline="0">
              <a:latin typeface="メイリオ" panose="020B0604030504040204" pitchFamily="50" charset="-128"/>
              <a:ea typeface="メイリオ" panose="020B0604030504040204" pitchFamily="50" charset="-128"/>
            </a:rPr>
            <a:t>確率</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200" b="1"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リスクが顕在化した場合、プロジェクトに与えるダメージの内容を</a:t>
          </a:r>
          <a:r>
            <a:rPr kumimoji="1" lang="ja-JP" altLang="en-US" sz="1200" b="1" i="0" u="sng" baseline="0">
              <a:latin typeface="メイリオ" panose="020B0604030504040204" pitchFamily="50" charset="-128"/>
              <a:ea typeface="メイリオ" panose="020B0604030504040204" pitchFamily="50" charset="-128"/>
            </a:rPr>
            <a:t>リスクインパクト</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対応コストを算出するための根拠となる数値も記入してください。</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リスクが顕在化した時に必要となる対応コストを見積り、</a:t>
          </a:r>
          <a:r>
            <a:rPr kumimoji="1" lang="ja-JP" altLang="en-US" sz="1200" b="1" i="0" u="sng" baseline="0">
              <a:latin typeface="メイリオ" panose="020B0604030504040204" pitchFamily="50" charset="-128"/>
              <a:ea typeface="メイリオ" panose="020B0604030504040204" pitchFamily="50" charset="-128"/>
            </a:rPr>
            <a:t>金額</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a:t>
          </a:r>
          <a:r>
            <a:rPr kumimoji="1" lang="ja-JP" altLang="en-US" sz="1200" b="1" i="0" u="sng" baseline="0">
              <a:latin typeface="メイリオ" panose="020B0604030504040204" pitchFamily="50" charset="-128"/>
              <a:ea typeface="メイリオ" panose="020B0604030504040204" pitchFamily="50" charset="-128"/>
            </a:rPr>
            <a:t>確率</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と</a:t>
          </a:r>
          <a:r>
            <a:rPr kumimoji="1" lang="ja-JP" altLang="en-US" sz="1200" b="1" i="0" u="sng" baseline="0">
              <a:latin typeface="メイリオ" panose="020B0604030504040204" pitchFamily="50" charset="-128"/>
              <a:ea typeface="メイリオ" panose="020B0604030504040204" pitchFamily="50" charset="-128"/>
            </a:rPr>
            <a:t>金額</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を記入すると、</a:t>
          </a:r>
          <a:r>
            <a:rPr kumimoji="1" lang="ja-JP" altLang="en-US" sz="1200" b="1" i="0" u="sng" baseline="0">
              <a:latin typeface="メイリオ" panose="020B0604030504040204" pitchFamily="50" charset="-128"/>
              <a:ea typeface="メイリオ" panose="020B0604030504040204" pitchFamily="50" charset="-128"/>
            </a:rPr>
            <a:t>予測値</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が自動算出されます。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算出式： 予測値＝金額 </a:t>
          </a:r>
          <a:r>
            <a:rPr kumimoji="1" lang="en-US" altLang="ja-JP" sz="1200" i="0" baseline="0">
              <a:latin typeface="メイリオ" panose="020B0604030504040204" pitchFamily="50" charset="-128"/>
              <a:ea typeface="メイリオ" panose="020B0604030504040204" pitchFamily="50" charset="-128"/>
            </a:rPr>
            <a:t>× </a:t>
          </a:r>
          <a:r>
            <a:rPr kumimoji="1" lang="ja-JP" altLang="en-US" sz="1200" i="0" baseline="0">
              <a:latin typeface="メイリオ" panose="020B0604030504040204" pitchFamily="50" charset="-128"/>
              <a:ea typeface="メイリオ" panose="020B0604030504040204" pitchFamily="50" charset="-128"/>
            </a:rPr>
            <a:t>確率（</a:t>
          </a:r>
          <a:r>
            <a:rPr kumimoji="1" lang="en-US" altLang="ja-JP" sz="1200"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・この</a:t>
          </a:r>
          <a:r>
            <a:rPr kumimoji="1" lang="ja-JP" altLang="en-US" sz="1200" b="1" i="0" u="sng" baseline="0">
              <a:latin typeface="メイリオ" panose="020B0604030504040204" pitchFamily="50" charset="-128"/>
              <a:ea typeface="メイリオ" panose="020B0604030504040204" pitchFamily="50" charset="-128"/>
            </a:rPr>
            <a:t>予測値</a:t>
          </a:r>
          <a:r>
            <a:rPr kumimoji="1" lang="ja-JP" altLang="en-US" sz="1200" i="0" baseline="0">
              <a:latin typeface="メイリオ" panose="020B0604030504040204" pitchFamily="50" charset="-128"/>
              <a:ea typeface="メイリオ" panose="020B0604030504040204" pitchFamily="50" charset="-128"/>
            </a:rPr>
            <a:t>を踏まえて、リスクの順位付け</a:t>
          </a:r>
          <a:r>
            <a:rPr kumimoji="1" lang="en-US" altLang="ja-JP" sz="1200" b="1" i="0" u="sng" baseline="0">
              <a:latin typeface="メイリオ" panose="020B0604030504040204" pitchFamily="50" charset="-128"/>
              <a:ea typeface="メイリオ" panose="020B0604030504040204" pitchFamily="50" charset="-128"/>
            </a:rPr>
            <a:t>(Top20)</a:t>
          </a:r>
          <a:r>
            <a:rPr kumimoji="1" lang="ja-JP" altLang="en-US" sz="1200" i="0" baseline="0">
              <a:latin typeface="メイリオ" panose="020B0604030504040204" pitchFamily="50" charset="-128"/>
              <a:ea typeface="メイリオ" panose="020B0604030504040204" pitchFamily="50" charset="-128"/>
            </a:rPr>
            <a:t>を決定します。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en-US" altLang="ja-JP" sz="1200" i="0" baseline="0">
              <a:latin typeface="メイリオ" panose="020B0604030504040204" pitchFamily="50" charset="-128"/>
              <a:ea typeface="メイリオ" panose="020B0604030504040204" pitchFamily="50" charset="-128"/>
            </a:rPr>
            <a:t>         </a:t>
          </a:r>
          <a:r>
            <a:rPr kumimoji="1" lang="ja-JP" altLang="en-US" sz="1200" i="0" baseline="0">
              <a:latin typeface="メイリオ" panose="020B0604030504040204" pitchFamily="50" charset="-128"/>
              <a:ea typeface="メイリオ" panose="020B0604030504040204" pitchFamily="50" charset="-128"/>
            </a:rPr>
            <a:t>⇒ 原則、予測値の大きいものから順位付けします。ただし、社会的信用の失墜等コストに換算</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ja-JP" sz="1100" i="0" baseline="0">
              <a:effectLst/>
              <a:latin typeface="+mn-lt"/>
              <a:ea typeface="+mn-ea"/>
              <a:cs typeface="+mn-cs"/>
            </a:rPr>
            <a:t>　　　　　</a:t>
          </a:r>
          <a:r>
            <a:rPr kumimoji="1" lang="ja-JP" altLang="en-US" sz="1200" i="0" baseline="0">
              <a:latin typeface="メイリオ" panose="020B0604030504040204" pitchFamily="50" charset="-128"/>
              <a:ea typeface="メイリオ" panose="020B0604030504040204" pitchFamily="50" charset="-128"/>
            </a:rPr>
            <a:t>できないリスクは、プロジェクトマネージャーの判断で順位を付番してください。</a:t>
          </a:r>
        </a:p>
        <a:p>
          <a:pPr algn="l">
            <a:lnSpc>
              <a:spcPct val="88000"/>
            </a:lnSpc>
          </a:pPr>
          <a:r>
            <a:rPr kumimoji="1" lang="ja-JP" altLang="en-US" sz="1200" i="0" baseline="0">
              <a:latin typeface="メイリオ" panose="020B0604030504040204" pitchFamily="50" charset="-128"/>
              <a:ea typeface="メイリオ" panose="020B0604030504040204" pitchFamily="50" charset="-128"/>
            </a:rPr>
            <a:t>         ⇒ 上位</a:t>
          </a:r>
          <a:r>
            <a:rPr kumimoji="1" lang="en-US" altLang="ja-JP" sz="1200" i="0" baseline="0">
              <a:latin typeface="メイリオ" panose="020B0604030504040204" pitchFamily="50" charset="-128"/>
              <a:ea typeface="メイリオ" panose="020B0604030504040204" pitchFamily="50" charset="-128"/>
            </a:rPr>
            <a:t>20</a:t>
          </a:r>
          <a:r>
            <a:rPr kumimoji="1" lang="ja-JP" altLang="en-US" sz="1200" i="0" baseline="0">
              <a:latin typeface="メイリオ" panose="020B0604030504040204" pitchFamily="50" charset="-128"/>
              <a:ea typeface="メイリオ" panose="020B0604030504040204" pitchFamily="50" charset="-128"/>
            </a:rPr>
            <a:t>位のリスクを対応対象としていますが、対応数は、プロジェクトマネージャ</a:t>
          </a:r>
          <a:r>
            <a:rPr kumimoji="1" lang="en-US" altLang="ja-JP" sz="1200"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責任者</a:t>
          </a:r>
          <a:r>
            <a:rPr kumimoji="1" lang="en-US" altLang="ja-JP" sz="1200"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の</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ja-JP" sz="1100" i="0" baseline="0">
              <a:effectLst/>
              <a:latin typeface="+mn-lt"/>
              <a:ea typeface="+mn-ea"/>
              <a:cs typeface="+mn-cs"/>
            </a:rPr>
            <a:t>　　　　　</a:t>
          </a:r>
          <a:r>
            <a:rPr kumimoji="1" lang="ja-JP" altLang="en-US" sz="1200" i="0" baseline="0">
              <a:latin typeface="メイリオ" panose="020B0604030504040204" pitchFamily="50" charset="-128"/>
              <a:ea typeface="メイリオ" panose="020B0604030504040204" pitchFamily="50" charset="-128"/>
            </a:rPr>
            <a:t>判断で増減してください。</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en-US" altLang="ja-JP" sz="1200" b="1" i="0" baseline="0">
              <a:solidFill>
                <a:srgbClr val="FF0000"/>
              </a:solidFill>
              <a:latin typeface="メイリオ" panose="020B0604030504040204" pitchFamily="50" charset="-128"/>
              <a:ea typeface="メイリオ" panose="020B0604030504040204" pitchFamily="50" charset="-128"/>
            </a:rPr>
            <a:t>&lt;</a:t>
          </a:r>
          <a:r>
            <a:rPr kumimoji="1" lang="ja-JP" altLang="en-US" sz="1200" b="1" i="0" baseline="0">
              <a:solidFill>
                <a:srgbClr val="FF0000"/>
              </a:solidFill>
              <a:latin typeface="メイリオ" panose="020B0604030504040204" pitchFamily="50" charset="-128"/>
              <a:ea typeface="メイリオ" panose="020B0604030504040204" pitchFamily="50" charset="-128"/>
            </a:rPr>
            <a:t>注意事項</a:t>
          </a:r>
          <a:r>
            <a:rPr kumimoji="1" lang="en-US" altLang="ja-JP" sz="1200" b="1" i="0" baseline="0">
              <a:solidFill>
                <a:srgbClr val="FF0000"/>
              </a:solidFill>
              <a:latin typeface="メイリオ" panose="020B0604030504040204" pitchFamily="50" charset="-128"/>
              <a:ea typeface="メイリオ" panose="020B0604030504040204" pitchFamily="50" charset="-128"/>
            </a:rPr>
            <a:t>&gt;</a:t>
          </a:r>
        </a:p>
        <a:p>
          <a:pPr algn="l">
            <a:lnSpc>
              <a:spcPct val="88000"/>
            </a:lnSpc>
          </a:pPr>
          <a:r>
            <a:rPr kumimoji="1" lang="ja-JP" altLang="en-US" sz="1200" b="1" i="0" baseline="0">
              <a:solidFill>
                <a:srgbClr val="FF0000"/>
              </a:solidFill>
              <a:latin typeface="メイリオ" panose="020B0604030504040204" pitchFamily="50" charset="-128"/>
              <a:ea typeface="メイリオ" panose="020B0604030504040204" pitchFamily="50" charset="-128"/>
            </a:rPr>
            <a:t>・コンティンジェンシーとして計上する金額は、</a:t>
          </a:r>
          <a:r>
            <a:rPr kumimoji="1" lang="ja-JP" altLang="en-US" sz="1200" b="1" i="0" u="sng" baseline="0">
              <a:solidFill>
                <a:srgbClr val="FF0000"/>
              </a:solidFill>
              <a:latin typeface="メイリオ" panose="020B0604030504040204" pitchFamily="50" charset="-128"/>
              <a:ea typeface="メイリオ" panose="020B0604030504040204" pitchFamily="50" charset="-128"/>
            </a:rPr>
            <a:t>予測値</a:t>
          </a:r>
          <a:r>
            <a:rPr kumimoji="1" lang="en-US" altLang="ja-JP" sz="1200" b="1" i="0" u="sng" baseline="0">
              <a:solidFill>
                <a:srgbClr val="FF0000"/>
              </a:solidFill>
              <a:latin typeface="メイリオ" panose="020B0604030504040204" pitchFamily="50" charset="-128"/>
              <a:ea typeface="メイリオ" panose="020B0604030504040204" pitchFamily="50" charset="-128"/>
            </a:rPr>
            <a:t>(M\)</a:t>
          </a:r>
          <a:r>
            <a:rPr kumimoji="1" lang="ja-JP" altLang="en-US" sz="1200" b="1" i="0" baseline="0">
              <a:solidFill>
                <a:srgbClr val="FF0000"/>
              </a:solidFill>
              <a:latin typeface="メイリオ" panose="020B0604030504040204" pitchFamily="50" charset="-128"/>
              <a:ea typeface="メイリオ" panose="020B0604030504040204" pitchFamily="50" charset="-128"/>
            </a:rPr>
            <a:t>ではなく、</a:t>
          </a:r>
          <a:r>
            <a:rPr kumimoji="1" lang="ja-JP" altLang="en-US" sz="1200" b="1" i="0" u="sng" baseline="0">
              <a:solidFill>
                <a:srgbClr val="FF0000"/>
              </a:solidFill>
              <a:latin typeface="メイリオ" panose="020B0604030504040204" pitchFamily="50" charset="-128"/>
              <a:ea typeface="メイリオ" panose="020B0604030504040204" pitchFamily="50" charset="-128"/>
            </a:rPr>
            <a:t>コンティンジェンシー予備費</a:t>
          </a:r>
          <a:r>
            <a:rPr kumimoji="1" lang="en-US" altLang="ja-JP" sz="1200" b="1" i="0" u="sng" baseline="0">
              <a:solidFill>
                <a:srgbClr val="FF0000"/>
              </a:solidFill>
              <a:latin typeface="メイリオ" panose="020B0604030504040204" pitchFamily="50" charset="-128"/>
              <a:ea typeface="メイリオ" panose="020B0604030504040204" pitchFamily="50" charset="-128"/>
            </a:rPr>
            <a:t>(M\)</a:t>
          </a:r>
          <a:r>
            <a:rPr kumimoji="1" lang="ja-JP" altLang="en-US" sz="1200" b="1" i="0" u="sng" baseline="0">
              <a:solidFill>
                <a:srgbClr val="FF0000"/>
              </a:solidFill>
              <a:latin typeface="メイリオ" panose="020B0604030504040204" pitchFamily="50" charset="-128"/>
              <a:ea typeface="メイリオ" panose="020B0604030504040204" pitchFamily="50" charset="-128"/>
            </a:rPr>
            <a:t>の合計値</a:t>
          </a:r>
          <a:r>
            <a:rPr kumimoji="1" lang="ja-JP" altLang="en-US" sz="1200" b="1" i="0" baseline="0">
              <a:solidFill>
                <a:srgbClr val="FF0000"/>
              </a:solidFill>
              <a:latin typeface="メイリオ" panose="020B0604030504040204" pitchFamily="50" charset="-128"/>
              <a:ea typeface="メイリオ" panose="020B0604030504040204" pitchFamily="50" charset="-128"/>
            </a:rPr>
            <a:t>です。</a:t>
          </a:r>
          <a:endParaRPr kumimoji="1" lang="en-US" altLang="ja-JP" sz="1200" b="1" i="0" baseline="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b="1" i="0" baseline="0">
              <a:solidFill>
                <a:srgbClr val="FF0000"/>
              </a:solidFill>
              <a:latin typeface="メイリオ" panose="020B0604030504040204" pitchFamily="50" charset="-128"/>
              <a:ea typeface="メイリオ" panose="020B0604030504040204" pitchFamily="50" charset="-128"/>
            </a:rPr>
            <a:t>・案件実行中に新たなリスクが発生した場合は、適宜リスク管理計画シートに追記してください。</a:t>
          </a:r>
          <a:endParaRPr kumimoji="1" lang="en-US" altLang="ja-JP" sz="1200" b="1" i="0" baseline="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36285</xdr:colOff>
      <xdr:row>10</xdr:row>
      <xdr:rowOff>170209</xdr:rowOff>
    </xdr:from>
    <xdr:to>
      <xdr:col>18</xdr:col>
      <xdr:colOff>0</xdr:colOff>
      <xdr:row>66</xdr:row>
      <xdr:rowOff>88385</xdr:rowOff>
    </xdr:to>
    <xdr:sp macro="" textlink="">
      <xdr:nvSpPr>
        <xdr:cNvPr id="4" name="角丸四角形 3">
          <a:extLst>
            <a:ext uri="{FF2B5EF4-FFF2-40B4-BE49-F238E27FC236}">
              <a16:creationId xmlns:a16="http://schemas.microsoft.com/office/drawing/2014/main" id="{00000000-0008-0000-0200-000004000000}"/>
            </a:ext>
          </a:extLst>
        </xdr:cNvPr>
        <xdr:cNvSpPr/>
      </xdr:nvSpPr>
      <xdr:spPr bwMode="auto">
        <a:xfrm>
          <a:off x="14387285" y="2508503"/>
          <a:ext cx="3415127" cy="11520000"/>
        </a:xfrm>
        <a:prstGeom prst="roundRect">
          <a:avLst>
            <a:gd name="adj" fmla="val 7182"/>
          </a:avLst>
        </a:prstGeom>
        <a:solidFill>
          <a:srgbClr val="FFFFFF">
            <a:alpha val="28000"/>
          </a:srgbClr>
        </a:solidFill>
        <a:ln w="44450" cap="flat" cmpd="sng"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20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a:t>
          </a:r>
          <a:r>
            <a:rPr kumimoji="1" lang="en-US" altLang="ja-JP" sz="2800" i="0">
              <a:latin typeface="メイリオ" panose="020B0604030504040204" pitchFamily="50" charset="-128"/>
              <a:ea typeface="メイリオ" panose="020B0604030504040204" pitchFamily="50" charset="-128"/>
            </a:rPr>
            <a:t>4</a:t>
          </a:r>
          <a:r>
            <a:rPr kumimoji="1" lang="ja-JP" altLang="en-US" sz="2800" i="0">
              <a:latin typeface="メイリオ" panose="020B0604030504040204" pitchFamily="50" charset="-128"/>
              <a:ea typeface="メイリオ" panose="020B0604030504040204" pitchFamily="50" charset="-128"/>
            </a:rPr>
            <a:t>：</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リスクの監視計画を</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策定する。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100" i="0">
              <a:latin typeface="メイリオ" panose="020B0604030504040204" pitchFamily="50" charset="-128"/>
              <a:ea typeface="メイリオ" panose="020B0604030504040204" pitchFamily="50" charset="-128"/>
            </a:rPr>
            <a:t>・</a:t>
          </a:r>
          <a:r>
            <a:rPr kumimoji="1" lang="ja-JP" altLang="en-US" sz="1200" i="0">
              <a:latin typeface="メイリオ" panose="020B0604030504040204" pitchFamily="50" charset="-128"/>
              <a:ea typeface="メイリオ" panose="020B0604030504040204" pitchFamily="50" charset="-128"/>
            </a:rPr>
            <a:t>下記を定め、リスクの監視計画を策定します。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en-US" altLang="ja-JP" sz="1200" i="0" baseline="0">
              <a:latin typeface="メイリオ" panose="020B0604030504040204" pitchFamily="50" charset="-128"/>
              <a:ea typeface="メイリオ" panose="020B0604030504040204" pitchFamily="50" charset="-128"/>
            </a:rPr>
            <a:t>  -  </a:t>
          </a:r>
          <a:r>
            <a:rPr kumimoji="1" lang="ja-JP" altLang="en-US" sz="1200" i="0">
              <a:latin typeface="メイリオ" panose="020B0604030504040204" pitchFamily="50" charset="-128"/>
              <a:ea typeface="メイリオ" panose="020B0604030504040204" pitchFamily="50" charset="-128"/>
            </a:rPr>
            <a:t>いつまでリスクを監視するか、</a:t>
          </a:r>
          <a:r>
            <a:rPr kumimoji="1" lang="ja-JP" altLang="en-US" sz="1200" b="1" i="0" u="sng">
              <a:latin typeface="メイリオ" panose="020B0604030504040204" pitchFamily="50" charset="-128"/>
              <a:ea typeface="メイリオ" panose="020B0604030504040204" pitchFamily="50" charset="-128"/>
            </a:rPr>
            <a:t>監視期限</a:t>
          </a:r>
          <a:r>
            <a:rPr kumimoji="1" lang="ja-JP" altLang="en-US" sz="1200" i="0">
              <a:latin typeface="メイリオ" panose="020B0604030504040204" pitchFamily="50" charset="-128"/>
              <a:ea typeface="メイリオ" panose="020B0604030504040204" pitchFamily="50" charset="-128"/>
            </a:rPr>
            <a:t>を</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a:latin typeface="メイリオ" panose="020B0604030504040204" pitchFamily="50" charset="-128"/>
              <a:ea typeface="メイリオ" panose="020B0604030504040204" pitchFamily="50" charset="-128"/>
            </a:rPr>
            <a:t>　　設定します。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a:t>
          </a:r>
          <a:r>
            <a:rPr kumimoji="1" lang="en-US" altLang="ja-JP" sz="1200" i="0" baseline="0">
              <a:latin typeface="メイリオ" panose="020B0604030504040204" pitchFamily="50" charset="-128"/>
              <a:ea typeface="メイリオ" panose="020B0604030504040204" pitchFamily="50" charset="-128"/>
            </a:rPr>
            <a:t>-  </a:t>
          </a:r>
          <a:r>
            <a:rPr kumimoji="1" lang="ja-JP" altLang="en-US" sz="1200" i="0" baseline="0">
              <a:latin typeface="メイリオ" panose="020B0604030504040204" pitchFamily="50" charset="-128"/>
              <a:ea typeface="メイリオ" panose="020B0604030504040204" pitchFamily="50" charset="-128"/>
            </a:rPr>
            <a:t>リスクが</a:t>
          </a:r>
          <a:r>
            <a:rPr kumimoji="1" lang="ja-JP" altLang="en-US" sz="1200" i="0">
              <a:latin typeface="メイリオ" panose="020B0604030504040204" pitchFamily="50" charset="-128"/>
              <a:ea typeface="メイリオ" panose="020B0604030504040204" pitchFamily="50" charset="-128"/>
            </a:rPr>
            <a:t>顕在化したと認識する現象を</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b="1" i="0" u="none">
              <a:latin typeface="メイリオ" panose="020B0604030504040204" pitchFamily="50" charset="-128"/>
              <a:ea typeface="メイリオ" panose="020B0604030504040204" pitchFamily="50" charset="-128"/>
            </a:rPr>
            <a:t>　　</a:t>
          </a:r>
          <a:r>
            <a:rPr kumimoji="1" lang="ja-JP" altLang="en-US" sz="1200" b="1" i="0" u="sng">
              <a:latin typeface="メイリオ" panose="020B0604030504040204" pitchFamily="50" charset="-128"/>
              <a:ea typeface="メイリオ" panose="020B0604030504040204" pitchFamily="50" charset="-128"/>
            </a:rPr>
            <a:t>トリガー</a:t>
          </a:r>
          <a:r>
            <a:rPr kumimoji="1" lang="ja-JP" altLang="en-US" sz="1200" i="0">
              <a:latin typeface="メイリオ" panose="020B0604030504040204" pitchFamily="50" charset="-128"/>
              <a:ea typeface="メイリオ" panose="020B0604030504040204" pitchFamily="50" charset="-128"/>
            </a:rPr>
            <a:t>に記載します。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a:t>
          </a:r>
          <a:r>
            <a:rPr kumimoji="1" lang="en-US" altLang="ja-JP" sz="1200" i="0" baseline="0">
              <a:latin typeface="メイリオ" panose="020B0604030504040204" pitchFamily="50" charset="-128"/>
              <a:ea typeface="メイリオ" panose="020B0604030504040204" pitchFamily="50" charset="-128"/>
            </a:rPr>
            <a:t>-  </a:t>
          </a:r>
          <a:r>
            <a:rPr kumimoji="1" lang="ja-JP" altLang="en-US" sz="1200" b="0" i="0" u="none" baseline="0">
              <a:latin typeface="メイリオ" panose="020B0604030504040204" pitchFamily="50" charset="-128"/>
              <a:ea typeface="メイリオ" panose="020B0604030504040204" pitchFamily="50" charset="-128"/>
            </a:rPr>
            <a:t>リスクが顕在化したときに想定される</a:t>
          </a:r>
          <a:endParaRPr kumimoji="1" lang="en-US" altLang="ja-JP" sz="1200" b="0" i="0" u="none"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baseline="0">
              <a:latin typeface="メイリオ" panose="020B0604030504040204" pitchFamily="50" charset="-128"/>
              <a:ea typeface="メイリオ" panose="020B0604030504040204" pitchFamily="50" charset="-128"/>
            </a:rPr>
            <a:t>　　対策を</a:t>
          </a:r>
          <a:r>
            <a:rPr kumimoji="1" lang="ja-JP" altLang="en-US" sz="1200" b="1" i="0" u="sng" baseline="0">
              <a:latin typeface="メイリオ" panose="020B0604030504040204" pitchFamily="50" charset="-128"/>
              <a:ea typeface="メイリオ" panose="020B0604030504040204" pitchFamily="50" charset="-128"/>
            </a:rPr>
            <a:t>リスクが顕在化したときの処置</a:t>
          </a:r>
          <a:endParaRPr kumimoji="1" lang="en-US" altLang="ja-JP" sz="1200" b="0" i="0" u="sng"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baseline="0">
              <a:latin typeface="メイリオ" panose="020B0604030504040204" pitchFamily="50" charset="-128"/>
              <a:ea typeface="メイリオ" panose="020B0604030504040204" pitchFamily="50" charset="-128"/>
            </a:rPr>
            <a:t>　　に記載します。</a:t>
          </a:r>
          <a:endParaRPr kumimoji="1" lang="en-US" altLang="ja-JP" sz="1200" b="0" i="0" u="none">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xdr:txBody>
    </xdr:sp>
    <xdr:clientData/>
  </xdr:twoCellAnchor>
  <xdr:twoCellAnchor>
    <xdr:from>
      <xdr:col>18</xdr:col>
      <xdr:colOff>28575</xdr:colOff>
      <xdr:row>10</xdr:row>
      <xdr:rowOff>170801</xdr:rowOff>
    </xdr:from>
    <xdr:to>
      <xdr:col>21</xdr:col>
      <xdr:colOff>0</xdr:colOff>
      <xdr:row>66</xdr:row>
      <xdr:rowOff>88977</xdr:rowOff>
    </xdr:to>
    <xdr:sp macro="" textlink="">
      <xdr:nvSpPr>
        <xdr:cNvPr id="5" name="角丸四角形 4">
          <a:extLst>
            <a:ext uri="{FF2B5EF4-FFF2-40B4-BE49-F238E27FC236}">
              <a16:creationId xmlns:a16="http://schemas.microsoft.com/office/drawing/2014/main" id="{00000000-0008-0000-0200-000005000000}"/>
            </a:ext>
          </a:extLst>
        </xdr:cNvPr>
        <xdr:cNvSpPr/>
      </xdr:nvSpPr>
      <xdr:spPr bwMode="auto">
        <a:xfrm>
          <a:off x="17830987" y="2509095"/>
          <a:ext cx="4289425" cy="11520000"/>
        </a:xfrm>
        <a:prstGeom prst="roundRect">
          <a:avLst>
            <a:gd name="adj" fmla="val 10234"/>
          </a:avLst>
        </a:prstGeom>
        <a:noFill/>
        <a:ln w="44450" cap="flat" cmpd="sng" algn="ctr">
          <a:solidFill>
            <a:srgbClr val="C00000"/>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手順</a:t>
          </a:r>
          <a:r>
            <a:rPr kumimoji="1" lang="en-US" altLang="ja-JP" sz="2800">
              <a:latin typeface="メイリオ" panose="020B0604030504040204" pitchFamily="50" charset="-128"/>
              <a:ea typeface="メイリオ" panose="020B0604030504040204" pitchFamily="50" charset="-128"/>
            </a:rPr>
            <a:t>5</a:t>
          </a:r>
          <a:r>
            <a:rPr kumimoji="1" lang="ja-JP" altLang="en-US" sz="2800">
              <a:latin typeface="メイリオ" panose="020B0604030504040204" pitchFamily="50" charset="-128"/>
              <a:ea typeface="メイリオ" panose="020B0604030504040204" pitchFamily="50" charset="-128"/>
            </a:rPr>
            <a:t>：</a:t>
          </a: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リスクを定期的に監視し、監視状況を記載する。</a:t>
          </a:r>
          <a:endParaRPr kumimoji="1" lang="en-US" altLang="ja-JP" sz="2800">
            <a:latin typeface="メイリオ" panose="020B0604030504040204" pitchFamily="50" charset="-128"/>
            <a:ea typeface="メイリオ" panose="020B0604030504040204" pitchFamily="50" charset="-128"/>
          </a:endParaRPr>
        </a:p>
        <a:p>
          <a:pPr algn="l">
            <a:lnSpc>
              <a:spcPct val="88000"/>
            </a:lnSpc>
          </a:pPr>
          <a:endParaRPr kumimoji="1" lang="en-US" altLang="ja-JP" sz="11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1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・リスク状況を確認した日付を</a:t>
          </a:r>
          <a:r>
            <a:rPr kumimoji="1" lang="ja-JP" altLang="en-US" sz="1200" b="1" i="1" u="sng" baseline="0">
              <a:latin typeface="メイリオ" panose="020B0604030504040204" pitchFamily="50" charset="-128"/>
              <a:ea typeface="メイリオ" panose="020B0604030504040204" pitchFamily="50" charset="-128"/>
            </a:rPr>
            <a:t>状況確認日</a:t>
          </a:r>
          <a:endParaRPr kumimoji="1" lang="en-US" altLang="ja-JP" sz="1200" b="1" i="1" u="sng"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1" i="1" u="none" baseline="0">
              <a:latin typeface="メイリオ" panose="020B0604030504040204" pitchFamily="50" charset="-128"/>
              <a:ea typeface="メイリオ" panose="020B0604030504040204" pitchFamily="50" charset="-128"/>
            </a:rPr>
            <a:t>　</a:t>
          </a:r>
          <a:r>
            <a:rPr kumimoji="1" lang="ja-JP" altLang="en-US" sz="1200" baseline="0">
              <a:latin typeface="メイリオ" panose="020B0604030504040204" pitchFamily="50" charset="-128"/>
              <a:ea typeface="メイリオ" panose="020B0604030504040204" pitchFamily="50" charset="-128"/>
            </a:rPr>
            <a:t>に記載します。</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1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・確認結果に基づき、</a:t>
          </a:r>
          <a:r>
            <a:rPr kumimoji="1" lang="ja-JP" altLang="en-US" sz="1200" b="1" i="1" u="sng" baseline="0">
              <a:latin typeface="メイリオ" panose="020B0604030504040204" pitchFamily="50" charset="-128"/>
              <a:ea typeface="メイリオ" panose="020B0604030504040204" pitchFamily="50" charset="-128"/>
            </a:rPr>
            <a:t>確認結果</a:t>
          </a:r>
          <a:r>
            <a:rPr kumimoji="1" lang="ja-JP" altLang="en-US" sz="1200" baseline="0">
              <a:latin typeface="メイリオ" panose="020B0604030504040204" pitchFamily="50" charset="-128"/>
              <a:ea typeface="メイリオ" panose="020B0604030504040204" pitchFamily="50" charset="-128"/>
            </a:rPr>
            <a:t>・</a:t>
          </a:r>
          <a:r>
            <a:rPr kumimoji="1" lang="ja-JP" altLang="en-US" sz="1200" b="1" i="1" u="sng" baseline="0">
              <a:latin typeface="メイリオ" panose="020B0604030504040204" pitchFamily="50" charset="-128"/>
              <a:ea typeface="メイリオ" panose="020B0604030504040204" pitchFamily="50" charset="-128"/>
            </a:rPr>
            <a:t>確認状況</a:t>
          </a:r>
          <a:endParaRPr kumimoji="1" lang="en-US" altLang="ja-JP" sz="1200" b="1" i="1" u="sng"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1" i="1" u="none" baseline="0">
              <a:latin typeface="メイリオ" panose="020B0604030504040204" pitchFamily="50" charset="-128"/>
              <a:ea typeface="メイリオ" panose="020B0604030504040204" pitchFamily="50" charset="-128"/>
            </a:rPr>
            <a:t>　</a:t>
          </a:r>
          <a:r>
            <a:rPr kumimoji="1" lang="ja-JP" altLang="en-US" sz="1200" baseline="0">
              <a:latin typeface="メイリオ" panose="020B0604030504040204" pitchFamily="50" charset="-128"/>
              <a:ea typeface="メイリオ" panose="020B0604030504040204" pitchFamily="50" charset="-128"/>
            </a:rPr>
            <a:t>に記載します。</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en-US" altLang="ja-JP" sz="1100" i="0" baseline="0">
              <a:effectLst/>
              <a:latin typeface="+mn-lt"/>
              <a:ea typeface="+mn-ea"/>
              <a:cs typeface="+mn-cs"/>
            </a:rPr>
            <a:t> -  </a:t>
          </a:r>
          <a:r>
            <a:rPr kumimoji="1" lang="ja-JP" altLang="en-US" sz="1200" baseline="0">
              <a:latin typeface="メイリオ" panose="020B0604030504040204" pitchFamily="50" charset="-128"/>
              <a:ea typeface="メイリオ" panose="020B0604030504040204" pitchFamily="50" charset="-128"/>
            </a:rPr>
            <a:t>リスクは顕在化していないが、引き続き</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　監視が必要な場合：</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　　</a:t>
          </a:r>
          <a:r>
            <a:rPr kumimoji="1" lang="ja-JP" altLang="en-US" sz="1200" b="1" i="1" u="sng" baseline="0">
              <a:latin typeface="メイリオ" panose="020B0604030504040204" pitchFamily="50" charset="-128"/>
              <a:ea typeface="メイリオ" panose="020B0604030504040204" pitchFamily="50" charset="-128"/>
            </a:rPr>
            <a:t>確認結果  </a:t>
          </a:r>
          <a:r>
            <a:rPr kumimoji="1" lang="ja-JP" altLang="en-US" sz="1200" baseline="0">
              <a:latin typeface="メイリオ" panose="020B0604030504040204" pitchFamily="50" charset="-128"/>
              <a:ea typeface="メイリオ" panose="020B0604030504040204" pitchFamily="50" charset="-128"/>
            </a:rPr>
            <a:t>⇒ </a:t>
          </a:r>
          <a:r>
            <a:rPr kumimoji="1" lang="en-US" altLang="ja-JP" sz="1200" baseline="0">
              <a:latin typeface="メイリオ" panose="020B0604030504040204" pitchFamily="50" charset="-128"/>
              <a:ea typeface="メイリオ" panose="020B0604030504040204" pitchFamily="50" charset="-128"/>
            </a:rPr>
            <a:t>"</a:t>
          </a:r>
          <a:r>
            <a:rPr kumimoji="1" lang="ja-JP" altLang="en-US" sz="1200" baseline="0">
              <a:latin typeface="メイリオ" panose="020B0604030504040204" pitchFamily="50" charset="-128"/>
              <a:ea typeface="メイリオ" panose="020B0604030504040204" pitchFamily="50" charset="-128"/>
            </a:rPr>
            <a:t>監視継続</a:t>
          </a:r>
          <a:r>
            <a:rPr kumimoji="1" lang="en-US" altLang="ja-JP" sz="1200" baseline="0">
              <a:latin typeface="メイリオ" panose="020B0604030504040204" pitchFamily="50" charset="-128"/>
              <a:ea typeface="メイリオ" panose="020B0604030504040204" pitchFamily="50" charset="-128"/>
            </a:rPr>
            <a:t>"</a:t>
          </a:r>
          <a:r>
            <a:rPr kumimoji="1" lang="ja-JP" altLang="en-US" sz="1200" baseline="0">
              <a:latin typeface="メイリオ" panose="020B0604030504040204" pitchFamily="50" charset="-128"/>
              <a:ea typeface="メイリオ" panose="020B0604030504040204" pitchFamily="50" charset="-128"/>
            </a:rPr>
            <a:t>を選択 　　</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en-US" altLang="ja-JP" sz="1100" i="0" baseline="0">
              <a:effectLst/>
              <a:latin typeface="+mn-lt"/>
              <a:ea typeface="+mn-ea"/>
              <a:cs typeface="+mn-cs"/>
            </a:rPr>
            <a:t> -  </a:t>
          </a:r>
          <a:r>
            <a:rPr kumimoji="1" lang="ja-JP" altLang="en-US" sz="1200" baseline="0">
              <a:latin typeface="メイリオ" panose="020B0604030504040204" pitchFamily="50" charset="-128"/>
              <a:ea typeface="メイリオ" panose="020B0604030504040204" pitchFamily="50" charset="-128"/>
            </a:rPr>
            <a:t>リスク</a:t>
          </a:r>
          <a:r>
            <a:rPr kumimoji="1" lang="ja-JP" altLang="en-US" sz="1200">
              <a:latin typeface="メイリオ" panose="020B0604030504040204" pitchFamily="50" charset="-128"/>
              <a:ea typeface="メイリオ" panose="020B0604030504040204" pitchFamily="50" charset="-128"/>
            </a:rPr>
            <a:t>消滅の場合：</a:t>
          </a:r>
          <a:endParaRPr kumimoji="1" lang="en-US" altLang="ja-JP" sz="120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baseline="0">
              <a:latin typeface="メイリオ" panose="020B0604030504040204" pitchFamily="50" charset="-128"/>
              <a:ea typeface="メイリオ" panose="020B0604030504040204" pitchFamily="50" charset="-128"/>
            </a:rPr>
            <a:t>　　</a:t>
          </a:r>
          <a:r>
            <a:rPr kumimoji="1" lang="ja-JP" altLang="en-US" sz="1200" b="1" i="1" u="sng">
              <a:latin typeface="メイリオ" panose="020B0604030504040204" pitchFamily="50" charset="-128"/>
              <a:ea typeface="メイリオ" panose="020B0604030504040204" pitchFamily="50" charset="-128"/>
            </a:rPr>
            <a:t>確認結果  </a:t>
          </a:r>
          <a:r>
            <a:rPr kumimoji="1" lang="ja-JP" altLang="en-US" sz="1200">
              <a:latin typeface="メイリオ" panose="020B0604030504040204" pitchFamily="50" charset="-128"/>
              <a:ea typeface="メイリオ" panose="020B0604030504040204" pitchFamily="50" charset="-128"/>
            </a:rPr>
            <a:t>⇒  </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消滅</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を選択</a:t>
          </a:r>
          <a:endParaRPr kumimoji="1" lang="en-US" altLang="ja-JP" sz="120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a:latin typeface="メイリオ" panose="020B0604030504040204" pitchFamily="50" charset="-128"/>
              <a:ea typeface="メイリオ" panose="020B0604030504040204" pitchFamily="50" charset="-128"/>
            </a:rPr>
            <a:t>　　</a:t>
          </a:r>
          <a:r>
            <a:rPr kumimoji="1" lang="ja-JP" altLang="en-US" sz="1200" b="1" i="1" u="sng">
              <a:latin typeface="メイリオ" panose="020B0604030504040204" pitchFamily="50" charset="-128"/>
              <a:ea typeface="メイリオ" panose="020B0604030504040204" pitchFamily="50" charset="-128"/>
            </a:rPr>
            <a:t>確認状況  </a:t>
          </a:r>
          <a:r>
            <a:rPr kumimoji="1" lang="ja-JP" altLang="en-US" sz="1200">
              <a:latin typeface="メイリオ" panose="020B0604030504040204" pitchFamily="50" charset="-128"/>
              <a:ea typeface="メイリオ" panose="020B0604030504040204" pitchFamily="50" charset="-128"/>
            </a:rPr>
            <a:t>⇒  消滅と判断した根拠を</a:t>
          </a:r>
          <a:endParaRPr kumimoji="1" lang="en-US" altLang="ja-JP" sz="1200">
            <a:latin typeface="メイリオ" panose="020B0604030504040204" pitchFamily="50" charset="-128"/>
            <a:ea typeface="メイリオ" panose="020B0604030504040204" pitchFamily="50" charset="-128"/>
          </a:endParaRPr>
        </a:p>
        <a:p>
          <a:pPr algn="l">
            <a:lnSpc>
              <a:spcPct val="88000"/>
            </a:lnSpc>
          </a:pPr>
          <a:r>
            <a:rPr kumimoji="1" lang="en-US" altLang="ja-JP" sz="1200" i="0">
              <a:latin typeface="メイリオ" panose="020B0604030504040204" pitchFamily="50" charset="-128"/>
              <a:ea typeface="メイリオ" panose="020B0604030504040204" pitchFamily="50" charset="-128"/>
            </a:rPr>
            <a:t>                         </a:t>
          </a:r>
          <a:r>
            <a:rPr kumimoji="1" lang="ja-JP" altLang="en-US" sz="1200" i="0">
              <a:latin typeface="メイリオ" panose="020B0604030504040204" pitchFamily="50" charset="-128"/>
              <a:ea typeface="メイリオ" panose="020B0604030504040204" pitchFamily="50" charset="-128"/>
            </a:rPr>
            <a:t>確認状況欄に記載します。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en-US" altLang="ja-JP" sz="1100" i="0" baseline="0">
              <a:effectLst/>
              <a:latin typeface="+mn-lt"/>
              <a:ea typeface="+mn-ea"/>
              <a:cs typeface="+mn-cs"/>
            </a:rPr>
            <a:t> -  </a:t>
          </a:r>
          <a:r>
            <a:rPr kumimoji="1" lang="ja-JP" altLang="ja-JP" sz="1200">
              <a:effectLst/>
              <a:latin typeface="メイリオ" panose="020B0604030504040204" pitchFamily="50" charset="-128"/>
              <a:ea typeface="メイリオ" panose="020B0604030504040204" pitchFamily="50" charset="-128"/>
              <a:cs typeface="+mn-cs"/>
            </a:rPr>
            <a:t>リスクが顕在化した場合</a:t>
          </a:r>
          <a:r>
            <a:rPr kumimoji="1" lang="ja-JP" altLang="en-US" sz="1200">
              <a:effectLst/>
              <a:latin typeface="メイリオ" panose="020B0604030504040204" pitchFamily="50" charset="-128"/>
              <a:ea typeface="メイリオ" panose="020B0604030504040204" pitchFamily="50" charset="-128"/>
              <a:cs typeface="+mn-cs"/>
            </a:rPr>
            <a:t>：</a:t>
          </a:r>
          <a:endParaRPr kumimoji="1" lang="en-US" altLang="ja-JP" sz="120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ja-JP" altLang="en-US" sz="1200" b="1" i="1" u="none">
              <a:effectLst/>
              <a:latin typeface="メイリオ" panose="020B0604030504040204" pitchFamily="50" charset="-128"/>
              <a:ea typeface="メイリオ" panose="020B0604030504040204" pitchFamily="50" charset="-128"/>
              <a:cs typeface="+mn-cs"/>
            </a:rPr>
            <a:t>　　</a:t>
          </a:r>
          <a:r>
            <a:rPr kumimoji="1" lang="ja-JP" altLang="ja-JP" sz="1200" b="1" i="1" u="sng">
              <a:effectLst/>
              <a:latin typeface="メイリオ" panose="020B0604030504040204" pitchFamily="50" charset="-128"/>
              <a:ea typeface="メイリオ" panose="020B0604030504040204" pitchFamily="50" charset="-128"/>
              <a:cs typeface="+mn-cs"/>
            </a:rPr>
            <a:t>確認結果</a:t>
          </a:r>
          <a:r>
            <a:rPr kumimoji="1" lang="en-US" altLang="ja-JP" sz="1200" b="1" i="1" u="sng"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  </a:t>
          </a:r>
          <a:r>
            <a:rPr kumimoji="1" lang="en-US" altLang="ja-JP" sz="1200">
              <a:effectLst/>
              <a:latin typeface="メイリオ" panose="020B0604030504040204" pitchFamily="50" charset="-128"/>
              <a:ea typeface="メイリオ" panose="020B0604030504040204" pitchFamily="50" charset="-128"/>
              <a:cs typeface="+mn-cs"/>
            </a:rPr>
            <a:t>"</a:t>
          </a:r>
          <a:r>
            <a:rPr kumimoji="1" lang="ja-JP" altLang="en-US" sz="1200">
              <a:effectLst/>
              <a:latin typeface="メイリオ" panose="020B0604030504040204" pitchFamily="50" charset="-128"/>
              <a:ea typeface="メイリオ" panose="020B0604030504040204" pitchFamily="50" charset="-128"/>
              <a:cs typeface="+mn-cs"/>
            </a:rPr>
            <a:t>顕在化を選択</a:t>
          </a:r>
          <a:endParaRPr kumimoji="1" lang="en-US" altLang="ja-JP" sz="120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ja-JP" altLang="en-US" sz="1200" b="0" i="0" baseline="0">
              <a:effectLst/>
              <a:latin typeface="メイリオ" panose="020B0604030504040204" pitchFamily="50" charset="-128"/>
              <a:ea typeface="メイリオ" panose="020B0604030504040204" pitchFamily="50" charset="-128"/>
              <a:cs typeface="+mn-cs"/>
            </a:rPr>
            <a:t>　　</a:t>
          </a:r>
          <a:r>
            <a:rPr kumimoji="1" lang="ja-JP" altLang="en-US" sz="1200" b="1" i="1" u="sng" baseline="0">
              <a:effectLst/>
              <a:latin typeface="メイリオ" panose="020B0604030504040204" pitchFamily="50" charset="-128"/>
              <a:ea typeface="メイリオ" panose="020B0604030504040204" pitchFamily="50" charset="-128"/>
              <a:cs typeface="+mn-cs"/>
            </a:rPr>
            <a:t>確認</a:t>
          </a:r>
          <a:r>
            <a:rPr kumimoji="1" lang="ja-JP" altLang="ja-JP" sz="1200" b="1" i="1" u="sng">
              <a:effectLst/>
              <a:latin typeface="メイリオ" panose="020B0604030504040204" pitchFamily="50" charset="-128"/>
              <a:ea typeface="メイリオ" panose="020B0604030504040204" pitchFamily="50" charset="-128"/>
              <a:cs typeface="+mn-cs"/>
            </a:rPr>
            <a:t>状況</a:t>
          </a:r>
          <a:r>
            <a:rPr kumimoji="1" lang="ja-JP" altLang="en-US" sz="1200" b="1" i="1"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  </a:t>
          </a:r>
          <a:r>
            <a:rPr kumimoji="1" lang="en-US" altLang="ja-JP" sz="1200"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顕在化したリスクに</a:t>
          </a:r>
          <a:endParaRPr kumimoji="1" lang="en-US" altLang="ja-JP" sz="1200" baseline="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en-US" altLang="ja-JP" sz="1200"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対する</a:t>
          </a:r>
          <a:r>
            <a:rPr kumimoji="1" lang="ja-JP" altLang="ja-JP" sz="1200">
              <a:effectLst/>
              <a:latin typeface="メイリオ" panose="020B0604030504040204" pitchFamily="50" charset="-128"/>
              <a:ea typeface="メイリオ" panose="020B0604030504040204" pitchFamily="50" charset="-128"/>
              <a:cs typeface="+mn-cs"/>
            </a:rPr>
            <a:t>対策を記載</a:t>
          </a:r>
          <a:r>
            <a:rPr kumimoji="1" lang="ja-JP" altLang="en-US" sz="1200">
              <a:effectLst/>
              <a:latin typeface="メイリオ" panose="020B0604030504040204" pitchFamily="50" charset="-128"/>
              <a:ea typeface="メイリオ" panose="020B0604030504040204" pitchFamily="50" charset="-128"/>
              <a:cs typeface="+mn-cs"/>
            </a:rPr>
            <a:t>します。</a:t>
          </a:r>
          <a:endParaRPr kumimoji="1" lang="en-US" altLang="ja-JP" sz="1200">
            <a:effectLst/>
            <a:latin typeface="メイリオ" panose="020B0604030504040204" pitchFamily="50" charset="-128"/>
            <a:ea typeface="メイリオ" panose="020B0604030504040204" pitchFamily="50" charset="-128"/>
            <a:cs typeface="+mn-cs"/>
          </a:endParaRPr>
        </a:p>
        <a:p>
          <a:pPr>
            <a:lnSpc>
              <a:spcPct val="88000"/>
            </a:lnSpc>
          </a:pPr>
          <a:endParaRPr kumimoji="1" lang="en-US" altLang="ja-JP" sz="1200" i="0" baseline="0">
            <a:effectLst/>
            <a:latin typeface="メイリオ" panose="020B0604030504040204" pitchFamily="50" charset="-128"/>
            <a:ea typeface="メイリオ" panose="020B0604030504040204" pitchFamily="50" charset="-128"/>
            <a:cs typeface="+mn-cs"/>
          </a:endParaRPr>
        </a:p>
        <a:p>
          <a:pPr>
            <a:lnSpc>
              <a:spcPct val="88000"/>
            </a:lnSpc>
          </a:pPr>
          <a:r>
            <a:rPr kumimoji="1" lang="en-US" altLang="ja-JP" sz="1100" i="0" baseline="0">
              <a:effectLst/>
              <a:latin typeface="+mn-lt"/>
              <a:ea typeface="+mn-ea"/>
              <a:cs typeface="+mn-cs"/>
            </a:rPr>
            <a:t> -  </a:t>
          </a:r>
          <a:r>
            <a:rPr kumimoji="1" lang="ja-JP" altLang="ja-JP" sz="1200" i="0">
              <a:effectLst/>
              <a:latin typeface="メイリオ" panose="020B0604030504040204" pitchFamily="50" charset="-128"/>
              <a:ea typeface="メイリオ" panose="020B0604030504040204" pitchFamily="50" charset="-128"/>
              <a:cs typeface="+mn-cs"/>
            </a:rPr>
            <a:t>新たなリスクが発生した場合：</a:t>
          </a:r>
          <a:endParaRPr kumimoji="1" lang="en-US" altLang="ja-JP" sz="1200" i="0">
            <a:effectLst/>
            <a:latin typeface="メイリオ" panose="020B0604030504040204" pitchFamily="50" charset="-128"/>
            <a:ea typeface="メイリオ" panose="020B0604030504040204" pitchFamily="50" charset="-128"/>
            <a:cs typeface="+mn-cs"/>
          </a:endParaRPr>
        </a:p>
        <a:p>
          <a:pPr>
            <a:lnSpc>
              <a:spcPct val="88000"/>
            </a:lnSpc>
          </a:pPr>
          <a:r>
            <a:rPr kumimoji="1" lang="ja-JP" altLang="en-US" sz="1200" i="0">
              <a:effectLst/>
              <a:latin typeface="メイリオ" panose="020B0604030504040204" pitchFamily="50" charset="-128"/>
              <a:ea typeface="メイリオ" panose="020B0604030504040204" pitchFamily="50" charset="-128"/>
              <a:cs typeface="+mn-cs"/>
            </a:rPr>
            <a:t>　　</a:t>
          </a:r>
          <a:r>
            <a:rPr kumimoji="1" lang="ja-JP" altLang="ja-JP" sz="1200" i="0">
              <a:effectLst/>
              <a:latin typeface="メイリオ" panose="020B0604030504040204" pitchFamily="50" charset="-128"/>
              <a:ea typeface="メイリオ" panose="020B0604030504040204" pitchFamily="50" charset="-128"/>
              <a:cs typeface="+mn-cs"/>
            </a:rPr>
            <a:t>新しいリスク内容を別行に追加</a:t>
          </a:r>
          <a:r>
            <a:rPr kumimoji="1" lang="ja-JP" altLang="en-US" sz="1200" i="0">
              <a:effectLst/>
              <a:latin typeface="メイリオ" panose="020B0604030504040204" pitchFamily="50" charset="-128"/>
              <a:ea typeface="メイリオ" panose="020B0604030504040204" pitchFamily="50" charset="-128"/>
              <a:cs typeface="+mn-cs"/>
            </a:rPr>
            <a:t>します。</a:t>
          </a:r>
          <a:r>
            <a:rPr kumimoji="1" lang="en-US" altLang="ja-JP" sz="1200" i="0">
              <a:effectLst/>
              <a:latin typeface="メイリオ" panose="020B0604030504040204" pitchFamily="50" charset="-128"/>
              <a:ea typeface="メイリオ" panose="020B0604030504040204" pitchFamily="50" charset="-128"/>
              <a:cs typeface="+mn-cs"/>
            </a:rPr>
            <a:t>   </a:t>
          </a:r>
          <a:endParaRPr lang="ja-JP" altLang="ja-JP" sz="1200">
            <a:effectLst/>
            <a:latin typeface="メイリオ" panose="020B0604030504040204" pitchFamily="50" charset="-128"/>
            <a:ea typeface="メイリオ" panose="020B0604030504040204" pitchFamily="50" charset="-128"/>
          </a:endParaRPr>
        </a:p>
        <a:p>
          <a:pPr marL="0" marR="0" indent="0" algn="l" defTabSz="914400" eaLnBrk="1" fontAlgn="auto" latinLnBrk="0" hangingPunct="1">
            <a:lnSpc>
              <a:spcPct val="88000"/>
            </a:lnSpc>
            <a:spcBef>
              <a:spcPts val="0"/>
            </a:spcBef>
            <a:spcAft>
              <a:spcPts val="0"/>
            </a:spcAft>
            <a:buClrTx/>
            <a:buSzTx/>
            <a:buFontTx/>
            <a:buNone/>
            <a:tabLst/>
            <a:defRPr/>
          </a:pPr>
          <a:endParaRPr lang="ja-JP" altLang="ja-JP" sz="1200">
            <a:effectLst/>
            <a:latin typeface="メイリオ" panose="020B0604030504040204" pitchFamily="50" charset="-128"/>
            <a:ea typeface="メイリオ" panose="020B0604030504040204" pitchFamily="50" charset="-128"/>
          </a:endParaRPr>
        </a:p>
        <a:p>
          <a:pPr algn="l">
            <a:lnSpc>
              <a:spcPct val="88000"/>
            </a:lnSpc>
          </a:pP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en-US" altLang="ja-JP" sz="2800">
              <a:latin typeface="メイリオ" panose="020B0604030504040204" pitchFamily="50" charset="-128"/>
              <a:ea typeface="メイリオ" panose="020B0604030504040204" pitchFamily="50" charset="-128"/>
            </a:rPr>
            <a:t> </a:t>
          </a:r>
          <a:endParaRPr kumimoji="1" lang="ja-JP" altLang="en-US" sz="2800">
            <a:latin typeface="メイリオ" panose="020B0604030504040204" pitchFamily="50" charset="-128"/>
            <a:ea typeface="メイリオ" panose="020B0604030504040204" pitchFamily="50" charset="-128"/>
          </a:endParaRPr>
        </a:p>
      </xdr:txBody>
    </xdr:sp>
    <xdr:clientData/>
  </xdr:twoCellAnchor>
  <xdr:twoCellAnchor>
    <xdr:from>
      <xdr:col>14</xdr:col>
      <xdr:colOff>18143</xdr:colOff>
      <xdr:row>10</xdr:row>
      <xdr:rowOff>172606</xdr:rowOff>
    </xdr:from>
    <xdr:to>
      <xdr:col>15</xdr:col>
      <xdr:colOff>0</xdr:colOff>
      <xdr:row>66</xdr:row>
      <xdr:rowOff>90782</xdr:rowOff>
    </xdr:to>
    <xdr:sp macro="" textlink="">
      <xdr:nvSpPr>
        <xdr:cNvPr id="6" name="角丸四角形 5">
          <a:extLst>
            <a:ext uri="{FF2B5EF4-FFF2-40B4-BE49-F238E27FC236}">
              <a16:creationId xmlns:a16="http://schemas.microsoft.com/office/drawing/2014/main" id="{00000000-0008-0000-0200-000006000000}"/>
            </a:ext>
          </a:extLst>
        </xdr:cNvPr>
        <xdr:cNvSpPr/>
      </xdr:nvSpPr>
      <xdr:spPr bwMode="auto">
        <a:xfrm>
          <a:off x="12210143" y="2510900"/>
          <a:ext cx="2140857" cy="11520000"/>
        </a:xfrm>
        <a:prstGeom prst="roundRect">
          <a:avLst>
            <a:gd name="adj" fmla="val 13572"/>
          </a:avLst>
        </a:prstGeom>
        <a:solidFill>
          <a:srgbClr val="FFFFFF">
            <a:alpha val="28000"/>
          </a:srgbClr>
        </a:solidFill>
        <a:ln w="44450" cap="flat" cmpd="sng" algn="ctr">
          <a:solidFill>
            <a:srgbClr val="C00000"/>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a:t>
          </a:r>
          <a:r>
            <a:rPr kumimoji="1" lang="en-US" altLang="ja-JP" sz="2800" i="0">
              <a:latin typeface="メイリオ" panose="020B0604030504040204" pitchFamily="50" charset="-128"/>
              <a:ea typeface="メイリオ" panose="020B0604030504040204" pitchFamily="50" charset="-128"/>
            </a:rPr>
            <a:t>3</a:t>
          </a:r>
          <a:r>
            <a:rPr kumimoji="1" lang="ja-JP" altLang="en-US" sz="2800" i="0">
              <a:latin typeface="メイリオ" panose="020B0604030504040204" pitchFamily="50" charset="-128"/>
              <a:ea typeface="メイリオ" panose="020B0604030504040204" pitchFamily="50" charset="-128"/>
            </a:rPr>
            <a:t>：</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コンティンジェンシー計画を策定する。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a:p>
          <a:pPr algn="l">
            <a:lnSpc>
              <a:spcPct val="88000"/>
            </a:lnSpc>
          </a:pPr>
          <a:r>
            <a:rPr kumimoji="1" lang="ja-JP" altLang="en-US" sz="1200" i="0">
              <a:latin typeface="メイリオ" panose="020B0604030504040204" pitchFamily="50" charset="-128"/>
              <a:ea typeface="メイリオ" panose="020B0604030504040204" pitchFamily="50" charset="-128"/>
            </a:rPr>
            <a:t>＜計画＞</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a:latin typeface="メイリオ" panose="020B0604030504040204" pitchFamily="50" charset="-128"/>
              <a:ea typeface="メイリオ" panose="020B0604030504040204" pitchFamily="50" charset="-128"/>
            </a:rPr>
            <a:t>手順</a:t>
          </a:r>
          <a:r>
            <a:rPr kumimoji="1" lang="en-US" altLang="ja-JP" sz="1200" i="0">
              <a:latin typeface="メイリオ" panose="020B0604030504040204" pitchFamily="50" charset="-128"/>
              <a:ea typeface="メイリオ" panose="020B0604030504040204" pitchFamily="50" charset="-128"/>
            </a:rPr>
            <a:t>1</a:t>
          </a:r>
          <a:r>
            <a:rPr kumimoji="1" lang="ja-JP" altLang="en-US" sz="1200" i="0">
              <a:latin typeface="メイリオ" panose="020B0604030504040204" pitchFamily="50" charset="-128"/>
              <a:ea typeface="メイリオ" panose="020B0604030504040204" pitchFamily="50" charset="-128"/>
            </a:rPr>
            <a:t>で算出した</a:t>
          </a:r>
          <a:r>
            <a:rPr kumimoji="1" lang="ja-JP" altLang="en-US" sz="1200" b="1" i="0" u="sng">
              <a:latin typeface="メイリオ" panose="020B0604030504040204" pitchFamily="50" charset="-128"/>
              <a:ea typeface="メイリオ" panose="020B0604030504040204" pitchFamily="50" charset="-128"/>
            </a:rPr>
            <a:t>予測値</a:t>
          </a:r>
          <a:r>
            <a:rPr kumimoji="1" lang="en-US" altLang="ja-JP" sz="1200" b="1" i="0" u="sng">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a:latin typeface="メイリオ" panose="020B0604030504040204" pitchFamily="50" charset="-128"/>
              <a:ea typeface="メイリオ" panose="020B0604030504040204" pitchFamily="50" charset="-128"/>
            </a:rPr>
            <a:t>)</a:t>
          </a:r>
          <a:r>
            <a:rPr kumimoji="1" lang="ja-JP" altLang="en-US" sz="1200" i="0">
              <a:latin typeface="メイリオ" panose="020B0604030504040204" pitchFamily="50" charset="-128"/>
              <a:ea typeface="メイリオ" panose="020B0604030504040204" pitchFamily="50" charset="-128"/>
            </a:rPr>
            <a:t>を踏まえて、コンティンジェンシーの確保が必要なリスクがあるかを検討します。確保が必要な場合には、確保する金額を</a:t>
          </a:r>
          <a:r>
            <a:rPr kumimoji="1" lang="ja-JP" altLang="en-US" sz="1200" b="1" i="0" u="sng">
              <a:latin typeface="メイリオ" panose="020B0604030504040204" pitchFamily="50" charset="-128"/>
              <a:ea typeface="メイリオ" panose="020B0604030504040204" pitchFamily="50" charset="-128"/>
            </a:rPr>
            <a:t>コンティンジェンシー予備費</a:t>
          </a:r>
          <a:r>
            <a:rPr kumimoji="1" lang="ja-JP" altLang="en-US" sz="1200" i="0">
              <a:latin typeface="メイリオ" panose="020B0604030504040204" pitchFamily="50" charset="-128"/>
              <a:ea typeface="メイリオ" panose="020B0604030504040204" pitchFamily="50" charset="-128"/>
            </a:rPr>
            <a:t>に記載します。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b="1" i="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b="1" i="0">
              <a:solidFill>
                <a:srgbClr val="FF0000"/>
              </a:solidFill>
              <a:latin typeface="メイリオ" panose="020B0604030504040204" pitchFamily="50" charset="-128"/>
              <a:ea typeface="メイリオ" panose="020B0604030504040204" pitchFamily="50" charset="-128"/>
            </a:rPr>
            <a:t>＜ポイント＞</a:t>
          </a:r>
          <a:endParaRPr kumimoji="1" lang="en-US" altLang="ja-JP" sz="1200" b="1" i="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en-US" altLang="ja-JP" sz="1200" b="1" i="0">
              <a:solidFill>
                <a:srgbClr val="FF0000"/>
              </a:solidFill>
              <a:latin typeface="メイリオ" panose="020B0604030504040204" pitchFamily="50" charset="-128"/>
              <a:ea typeface="メイリオ" panose="020B0604030504040204" pitchFamily="50" charset="-128"/>
            </a:rPr>
            <a:t> </a:t>
          </a:r>
          <a:r>
            <a:rPr kumimoji="1" lang="ja-JP" altLang="en-US" sz="1200" b="1" i="0">
              <a:solidFill>
                <a:srgbClr val="FF0000"/>
              </a:solidFill>
              <a:latin typeface="メイリオ" panose="020B0604030504040204" pitchFamily="50" charset="-128"/>
              <a:ea typeface="メイリオ" panose="020B0604030504040204" pitchFamily="50" charset="-128"/>
            </a:rPr>
            <a:t>リスクの発生確率が</a:t>
          </a:r>
          <a:r>
            <a:rPr kumimoji="1" lang="en-US" altLang="ja-JP" sz="1200" b="1" i="0">
              <a:solidFill>
                <a:srgbClr val="FF0000"/>
              </a:solidFill>
              <a:latin typeface="メイリオ" panose="020B0604030504040204" pitchFamily="50" charset="-128"/>
              <a:ea typeface="メイリオ" panose="020B0604030504040204" pitchFamily="50" charset="-128"/>
            </a:rPr>
            <a:t>50%</a:t>
          </a:r>
          <a:r>
            <a:rPr kumimoji="1" lang="ja-JP" altLang="en-US" sz="1200" b="1" i="0">
              <a:solidFill>
                <a:srgbClr val="FF0000"/>
              </a:solidFill>
              <a:latin typeface="メイリオ" panose="020B0604030504040204" pitchFamily="50" charset="-128"/>
              <a:ea typeface="メイリオ" panose="020B0604030504040204" pitchFamily="50" charset="-128"/>
            </a:rPr>
            <a:t>を超える</a:t>
          </a:r>
          <a:endParaRPr kumimoji="1" lang="en-US" altLang="ja-JP" sz="1200" b="1" i="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en-US" altLang="ja-JP" sz="1200" b="1" i="0">
              <a:solidFill>
                <a:srgbClr val="FF0000"/>
              </a:solidFill>
              <a:latin typeface="メイリオ" panose="020B0604030504040204" pitchFamily="50" charset="-128"/>
              <a:ea typeface="メイリオ" panose="020B0604030504040204" pitchFamily="50" charset="-128"/>
            </a:rPr>
            <a:t> </a:t>
          </a:r>
          <a:r>
            <a:rPr kumimoji="1" lang="ja-JP" altLang="en-US" sz="1200" b="1" i="0">
              <a:solidFill>
                <a:srgbClr val="FF0000"/>
              </a:solidFill>
              <a:latin typeface="メイリオ" panose="020B0604030504040204" pitchFamily="50" charset="-128"/>
              <a:ea typeface="メイリオ" panose="020B0604030504040204" pitchFamily="50" charset="-128"/>
            </a:rPr>
            <a:t>場合、手順１で見積もったリスク</a:t>
          </a:r>
          <a:r>
            <a:rPr kumimoji="1" lang="ja-JP" altLang="en-US" sz="1200" b="1" i="0" u="none">
              <a:solidFill>
                <a:srgbClr val="FF0000"/>
              </a:solidFill>
              <a:latin typeface="メイリオ" panose="020B0604030504040204" pitchFamily="50" charset="-128"/>
              <a:ea typeface="メイリオ" panose="020B0604030504040204" pitchFamily="50" charset="-128"/>
            </a:rPr>
            <a:t>対応コスト（金額）全額をコンティンジェンシー予備費にすることを推奨します。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xdr:txBody>
    </xdr:sp>
    <xdr:clientData/>
  </xdr:twoCellAnchor>
  <xdr:twoCellAnchor>
    <xdr:from>
      <xdr:col>21</xdr:col>
      <xdr:colOff>45447</xdr:colOff>
      <xdr:row>10</xdr:row>
      <xdr:rowOff>162858</xdr:rowOff>
    </xdr:from>
    <xdr:to>
      <xdr:col>22</xdr:col>
      <xdr:colOff>114300</xdr:colOff>
      <xdr:row>66</xdr:row>
      <xdr:rowOff>81034</xdr:rowOff>
    </xdr:to>
    <xdr:sp macro="" textlink="">
      <xdr:nvSpPr>
        <xdr:cNvPr id="9" name="角丸四角形 4">
          <a:extLst>
            <a:ext uri="{FF2B5EF4-FFF2-40B4-BE49-F238E27FC236}">
              <a16:creationId xmlns:a16="http://schemas.microsoft.com/office/drawing/2014/main" id="{280771BB-C7B3-4DBF-B4F2-313FF62C9A2B}"/>
            </a:ext>
          </a:extLst>
        </xdr:cNvPr>
        <xdr:cNvSpPr/>
      </xdr:nvSpPr>
      <xdr:spPr bwMode="auto">
        <a:xfrm>
          <a:off x="22165859" y="2501152"/>
          <a:ext cx="1764676" cy="11520000"/>
        </a:xfrm>
        <a:prstGeom prst="roundRect">
          <a:avLst>
            <a:gd name="adj" fmla="val 10234"/>
          </a:avLst>
        </a:prstGeom>
        <a:noFill/>
        <a:ln w="44450" cap="flat" cmpd="sng"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手順</a:t>
          </a:r>
          <a:r>
            <a:rPr kumimoji="1" lang="en-US" altLang="ja-JP" sz="2800">
              <a:latin typeface="メイリオ" panose="020B0604030504040204" pitchFamily="50" charset="-128"/>
              <a:ea typeface="メイリオ" panose="020B0604030504040204" pitchFamily="50" charset="-128"/>
            </a:rPr>
            <a:t>6</a:t>
          </a:r>
          <a:r>
            <a:rPr kumimoji="1" lang="ja-JP" altLang="en-US" sz="2800">
              <a:latin typeface="メイリオ" panose="020B0604030504040204" pitchFamily="50" charset="-128"/>
              <a:ea typeface="メイリオ" panose="020B0604030504040204" pitchFamily="50" charset="-128"/>
            </a:rPr>
            <a:t>：</a:t>
          </a: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リスク</a:t>
          </a: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顕在化による対応費用実績</a:t>
          </a:r>
          <a:r>
            <a:rPr kumimoji="1" lang="en-US" altLang="ja-JP" sz="2800">
              <a:latin typeface="メイリオ" panose="020B0604030504040204" pitchFamily="50" charset="-128"/>
              <a:ea typeface="メイリオ" panose="020B0604030504040204" pitchFamily="50" charset="-128"/>
            </a:rPr>
            <a:t>(\M)</a:t>
          </a:r>
          <a:endParaRPr kumimoji="1" lang="ja-JP" altLang="en-US" sz="2800">
            <a:latin typeface="メイリオ" panose="020B0604030504040204" pitchFamily="50" charset="-128"/>
            <a:ea typeface="メイリオ" panose="020B0604030504040204" pitchFamily="50" charset="-128"/>
          </a:endParaRPr>
        </a:p>
        <a:p>
          <a:pPr algn="l">
            <a:lnSpc>
              <a:spcPct val="88000"/>
            </a:lnSpc>
          </a:pPr>
          <a:endParaRPr kumimoji="1" lang="ja-JP" altLang="en-US" sz="1100">
            <a:latin typeface="メイリオ" panose="020B0604030504040204" pitchFamily="50" charset="-128"/>
            <a:ea typeface="メイリオ" panose="020B0604030504040204" pitchFamily="50" charset="-128"/>
          </a:endParaRPr>
        </a:p>
        <a:p>
          <a:pPr algn="l">
            <a:lnSpc>
              <a:spcPct val="88000"/>
            </a:lnSpc>
          </a:pPr>
          <a:endParaRPr kumimoji="1" lang="ja-JP" altLang="en-US" sz="1100">
            <a:latin typeface="メイリオ" panose="020B0604030504040204" pitchFamily="50" charset="-128"/>
            <a:ea typeface="メイリオ" panose="020B0604030504040204" pitchFamily="50" charset="-128"/>
          </a:endParaRPr>
        </a:p>
        <a:p>
          <a:r>
            <a:rPr kumimoji="1" lang="ja-JP" altLang="en-US" sz="1100">
              <a:latin typeface="メイリオ" panose="020B0604030504040204" pitchFamily="50" charset="-128"/>
              <a:ea typeface="メイリオ" panose="020B0604030504040204" pitchFamily="50" charset="-128"/>
            </a:rPr>
            <a:t>・</a:t>
          </a:r>
          <a:r>
            <a:rPr kumimoji="1" lang="ja-JP" altLang="ja-JP" sz="1100" i="0">
              <a:effectLst/>
              <a:latin typeface="+mn-lt"/>
              <a:ea typeface="+mn-ea"/>
              <a:cs typeface="+mn-cs"/>
            </a:rPr>
            <a:t>リスクが顕在化した場合に当該リスクに対応した費用の実績を記載します。</a:t>
          </a:r>
          <a:endParaRPr lang="ja-JP" altLang="ja-JP">
            <a:effectLst/>
          </a:endParaRPr>
        </a:p>
        <a:p>
          <a:pPr algn="l">
            <a:lnSpc>
              <a:spcPct val="88000"/>
            </a:lnSpc>
          </a:pPr>
          <a:endParaRPr kumimoji="1" lang="en-US" altLang="ja-JP" sz="2800">
            <a:latin typeface="メイリオ" panose="020B0604030504040204" pitchFamily="50" charset="-128"/>
            <a:ea typeface="メイリオ" panose="020B0604030504040204" pitchFamily="50" charset="-128"/>
          </a:endParaRPr>
        </a:p>
      </xdr:txBody>
    </xdr:sp>
    <xdr:clientData/>
  </xdr:twoCellAnchor>
  <xdr:twoCellAnchor>
    <xdr:from>
      <xdr:col>9</xdr:col>
      <xdr:colOff>39733</xdr:colOff>
      <xdr:row>32</xdr:row>
      <xdr:rowOff>81211</xdr:rowOff>
    </xdr:from>
    <xdr:to>
      <xdr:col>13</xdr:col>
      <xdr:colOff>671103</xdr:colOff>
      <xdr:row>64</xdr:row>
      <xdr:rowOff>171823</xdr:rowOff>
    </xdr:to>
    <xdr:sp macro="" textlink="">
      <xdr:nvSpPr>
        <xdr:cNvPr id="7" name="正方形/長方形 6">
          <a:extLst>
            <a:ext uri="{FF2B5EF4-FFF2-40B4-BE49-F238E27FC236}">
              <a16:creationId xmlns:a16="http://schemas.microsoft.com/office/drawing/2014/main" id="{56298625-2869-CE09-0E0D-192D8A2C5845}"/>
            </a:ext>
          </a:extLst>
        </xdr:cNvPr>
        <xdr:cNvSpPr/>
      </xdr:nvSpPr>
      <xdr:spPr bwMode="auto">
        <a:xfrm>
          <a:off x="7809145" y="7163329"/>
          <a:ext cx="4351723" cy="6545200"/>
        </a:xfrm>
        <a:prstGeom prst="rect">
          <a:avLst/>
        </a:prstGeom>
        <a:solidFill>
          <a:srgbClr val="FFFFCC"/>
        </a:solidFill>
        <a:ln w="9525" cap="flat" cmpd="sng" algn="ctr">
          <a:solidFill>
            <a:srgbClr val="000000"/>
          </a:solidFill>
          <a:prstDash val="solid"/>
          <a:round/>
          <a:headEnd type="none" w="med" len="med"/>
          <a:tailEnd type="none" w="med" len="med"/>
        </a:ln>
        <a:effectLst/>
      </xdr:spPr>
      <xdr:txBody>
        <a:bodyPr vertOverflow="clip" wrap="square" lIns="108000" tIns="0" rIns="0" bIns="0" rtlCol="0" anchor="ctr" upright="1"/>
        <a:lstStyle/>
        <a:p>
          <a:pPr algn="l"/>
          <a:r>
            <a:rPr kumimoji="1" lang="ja-JP" altLang="en-US" sz="1600" b="1" u="none">
              <a:solidFill>
                <a:srgbClr val="002060"/>
              </a:solidFill>
              <a:latin typeface="メイリオ" panose="020B0604030504040204" pitchFamily="50" charset="-128"/>
              <a:ea typeface="メイリオ" panose="020B0604030504040204" pitchFamily="50" charset="-128"/>
            </a:rPr>
            <a:t>「対応方針」の説明</a:t>
          </a:r>
          <a:r>
            <a:rPr kumimoji="1" lang="ja-JP" altLang="en-US" sz="1400" b="1" u="none">
              <a:solidFill>
                <a:srgbClr val="002060"/>
              </a:solidFill>
              <a:latin typeface="メイリオ" panose="020B0604030504040204" pitchFamily="50" charset="-128"/>
              <a:ea typeface="メイリオ" panose="020B0604030504040204" pitchFamily="50" charset="-128"/>
            </a:rPr>
            <a:t>（参考：</a:t>
          </a:r>
          <a:r>
            <a:rPr kumimoji="1" lang="en-US" altLang="ja-JP" sz="1400" b="1" u="none">
              <a:solidFill>
                <a:srgbClr val="002060"/>
              </a:solidFill>
              <a:latin typeface="メイリオ" panose="020B0604030504040204" pitchFamily="50" charset="-128"/>
              <a:ea typeface="メイリオ" panose="020B0604030504040204" pitchFamily="50" charset="-128"/>
            </a:rPr>
            <a:t>PMBOK</a:t>
          </a:r>
          <a:r>
            <a:rPr kumimoji="1" lang="ja-JP" altLang="en-US" sz="1400" b="1" u="none">
              <a:solidFill>
                <a:srgbClr val="002060"/>
              </a:solidFill>
              <a:latin typeface="メイリオ" panose="020B0604030504040204" pitchFamily="50" charset="-128"/>
              <a:ea typeface="メイリオ" panose="020B0604030504040204" pitchFamily="50" charset="-128"/>
            </a:rPr>
            <a:t>第</a:t>
          </a:r>
          <a:r>
            <a:rPr kumimoji="1" lang="en-US" altLang="ja-JP" sz="1400" b="1" u="none">
              <a:solidFill>
                <a:srgbClr val="002060"/>
              </a:solidFill>
              <a:latin typeface="メイリオ" panose="020B0604030504040204" pitchFamily="50" charset="-128"/>
              <a:ea typeface="メイリオ" panose="020B0604030504040204" pitchFamily="50" charset="-128"/>
            </a:rPr>
            <a:t>7</a:t>
          </a:r>
          <a:r>
            <a:rPr kumimoji="1" lang="ja-JP" altLang="en-US" sz="1400" b="1" u="none">
              <a:solidFill>
                <a:srgbClr val="002060"/>
              </a:solidFill>
              <a:latin typeface="メイリオ" panose="020B0604030504040204" pitchFamily="50" charset="-128"/>
              <a:ea typeface="メイリオ" panose="020B0604030504040204" pitchFamily="50" charset="-128"/>
            </a:rPr>
            <a:t>版）</a:t>
          </a:r>
          <a:endParaRPr kumimoji="1" lang="en-US" altLang="ja-JP" sz="1400" b="1" u="none">
            <a:solidFill>
              <a:srgbClr val="002060"/>
            </a:solidFill>
            <a:latin typeface="メイリオ" panose="020B0604030504040204" pitchFamily="50" charset="-128"/>
            <a:ea typeface="メイリオ" panose="020B0604030504040204" pitchFamily="50" charset="-128"/>
          </a:endParaRPr>
        </a:p>
        <a:p>
          <a:pPr algn="l"/>
          <a:r>
            <a:rPr kumimoji="1" lang="ja-JP" altLang="en-US" sz="1600" b="1">
              <a:solidFill>
                <a:srgbClr val="0000FF"/>
              </a:solidFill>
              <a:latin typeface="メイリオ" panose="020B0604030504040204" pitchFamily="50" charset="-128"/>
              <a:ea typeface="メイリオ" panose="020B0604030504040204" pitchFamily="50" charset="-128"/>
            </a:rPr>
            <a:t>回避</a:t>
          </a:r>
          <a:r>
            <a:rPr kumimoji="1" lang="ja-JP" altLang="en-US" sz="1600">
              <a:solidFill>
                <a:srgbClr val="0000FF"/>
              </a:solidFill>
              <a:latin typeface="メイリオ" panose="020B0604030504040204" pitchFamily="50" charset="-128"/>
              <a:ea typeface="メイリオ" panose="020B0604030504040204" pitchFamily="50" charset="-128"/>
            </a:rPr>
            <a:t>：</a:t>
          </a:r>
          <a:r>
            <a:rPr kumimoji="1" lang="ja-JP" altLang="en-US" sz="1600" baseline="0">
              <a:solidFill>
                <a:srgbClr val="0000FF"/>
              </a:solidFill>
              <a:latin typeface="メイリオ" panose="020B0604030504040204" pitchFamily="50" charset="-128"/>
              <a:ea typeface="メイリオ" panose="020B0604030504040204" pitchFamily="50" charset="-128"/>
            </a:rPr>
            <a:t> </a:t>
          </a:r>
          <a:endParaRPr kumimoji="1" lang="en-US" altLang="ja-JP" sz="1600" baseline="0">
            <a:solidFill>
              <a:srgbClr val="0000FF"/>
            </a:solidFill>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リスクの脅威を排除する、もしくはその影響からプロジェクトを保護する対応。</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例：プロジェクト計画の変更</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スケジュール延長、スコープ縮小等</a:t>
          </a:r>
          <a:r>
            <a:rPr kumimoji="1" lang="en-US" altLang="ja-JP" sz="1200">
              <a:latin typeface="メイリオ" panose="020B0604030504040204" pitchFamily="50" charset="-128"/>
              <a:ea typeface="メイリオ" panose="020B0604030504040204" pitchFamily="50" charset="-128"/>
            </a:rPr>
            <a:t>)</a:t>
          </a:r>
        </a:p>
        <a:p>
          <a:pPr algn="l"/>
          <a:r>
            <a:rPr kumimoji="1" lang="ja-JP" altLang="en-US" sz="1600" b="1">
              <a:solidFill>
                <a:srgbClr val="0000FF"/>
              </a:solidFill>
              <a:latin typeface="メイリオ" panose="020B0604030504040204" pitchFamily="50" charset="-128"/>
              <a:ea typeface="メイリオ" panose="020B0604030504040204" pitchFamily="50" charset="-128"/>
            </a:rPr>
            <a:t>転嫁</a:t>
          </a:r>
          <a:r>
            <a:rPr kumimoji="1" lang="ja-JP" altLang="en-US" sz="1600">
              <a:solidFill>
                <a:srgbClr val="0000FF"/>
              </a:solidFill>
              <a:latin typeface="メイリオ" panose="020B0604030504040204" pitchFamily="50" charset="-128"/>
              <a:ea typeface="メイリオ" panose="020B0604030504040204" pitchFamily="50" charset="-128"/>
            </a:rPr>
            <a:t>：</a:t>
          </a:r>
          <a:endParaRPr kumimoji="1" lang="en-US" altLang="ja-JP" sz="1600">
            <a:solidFill>
              <a:srgbClr val="0000FF"/>
            </a:solidFill>
            <a:latin typeface="メイリオ" panose="020B0604030504040204" pitchFamily="50" charset="-128"/>
            <a:ea typeface="メイリオ" panose="020B0604030504040204" pitchFamily="50" charset="-128"/>
          </a:endParaRPr>
        </a:p>
        <a:p>
          <a:pPr algn="l"/>
          <a:r>
            <a:rPr kumimoji="1" lang="ja-JP" altLang="en-US" sz="1100" baseline="0">
              <a:latin typeface="メイリオ" panose="020B0604030504040204" pitchFamily="50" charset="-128"/>
              <a:ea typeface="メイリオ" panose="020B0604030504040204" pitchFamily="50" charset="-128"/>
            </a:rPr>
            <a:t> </a:t>
          </a:r>
          <a:r>
            <a:rPr kumimoji="1" lang="ja-JP" altLang="en-US" sz="1200">
              <a:latin typeface="メイリオ" panose="020B0604030504040204" pitchFamily="50" charset="-128"/>
              <a:ea typeface="メイリオ" panose="020B0604030504040204" pitchFamily="50" charset="-128"/>
            </a:rPr>
            <a:t>リスクの脅威が発生した時にその影響に耐えるため第</a:t>
          </a:r>
          <a:r>
            <a:rPr kumimoji="1" lang="en-US" altLang="ja-JP" sz="1200">
              <a:latin typeface="メイリオ" panose="020B0604030504040204" pitchFamily="50" charset="-128"/>
              <a:ea typeface="メイリオ" panose="020B0604030504040204" pitchFamily="50" charset="-128"/>
            </a:rPr>
            <a:t>3</a:t>
          </a:r>
          <a:r>
            <a:rPr kumimoji="1" lang="ja-JP" altLang="en-US" sz="1200">
              <a:latin typeface="メイリオ" panose="020B0604030504040204" pitchFamily="50" charset="-128"/>
              <a:ea typeface="メイリオ" panose="020B0604030504040204" pitchFamily="50" charset="-128"/>
            </a:rPr>
            <a:t>者に脅威の責任を移転する対応。</a:t>
          </a:r>
          <a:endParaRPr kumimoji="1" lang="en-US" altLang="ja-JP" sz="1200">
            <a:latin typeface="メイリオ" panose="020B0604030504040204" pitchFamily="50" charset="-128"/>
            <a:ea typeface="メイリオ" panose="020B0604030504040204" pitchFamily="50" charset="-128"/>
          </a:endParaRPr>
        </a:p>
        <a:p>
          <a:pPr algn="l"/>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リスクを取り除くものではない。</a:t>
          </a:r>
          <a:endParaRPr kumimoji="1" lang="en-US" altLang="ja-JP" sz="1200">
            <a:latin typeface="メイリオ" panose="020B0604030504040204" pitchFamily="50" charset="-128"/>
            <a:ea typeface="メイリオ" panose="020B0604030504040204" pitchFamily="50" charset="-128"/>
          </a:endParaRPr>
        </a:p>
        <a:p>
          <a:pPr algn="l"/>
          <a:r>
            <a:rPr kumimoji="1" lang="ja-JP" altLang="ja-JP" sz="1200">
              <a:effectLst/>
              <a:latin typeface="メイリオ" panose="020B0604030504040204" pitchFamily="50" charset="-128"/>
              <a:ea typeface="メイリオ" panose="020B0604030504040204" pitchFamily="50" charset="-128"/>
              <a:cs typeface="+mn-cs"/>
            </a:rPr>
            <a:t>例：</a:t>
          </a:r>
          <a:r>
            <a:rPr kumimoji="1" lang="ja-JP" altLang="en-US" sz="1200">
              <a:latin typeface="メイリオ" panose="020B0604030504040204" pitchFamily="50" charset="-128"/>
              <a:ea typeface="メイリオ" panose="020B0604030504040204" pitchFamily="50" charset="-128"/>
            </a:rPr>
            <a:t>保険、契約や合意</a:t>
          </a:r>
          <a:endParaRPr kumimoji="1" lang="en-US" altLang="ja-JP" sz="1100">
            <a:latin typeface="メイリオ" panose="020B0604030504040204" pitchFamily="50" charset="-128"/>
            <a:ea typeface="メイリオ" panose="020B0604030504040204" pitchFamily="50" charset="-128"/>
          </a:endParaRPr>
        </a:p>
        <a:p>
          <a:pPr algn="l"/>
          <a:r>
            <a:rPr kumimoji="1" lang="ja-JP" altLang="en-US" sz="1600" b="1">
              <a:solidFill>
                <a:srgbClr val="0000FF"/>
              </a:solidFill>
              <a:latin typeface="メイリオ" panose="020B0604030504040204" pitchFamily="50" charset="-128"/>
              <a:ea typeface="メイリオ" panose="020B0604030504040204" pitchFamily="50" charset="-128"/>
            </a:rPr>
            <a:t>軽減</a:t>
          </a:r>
          <a:r>
            <a:rPr kumimoji="1" lang="ja-JP" altLang="en-US" sz="1600">
              <a:solidFill>
                <a:srgbClr val="0000FF"/>
              </a:solidFill>
              <a:latin typeface="メイリオ" panose="020B0604030504040204" pitchFamily="50" charset="-128"/>
              <a:ea typeface="メイリオ" panose="020B0604030504040204" pitchFamily="50" charset="-128"/>
            </a:rPr>
            <a:t>：</a:t>
          </a:r>
          <a:r>
            <a:rPr kumimoji="1" lang="ja-JP" altLang="en-US" sz="1600" baseline="0">
              <a:solidFill>
                <a:srgbClr val="0000FF"/>
              </a:solidFill>
              <a:latin typeface="メイリオ" panose="020B0604030504040204" pitchFamily="50" charset="-128"/>
              <a:ea typeface="メイリオ" panose="020B0604030504040204" pitchFamily="50" charset="-128"/>
            </a:rPr>
            <a:t> </a:t>
          </a:r>
          <a:endParaRPr kumimoji="1" lang="en-US" altLang="ja-JP" sz="1600" baseline="0">
            <a:solidFill>
              <a:srgbClr val="0000FF"/>
            </a:solidFill>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リスクの脅威が発生する確率や脅威の影響を低減するための処置をおこなう対応。</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受容可能な残存リスクがある。</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例：テスト強化、事前検証、システム冗長化</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600" b="1">
              <a:solidFill>
                <a:srgbClr val="0000FF"/>
              </a:solidFill>
              <a:latin typeface="メイリオ" panose="020B0604030504040204" pitchFamily="50" charset="-128"/>
              <a:ea typeface="メイリオ" panose="020B0604030504040204" pitchFamily="50" charset="-128"/>
            </a:rPr>
            <a:t>受容</a:t>
          </a:r>
          <a:r>
            <a:rPr kumimoji="1" lang="ja-JP" altLang="en-US" sz="1600">
              <a:solidFill>
                <a:srgbClr val="0000FF"/>
              </a:solidFill>
              <a:latin typeface="メイリオ" panose="020B0604030504040204" pitchFamily="50" charset="-128"/>
              <a:ea typeface="メイリオ" panose="020B0604030504040204" pitchFamily="50" charset="-128"/>
            </a:rPr>
            <a:t>：</a:t>
          </a:r>
          <a:endParaRPr kumimoji="1" lang="en-US" altLang="ja-JP" sz="1600">
            <a:solidFill>
              <a:srgbClr val="0000FF"/>
            </a:solidFill>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脅威の存在を認めるが、何も行動しないこと。</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「能動的受容」と「受動的受容」がある。</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u="sng">
              <a:latin typeface="メイリオ" panose="020B0604030504040204" pitchFamily="50" charset="-128"/>
              <a:ea typeface="メイリオ" panose="020B0604030504040204" pitchFamily="50" charset="-128"/>
            </a:rPr>
            <a:t>能動的受容</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コンティンジェンシー予備費を設定する</a:t>
          </a:r>
          <a:r>
            <a:rPr kumimoji="1" lang="ja-JP" altLang="en-US" sz="1200" baseline="0">
              <a:latin typeface="メイリオ" panose="020B0604030504040204" pitchFamily="50" charset="-128"/>
              <a:ea typeface="メイリオ" panose="020B0604030504040204" pitchFamily="50" charset="-128"/>
            </a:rPr>
            <a:t> </a:t>
          </a:r>
          <a:r>
            <a:rPr kumimoji="1" lang="ja-JP" altLang="en-US" sz="1200">
              <a:latin typeface="メイリオ" panose="020B0604030504040204" pitchFamily="50" charset="-128"/>
              <a:ea typeface="メイリオ" panose="020B0604030504040204" pitchFamily="50" charset="-128"/>
            </a:rPr>
            <a:t>等</a:t>
          </a:r>
          <a:r>
            <a:rPr kumimoji="1" lang="en-US" altLang="ja-JP" sz="1200">
              <a:latin typeface="メイリオ" panose="020B0604030504040204" pitchFamily="50" charset="-128"/>
              <a:ea typeface="メイリオ" panose="020B0604030504040204" pitchFamily="50" charset="-128"/>
            </a:rPr>
            <a:t>) </a:t>
          </a:r>
        </a:p>
        <a:p>
          <a:pPr algn="l"/>
          <a:r>
            <a:rPr kumimoji="1" lang="ja-JP" altLang="en-US" sz="1200" u="sng">
              <a:latin typeface="メイリオ" panose="020B0604030504040204" pitchFamily="50" charset="-128"/>
              <a:ea typeface="メイリオ" panose="020B0604030504040204" pitchFamily="50" charset="-128"/>
            </a:rPr>
            <a:t>受動的受容</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定期的にリスクの状態変化を見直す以外の処置をしない</a:t>
          </a:r>
          <a:r>
            <a:rPr kumimoji="1" lang="en-US" altLang="ja-JP" sz="1200">
              <a:latin typeface="メイリオ" panose="020B0604030504040204" pitchFamily="50" charset="-128"/>
              <a:ea typeface="メイリオ" panose="020B0604030504040204" pitchFamily="50" charset="-128"/>
            </a:rPr>
            <a:t>)</a:t>
          </a:r>
          <a:endParaRPr kumimoji="1" lang="ja-JP" altLang="en-US" sz="1200">
            <a:latin typeface="メイリオ" panose="020B0604030504040204" pitchFamily="50" charset="-128"/>
            <a:ea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CCFF33"/>
    <pageSetUpPr fitToPage="1"/>
  </sheetPr>
  <dimension ref="A1:B7"/>
  <sheetViews>
    <sheetView tabSelected="1" zoomScaleNormal="100" workbookViewId="0"/>
  </sheetViews>
  <sheetFormatPr defaultColWidth="9.140625" defaultRowHeight="15.95"/>
  <cols>
    <col min="1" max="1" width="20.7109375" style="14" customWidth="1"/>
    <col min="2" max="2" width="100.7109375" style="14" customWidth="1"/>
    <col min="3" max="16384" width="9.140625" style="14"/>
  </cols>
  <sheetData>
    <row r="1" spans="1:2" ht="22.5">
      <c r="A1" s="233" t="s">
        <v>0</v>
      </c>
      <c r="B1" s="233"/>
    </row>
    <row r="4" spans="1:2" ht="57" customHeight="1">
      <c r="A4" s="15" t="s">
        <v>1</v>
      </c>
      <c r="B4" s="16" t="s">
        <v>2</v>
      </c>
    </row>
    <row r="5" spans="1:2" ht="288" customHeight="1">
      <c r="A5" s="15" t="s">
        <v>3</v>
      </c>
      <c r="B5" s="16" t="s">
        <v>4</v>
      </c>
    </row>
    <row r="6" spans="1:2" ht="40.5" customHeight="1">
      <c r="A6" s="15" t="s">
        <v>5</v>
      </c>
      <c r="B6" s="16" t="s">
        <v>6</v>
      </c>
    </row>
    <row r="7" spans="1:2" ht="85.5" customHeight="1">
      <c r="A7" s="15" t="s">
        <v>7</v>
      </c>
      <c r="B7" s="16" t="s">
        <v>8</v>
      </c>
    </row>
  </sheetData>
  <phoneticPr fontId="1"/>
  <pageMargins left="0.74803149606299213" right="0.74803149606299213" top="0.98425196850393704" bottom="0.98425196850393704" header="0.51181102362204722" footer="0.51181102362204722"/>
  <pageSetup paperSize="9" scale="79" fitToHeight="0" orientation="portrait" r:id="rId1"/>
  <headerFooter alignWithMargins="0">
    <oddFooter>&amp;L伊藤忠テクノソリューションズ株式会社&amp;C&amp;P/&amp;N&amp;RCQMS-S-102T5 Ver.09.50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CCFF33"/>
    <pageSetUpPr fitToPage="1"/>
  </sheetPr>
  <dimension ref="A1:J54"/>
  <sheetViews>
    <sheetView zoomScaleNormal="100" workbookViewId="0"/>
  </sheetViews>
  <sheetFormatPr defaultColWidth="9.140625" defaultRowHeight="15.95"/>
  <cols>
    <col min="1" max="1" width="4.85546875" style="14" bestFit="1" customWidth="1"/>
    <col min="2" max="2" width="10.28515625" style="19" customWidth="1"/>
    <col min="3" max="3" width="17.7109375" style="14" customWidth="1"/>
    <col min="4" max="4" width="22.140625" style="14" customWidth="1"/>
    <col min="5" max="6" width="10.7109375" style="14" bestFit="1" customWidth="1"/>
    <col min="7" max="7" width="145.7109375" style="14" customWidth="1"/>
    <col min="8" max="8" width="18.140625" style="19" bestFit="1" customWidth="1"/>
    <col min="9" max="9" width="1.28515625" style="20" hidden="1" customWidth="1"/>
    <col min="10" max="16384" width="9.140625" style="14"/>
  </cols>
  <sheetData>
    <row r="1" spans="1:9" ht="22.5">
      <c r="A1" s="17" t="s">
        <v>9</v>
      </c>
      <c r="B1" s="18"/>
    </row>
    <row r="2" spans="1:9">
      <c r="B2" s="272" t="s">
        <v>10</v>
      </c>
      <c r="C2" s="272"/>
      <c r="D2" s="318"/>
      <c r="E2" s="318"/>
      <c r="F2" s="318"/>
    </row>
    <row r="3" spans="1:9">
      <c r="B3" s="272" t="s">
        <v>11</v>
      </c>
      <c r="C3" s="272"/>
      <c r="D3" s="318"/>
      <c r="E3" s="318"/>
      <c r="F3" s="318"/>
    </row>
    <row r="4" spans="1:9">
      <c r="B4" s="272" t="s">
        <v>12</v>
      </c>
      <c r="C4" s="272"/>
      <c r="D4" s="318"/>
      <c r="E4" s="318"/>
      <c r="F4" s="318"/>
    </row>
    <row r="5" spans="1:9">
      <c r="B5" s="272" t="s">
        <v>13</v>
      </c>
      <c r="C5" s="272"/>
      <c r="D5" s="318"/>
      <c r="E5" s="318"/>
      <c r="F5" s="318"/>
    </row>
    <row r="6" spans="1:9" ht="16.5" thickBot="1"/>
    <row r="7" spans="1:9" s="18" customFormat="1" ht="40.5" customHeight="1">
      <c r="A7" s="235" t="s">
        <v>14</v>
      </c>
      <c r="B7" s="236" t="s">
        <v>15</v>
      </c>
      <c r="C7" s="237" t="s">
        <v>16</v>
      </c>
      <c r="D7" s="237" t="s">
        <v>17</v>
      </c>
      <c r="E7" s="276" t="s">
        <v>18</v>
      </c>
      <c r="F7" s="277"/>
      <c r="G7" s="238" t="s">
        <v>19</v>
      </c>
      <c r="H7" s="239" t="s">
        <v>20</v>
      </c>
      <c r="I7" s="21"/>
    </row>
    <row r="8" spans="1:9" s="23" customFormat="1" ht="21" customHeight="1">
      <c r="A8" s="273" t="s">
        <v>21</v>
      </c>
      <c r="B8" s="274"/>
      <c r="C8" s="274"/>
      <c r="D8" s="274"/>
      <c r="E8" s="274"/>
      <c r="F8" s="274"/>
      <c r="G8" s="274"/>
      <c r="H8" s="275"/>
      <c r="I8" s="22"/>
    </row>
    <row r="9" spans="1:9" ht="118.5" customHeight="1">
      <c r="A9" s="24">
        <v>1</v>
      </c>
      <c r="B9" s="25" t="s">
        <v>22</v>
      </c>
      <c r="C9" s="26" t="s">
        <v>23</v>
      </c>
      <c r="D9" s="16" t="s">
        <v>24</v>
      </c>
      <c r="E9" s="27" t="s">
        <v>25</v>
      </c>
      <c r="F9" s="27" t="s">
        <v>26</v>
      </c>
      <c r="G9" s="28" t="s">
        <v>27</v>
      </c>
      <c r="H9" s="29" t="s">
        <v>28</v>
      </c>
      <c r="I9" s="20" t="s">
        <v>29</v>
      </c>
    </row>
    <row r="10" spans="1:9" ht="114" customHeight="1">
      <c r="A10" s="24">
        <f>A9+1</f>
        <v>2</v>
      </c>
      <c r="B10" s="25" t="s">
        <v>22</v>
      </c>
      <c r="C10" s="26" t="s">
        <v>30</v>
      </c>
      <c r="D10" s="16" t="s">
        <v>31</v>
      </c>
      <c r="E10" s="27" t="s">
        <v>32</v>
      </c>
      <c r="F10" s="27" t="s">
        <v>33</v>
      </c>
      <c r="G10" s="28" t="s">
        <v>34</v>
      </c>
      <c r="H10" s="29" t="s">
        <v>35</v>
      </c>
      <c r="I10" s="20" t="s">
        <v>36</v>
      </c>
    </row>
    <row r="11" spans="1:9" ht="129.75" customHeight="1">
      <c r="A11" s="24">
        <f>A10+1</f>
        <v>3</v>
      </c>
      <c r="B11" s="25" t="s">
        <v>37</v>
      </c>
      <c r="C11" s="26" t="s">
        <v>38</v>
      </c>
      <c r="D11" s="16" t="s">
        <v>39</v>
      </c>
      <c r="E11" s="27" t="s">
        <v>32</v>
      </c>
      <c r="F11" s="27" t="s">
        <v>40</v>
      </c>
      <c r="G11" s="28" t="s">
        <v>41</v>
      </c>
      <c r="H11" s="29" t="s">
        <v>28</v>
      </c>
      <c r="I11" s="20" t="s">
        <v>29</v>
      </c>
    </row>
    <row r="12" spans="1:9" ht="99.75" customHeight="1">
      <c r="A12" s="24">
        <f>A11+1</f>
        <v>4</v>
      </c>
      <c r="B12" s="25" t="s">
        <v>22</v>
      </c>
      <c r="C12" s="26" t="s">
        <v>42</v>
      </c>
      <c r="D12" s="16" t="s">
        <v>43</v>
      </c>
      <c r="E12" s="27" t="s">
        <v>32</v>
      </c>
      <c r="F12" s="27" t="s">
        <v>33</v>
      </c>
      <c r="G12" s="28" t="s">
        <v>44</v>
      </c>
      <c r="H12" s="29" t="s">
        <v>35</v>
      </c>
      <c r="I12" s="20" t="s">
        <v>36</v>
      </c>
    </row>
    <row r="13" spans="1:9" ht="129.75" customHeight="1">
      <c r="A13" s="24">
        <f>A12+1</f>
        <v>5</v>
      </c>
      <c r="B13" s="25" t="s">
        <v>22</v>
      </c>
      <c r="C13" s="26" t="s">
        <v>45</v>
      </c>
      <c r="D13" s="16" t="s">
        <v>46</v>
      </c>
      <c r="E13" s="27" t="s">
        <v>32</v>
      </c>
      <c r="F13" s="27" t="s">
        <v>47</v>
      </c>
      <c r="G13" s="28" t="s">
        <v>48</v>
      </c>
      <c r="H13" s="29" t="s">
        <v>28</v>
      </c>
      <c r="I13" s="20" t="s">
        <v>29</v>
      </c>
    </row>
    <row r="14" spans="1:9" s="23" customFormat="1" ht="24" customHeight="1">
      <c r="A14" s="273" t="s">
        <v>49</v>
      </c>
      <c r="B14" s="274"/>
      <c r="C14" s="274"/>
      <c r="D14" s="274"/>
      <c r="E14" s="274"/>
      <c r="F14" s="274"/>
      <c r="G14" s="274"/>
      <c r="H14" s="275"/>
      <c r="I14" s="20"/>
    </row>
    <row r="15" spans="1:9" ht="114" customHeight="1">
      <c r="A15" s="24">
        <f>A13+1</f>
        <v>6</v>
      </c>
      <c r="B15" s="25" t="s">
        <v>37</v>
      </c>
      <c r="C15" s="26" t="s">
        <v>50</v>
      </c>
      <c r="D15" s="16" t="s">
        <v>51</v>
      </c>
      <c r="E15" s="27" t="s">
        <v>32</v>
      </c>
      <c r="F15" s="27" t="s">
        <v>52</v>
      </c>
      <c r="G15" s="28" t="s">
        <v>53</v>
      </c>
      <c r="H15" s="29" t="s">
        <v>28</v>
      </c>
      <c r="I15" s="20" t="s">
        <v>29</v>
      </c>
    </row>
    <row r="16" spans="1:9" ht="119.25" customHeight="1">
      <c r="A16" s="24">
        <f t="shared" ref="A16:A24" si="0">A15+1</f>
        <v>7</v>
      </c>
      <c r="B16" s="25" t="s">
        <v>37</v>
      </c>
      <c r="C16" s="26" t="s">
        <v>54</v>
      </c>
      <c r="D16" s="16" t="s">
        <v>55</v>
      </c>
      <c r="E16" s="27" t="s">
        <v>32</v>
      </c>
      <c r="F16" s="27" t="s">
        <v>52</v>
      </c>
      <c r="G16" s="28" t="s">
        <v>56</v>
      </c>
      <c r="H16" s="29" t="s">
        <v>28</v>
      </c>
      <c r="I16" s="20" t="s">
        <v>29</v>
      </c>
    </row>
    <row r="17" spans="1:10" ht="165.75" customHeight="1">
      <c r="A17" s="24">
        <f t="shared" si="0"/>
        <v>8</v>
      </c>
      <c r="B17" s="25" t="s">
        <v>37</v>
      </c>
      <c r="C17" s="26" t="s">
        <v>57</v>
      </c>
      <c r="D17" s="16" t="s">
        <v>58</v>
      </c>
      <c r="E17" s="27" t="s">
        <v>59</v>
      </c>
      <c r="F17" s="27" t="s">
        <v>60</v>
      </c>
      <c r="G17" s="28" t="s">
        <v>61</v>
      </c>
      <c r="H17" s="29" t="s">
        <v>28</v>
      </c>
      <c r="I17" s="20" t="s">
        <v>29</v>
      </c>
    </row>
    <row r="18" spans="1:10" ht="150" customHeight="1">
      <c r="A18" s="24">
        <f t="shared" si="0"/>
        <v>9</v>
      </c>
      <c r="B18" s="25" t="s">
        <v>37</v>
      </c>
      <c r="C18" s="26" t="s">
        <v>57</v>
      </c>
      <c r="D18" s="16" t="s">
        <v>62</v>
      </c>
      <c r="E18" s="27" t="s">
        <v>32</v>
      </c>
      <c r="F18" s="27" t="s">
        <v>63</v>
      </c>
      <c r="G18" s="28" t="s">
        <v>64</v>
      </c>
      <c r="H18" s="29" t="s">
        <v>35</v>
      </c>
      <c r="I18" s="20" t="s">
        <v>36</v>
      </c>
    </row>
    <row r="19" spans="1:10" ht="164.25" customHeight="1">
      <c r="A19" s="24">
        <f t="shared" si="0"/>
        <v>10</v>
      </c>
      <c r="B19" s="25" t="s">
        <v>37</v>
      </c>
      <c r="C19" s="26" t="s">
        <v>57</v>
      </c>
      <c r="D19" s="16" t="s">
        <v>65</v>
      </c>
      <c r="E19" s="27" t="s">
        <v>59</v>
      </c>
      <c r="F19" s="27" t="s">
        <v>66</v>
      </c>
      <c r="G19" s="28" t="s">
        <v>67</v>
      </c>
      <c r="H19" s="29" t="s">
        <v>28</v>
      </c>
      <c r="I19" s="20" t="s">
        <v>29</v>
      </c>
    </row>
    <row r="20" spans="1:10" ht="128.1">
      <c r="A20" s="24">
        <f t="shared" si="0"/>
        <v>11</v>
      </c>
      <c r="B20" s="25" t="s">
        <v>37</v>
      </c>
      <c r="C20" s="26" t="s">
        <v>68</v>
      </c>
      <c r="D20" s="16" t="s">
        <v>69</v>
      </c>
      <c r="E20" s="27" t="s">
        <v>59</v>
      </c>
      <c r="F20" s="27" t="s">
        <v>70</v>
      </c>
      <c r="G20" s="28" t="s">
        <v>71</v>
      </c>
      <c r="H20" s="29" t="s">
        <v>28</v>
      </c>
      <c r="I20" s="20" t="s">
        <v>29</v>
      </c>
    </row>
    <row r="21" spans="1:10" ht="110.25" customHeight="1">
      <c r="A21" s="24">
        <f t="shared" si="0"/>
        <v>12</v>
      </c>
      <c r="B21" s="25" t="s">
        <v>37</v>
      </c>
      <c r="C21" s="26" t="s">
        <v>72</v>
      </c>
      <c r="D21" s="16" t="s">
        <v>73</v>
      </c>
      <c r="E21" s="27" t="s">
        <v>59</v>
      </c>
      <c r="F21" s="27" t="s">
        <v>74</v>
      </c>
      <c r="G21" s="28" t="s">
        <v>75</v>
      </c>
      <c r="H21" s="29" t="s">
        <v>28</v>
      </c>
      <c r="I21" s="20" t="s">
        <v>29</v>
      </c>
    </row>
    <row r="22" spans="1:10" ht="118.5" customHeight="1">
      <c r="A22" s="24">
        <f t="shared" si="0"/>
        <v>13</v>
      </c>
      <c r="B22" s="25" t="s">
        <v>37</v>
      </c>
      <c r="C22" s="26" t="s">
        <v>76</v>
      </c>
      <c r="D22" s="16" t="s">
        <v>77</v>
      </c>
      <c r="E22" s="27" t="s">
        <v>59</v>
      </c>
      <c r="F22" s="27" t="s">
        <v>78</v>
      </c>
      <c r="G22" s="28" t="s">
        <v>79</v>
      </c>
      <c r="H22" s="29" t="s">
        <v>28</v>
      </c>
      <c r="I22" s="20" t="s">
        <v>29</v>
      </c>
    </row>
    <row r="23" spans="1:10" s="23" customFormat="1" ht="299.25" customHeight="1">
      <c r="A23" s="24">
        <f t="shared" si="0"/>
        <v>14</v>
      </c>
      <c r="B23" s="25" t="s">
        <v>37</v>
      </c>
      <c r="C23" s="26" t="s">
        <v>80</v>
      </c>
      <c r="D23" s="16" t="s">
        <v>81</v>
      </c>
      <c r="E23" s="27" t="s">
        <v>32</v>
      </c>
      <c r="F23" s="27" t="s">
        <v>82</v>
      </c>
      <c r="G23" s="28" t="s">
        <v>83</v>
      </c>
      <c r="H23" s="29" t="s">
        <v>28</v>
      </c>
      <c r="I23" s="20" t="s">
        <v>29</v>
      </c>
      <c r="J23" s="14"/>
    </row>
    <row r="24" spans="1:10" s="23" customFormat="1" ht="137.1" customHeight="1">
      <c r="A24" s="24">
        <f t="shared" si="0"/>
        <v>15</v>
      </c>
      <c r="B24" s="270" t="s">
        <v>37</v>
      </c>
      <c r="C24" s="26" t="s">
        <v>84</v>
      </c>
      <c r="D24" s="16" t="s">
        <v>85</v>
      </c>
      <c r="E24" s="27" t="s">
        <v>32</v>
      </c>
      <c r="F24" s="27" t="s">
        <v>86</v>
      </c>
      <c r="G24" s="271" t="s">
        <v>87</v>
      </c>
      <c r="H24" s="29" t="s">
        <v>28</v>
      </c>
      <c r="I24" s="20" t="s">
        <v>29</v>
      </c>
      <c r="J24" s="14"/>
    </row>
    <row r="25" spans="1:10" s="23" customFormat="1" ht="24" customHeight="1">
      <c r="A25" s="273" t="s">
        <v>88</v>
      </c>
      <c r="B25" s="274"/>
      <c r="C25" s="274"/>
      <c r="D25" s="274"/>
      <c r="E25" s="274"/>
      <c r="F25" s="274"/>
      <c r="G25" s="274"/>
      <c r="H25" s="275"/>
      <c r="I25" s="20"/>
    </row>
    <row r="26" spans="1:10" ht="115.5" customHeight="1">
      <c r="A26" s="24">
        <f>A24+1</f>
        <v>16</v>
      </c>
      <c r="B26" s="25" t="s">
        <v>37</v>
      </c>
      <c r="C26" s="26" t="s">
        <v>89</v>
      </c>
      <c r="D26" s="16" t="s">
        <v>90</v>
      </c>
      <c r="E26" s="27" t="s">
        <v>59</v>
      </c>
      <c r="F26" s="27" t="s">
        <v>91</v>
      </c>
      <c r="G26" s="28" t="s">
        <v>92</v>
      </c>
      <c r="H26" s="29" t="s">
        <v>28</v>
      </c>
      <c r="I26" s="20" t="s">
        <v>29</v>
      </c>
    </row>
    <row r="27" spans="1:10" ht="208.5" customHeight="1">
      <c r="A27" s="24">
        <f>A26+1</f>
        <v>17</v>
      </c>
      <c r="B27" s="25" t="s">
        <v>37</v>
      </c>
      <c r="C27" s="26" t="s">
        <v>80</v>
      </c>
      <c r="D27" s="16" t="s">
        <v>93</v>
      </c>
      <c r="E27" s="27" t="s">
        <v>59</v>
      </c>
      <c r="F27" s="27" t="s">
        <v>94</v>
      </c>
      <c r="G27" s="28" t="s">
        <v>95</v>
      </c>
      <c r="H27" s="29" t="s">
        <v>28</v>
      </c>
      <c r="I27" s="20" t="s">
        <v>29</v>
      </c>
    </row>
    <row r="28" spans="1:10" ht="115.5" customHeight="1">
      <c r="A28" s="24">
        <f>A27+1</f>
        <v>18</v>
      </c>
      <c r="B28" s="25" t="s">
        <v>22</v>
      </c>
      <c r="C28" s="26" t="s">
        <v>96</v>
      </c>
      <c r="D28" s="16" t="s">
        <v>97</v>
      </c>
      <c r="E28" s="27" t="s">
        <v>32</v>
      </c>
      <c r="F28" s="27" t="s">
        <v>98</v>
      </c>
      <c r="G28" s="28" t="s">
        <v>99</v>
      </c>
      <c r="H28" s="29" t="s">
        <v>28</v>
      </c>
      <c r="I28" s="20" t="s">
        <v>29</v>
      </c>
    </row>
    <row r="29" spans="1:10" s="23" customFormat="1" ht="24" customHeight="1">
      <c r="A29" s="273" t="s">
        <v>100</v>
      </c>
      <c r="B29" s="274"/>
      <c r="C29" s="274"/>
      <c r="D29" s="274"/>
      <c r="E29" s="274"/>
      <c r="F29" s="274"/>
      <c r="G29" s="274"/>
      <c r="H29" s="275"/>
      <c r="I29" s="20"/>
    </row>
    <row r="30" spans="1:10" s="23" customFormat="1" ht="91.5" customHeight="1">
      <c r="A30" s="30">
        <f>A28+1</f>
        <v>19</v>
      </c>
      <c r="B30" s="25" t="s">
        <v>37</v>
      </c>
      <c r="C30" s="31" t="s">
        <v>101</v>
      </c>
      <c r="D30" s="32" t="s">
        <v>102</v>
      </c>
      <c r="E30" s="33" t="s">
        <v>32</v>
      </c>
      <c r="F30" s="33" t="s">
        <v>103</v>
      </c>
      <c r="G30" s="34" t="s">
        <v>104</v>
      </c>
      <c r="H30" s="35" t="s">
        <v>28</v>
      </c>
      <c r="I30" s="20" t="s">
        <v>29</v>
      </c>
    </row>
    <row r="31" spans="1:10" ht="111.75" customHeight="1">
      <c r="A31" s="24">
        <f t="shared" ref="A31:A36" si="1">A30+1</f>
        <v>20</v>
      </c>
      <c r="B31" s="25" t="s">
        <v>37</v>
      </c>
      <c r="C31" s="26" t="s">
        <v>42</v>
      </c>
      <c r="D31" s="16" t="s">
        <v>105</v>
      </c>
      <c r="E31" s="27" t="s">
        <v>32</v>
      </c>
      <c r="F31" s="27" t="s">
        <v>106</v>
      </c>
      <c r="G31" s="28" t="s">
        <v>107</v>
      </c>
      <c r="H31" s="29" t="s">
        <v>28</v>
      </c>
      <c r="I31" s="20" t="s">
        <v>29</v>
      </c>
    </row>
    <row r="32" spans="1:10" ht="96">
      <c r="A32" s="24">
        <f t="shared" si="1"/>
        <v>21</v>
      </c>
      <c r="B32" s="25" t="s">
        <v>37</v>
      </c>
      <c r="C32" s="26" t="s">
        <v>108</v>
      </c>
      <c r="D32" s="16" t="s">
        <v>109</v>
      </c>
      <c r="E32" s="27" t="s">
        <v>59</v>
      </c>
      <c r="F32" s="27" t="s">
        <v>110</v>
      </c>
      <c r="G32" s="28" t="s">
        <v>111</v>
      </c>
      <c r="H32" s="29" t="s">
        <v>28</v>
      </c>
      <c r="I32" s="20" t="s">
        <v>29</v>
      </c>
    </row>
    <row r="33" spans="1:9" ht="111.95">
      <c r="A33" s="24">
        <f t="shared" si="1"/>
        <v>22</v>
      </c>
      <c r="B33" s="25" t="s">
        <v>37</v>
      </c>
      <c r="C33" s="26" t="s">
        <v>112</v>
      </c>
      <c r="D33" s="16" t="s">
        <v>113</v>
      </c>
      <c r="E33" s="27" t="s">
        <v>59</v>
      </c>
      <c r="F33" s="27" t="s">
        <v>114</v>
      </c>
      <c r="G33" s="28" t="s">
        <v>115</v>
      </c>
      <c r="H33" s="29" t="s">
        <v>28</v>
      </c>
      <c r="I33" s="20" t="s">
        <v>29</v>
      </c>
    </row>
    <row r="34" spans="1:9" ht="132.75" customHeight="1">
      <c r="A34" s="24">
        <f t="shared" si="1"/>
        <v>23</v>
      </c>
      <c r="B34" s="25" t="s">
        <v>22</v>
      </c>
      <c r="C34" s="26" t="s">
        <v>116</v>
      </c>
      <c r="D34" s="16" t="s">
        <v>117</v>
      </c>
      <c r="E34" s="27" t="s">
        <v>59</v>
      </c>
      <c r="F34" s="27" t="s">
        <v>118</v>
      </c>
      <c r="G34" s="28" t="s">
        <v>119</v>
      </c>
      <c r="H34" s="29" t="s">
        <v>28</v>
      </c>
      <c r="I34" s="20" t="s">
        <v>29</v>
      </c>
    </row>
    <row r="35" spans="1:9" ht="83.25" customHeight="1">
      <c r="A35" s="24">
        <f t="shared" si="1"/>
        <v>24</v>
      </c>
      <c r="B35" s="25" t="s">
        <v>22</v>
      </c>
      <c r="C35" s="26" t="s">
        <v>120</v>
      </c>
      <c r="D35" s="16" t="s">
        <v>121</v>
      </c>
      <c r="E35" s="27" t="s">
        <v>59</v>
      </c>
      <c r="F35" s="27" t="s">
        <v>122</v>
      </c>
      <c r="G35" s="28" t="s">
        <v>123</v>
      </c>
      <c r="H35" s="29" t="s">
        <v>28</v>
      </c>
      <c r="I35" s="20" t="s">
        <v>29</v>
      </c>
    </row>
    <row r="36" spans="1:9" s="23" customFormat="1" ht="108" customHeight="1">
      <c r="A36" s="24">
        <f t="shared" si="1"/>
        <v>25</v>
      </c>
      <c r="B36" s="25" t="s">
        <v>22</v>
      </c>
      <c r="C36" s="26" t="s">
        <v>80</v>
      </c>
      <c r="D36" s="16" t="s">
        <v>124</v>
      </c>
      <c r="E36" s="27" t="s">
        <v>59</v>
      </c>
      <c r="F36" s="27" t="s">
        <v>125</v>
      </c>
      <c r="G36" s="28" t="s">
        <v>126</v>
      </c>
      <c r="H36" s="29" t="s">
        <v>28</v>
      </c>
      <c r="I36" s="20" t="s">
        <v>29</v>
      </c>
    </row>
    <row r="37" spans="1:9" s="23" customFormat="1" ht="24" customHeight="1">
      <c r="A37" s="273" t="s">
        <v>127</v>
      </c>
      <c r="B37" s="274"/>
      <c r="C37" s="274"/>
      <c r="D37" s="274"/>
      <c r="E37" s="274"/>
      <c r="F37" s="274"/>
      <c r="G37" s="274"/>
      <c r="H37" s="275"/>
      <c r="I37" s="20"/>
    </row>
    <row r="38" spans="1:9" ht="128.1">
      <c r="A38" s="24">
        <f>A36+1</f>
        <v>26</v>
      </c>
      <c r="B38" s="25" t="s">
        <v>37</v>
      </c>
      <c r="C38" s="26" t="s">
        <v>89</v>
      </c>
      <c r="D38" s="16" t="s">
        <v>128</v>
      </c>
      <c r="E38" s="27" t="s">
        <v>59</v>
      </c>
      <c r="F38" s="27" t="s">
        <v>110</v>
      </c>
      <c r="G38" s="28" t="s">
        <v>129</v>
      </c>
      <c r="H38" s="29" t="s">
        <v>28</v>
      </c>
      <c r="I38" s="20" t="s">
        <v>29</v>
      </c>
    </row>
    <row r="39" spans="1:9">
      <c r="C39" s="14" t="s">
        <v>130</v>
      </c>
    </row>
    <row r="54" spans="8:8">
      <c r="H54" s="14"/>
    </row>
  </sheetData>
  <autoFilter ref="A7:H39" xr:uid="{00000000-0009-0000-0000-000001000000}">
    <filterColumn colId="4" showButton="0"/>
  </autoFilter>
  <mergeCells count="14">
    <mergeCell ref="A37:H37"/>
    <mergeCell ref="E7:F7"/>
    <mergeCell ref="A8:H8"/>
    <mergeCell ref="A14:H14"/>
    <mergeCell ref="A25:H25"/>
    <mergeCell ref="A29:H29"/>
    <mergeCell ref="D2:F2"/>
    <mergeCell ref="D3:F3"/>
    <mergeCell ref="D5:F5"/>
    <mergeCell ref="B2:C2"/>
    <mergeCell ref="B3:C3"/>
    <mergeCell ref="B5:C5"/>
    <mergeCell ref="B4:C4"/>
    <mergeCell ref="D4:F4"/>
  </mergeCells>
  <phoneticPr fontId="1"/>
  <conditionalFormatting sqref="A8:H38">
    <cfRule type="expression" dxfId="4" priority="2" stopIfTrue="1">
      <formula>COUNTIF($E8, "該当せず") &gt; 0</formula>
    </cfRule>
    <cfRule type="expression" dxfId="3" priority="3" stopIfTrue="1">
      <formula>COUNTIF($E8, $I8) &gt; 0</formula>
    </cfRule>
  </conditionalFormatting>
  <conditionalFormatting sqref="D2:F5">
    <cfRule type="cellIs" dxfId="2" priority="1" operator="equal">
      <formula>""</formula>
    </cfRule>
  </conditionalFormatting>
  <dataValidations count="2">
    <dataValidation type="list" allowBlank="1" showInputMessage="1" showErrorMessage="1" sqref="E9:E13 E26:E28 E30:E36 E38 E15:E24" xr:uid="{00000000-0002-0000-0100-000000000000}">
      <formula1>"Yes / No,Yes,No,該当せず"</formula1>
    </dataValidation>
    <dataValidation type="list" allowBlank="1" showInputMessage="1" showErrorMessage="1" sqref="D5:F5" xr:uid="{2F7EC595-16EB-4A54-BEA9-B60959FABFAD}">
      <formula1>",上限あり,上限なし"</formula1>
    </dataValidation>
  </dataValidations>
  <pageMargins left="0.74803149606299213" right="0.74803149606299213" top="0.98425196850393704" bottom="0.98425196850393704" header="0.51181102362204722" footer="0.51181102362204722"/>
  <pageSetup paperSize="9" scale="40" fitToHeight="0" orientation="portrait" r:id="rId1"/>
  <headerFooter alignWithMargins="0">
    <oddFooter>&amp;L伊藤忠テクノソリューションズ株式会社&amp;C&amp;P/&amp;N&amp;RCQMS-S-102T5 Ver.09.50</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CC00"/>
    <pageSetUpPr fitToPage="1"/>
  </sheetPr>
  <dimension ref="A1:V187"/>
  <sheetViews>
    <sheetView zoomScaleNormal="100" zoomScaleSheetLayoutView="85" workbookViewId="0"/>
  </sheetViews>
  <sheetFormatPr defaultColWidth="8.140625" defaultRowHeight="15.95"/>
  <cols>
    <col min="1" max="1" width="4" style="120" customWidth="1"/>
    <col min="2" max="2" width="6.85546875" style="121" customWidth="1"/>
    <col min="3" max="3" width="30.7109375" style="121" customWidth="1"/>
    <col min="4" max="4" width="23.7109375" style="121" customWidth="1"/>
    <col min="5" max="5" width="7.85546875" style="122" customWidth="1"/>
    <col min="6" max="6" width="30.7109375" style="14" customWidth="1"/>
    <col min="7" max="7" width="6.140625" style="122" customWidth="1"/>
    <col min="8" max="8" width="6.85546875" style="123" bestFit="1" customWidth="1"/>
    <col min="9" max="9" width="5.42578125" style="123" customWidth="1"/>
    <col min="10" max="10" width="7.85546875" style="123" bestFit="1" customWidth="1"/>
    <col min="11" max="11" width="30.85546875" style="120" customWidth="1"/>
    <col min="12" max="12" width="8.7109375" style="14" customWidth="1"/>
    <col min="13" max="14" width="11" style="120" customWidth="1"/>
    <col min="15" max="15" width="34" style="14" customWidth="1"/>
    <col min="16" max="16" width="7" style="14" customWidth="1"/>
    <col min="17" max="18" width="23.7109375" style="14" customWidth="1"/>
    <col min="19" max="19" width="15.85546875" style="121" customWidth="1"/>
    <col min="20" max="20" width="14.140625" style="121" customWidth="1"/>
    <col min="21" max="21" width="38" style="14" customWidth="1"/>
    <col min="22" max="22" width="26.7109375" style="14" customWidth="1"/>
    <col min="23" max="16384" width="8.140625" style="14"/>
  </cols>
  <sheetData>
    <row r="1" spans="1:22" ht="22.5">
      <c r="A1" s="233" t="s">
        <v>131</v>
      </c>
    </row>
    <row r="3" spans="1:22" s="39" customFormat="1" ht="18" customHeight="1">
      <c r="A3" s="36"/>
      <c r="B3" s="37"/>
      <c r="C3" s="195" t="s">
        <v>132</v>
      </c>
      <c r="D3" s="279"/>
      <c r="E3" s="280"/>
      <c r="F3" s="195" t="s">
        <v>133</v>
      </c>
      <c r="G3" s="284"/>
      <c r="H3" s="285"/>
      <c r="I3" s="285"/>
      <c r="J3" s="285"/>
      <c r="K3" s="285"/>
      <c r="L3" s="286"/>
      <c r="M3" s="179"/>
      <c r="N3" s="179"/>
      <c r="O3" s="179"/>
      <c r="R3" s="234" t="s">
        <v>134</v>
      </c>
      <c r="S3" s="244"/>
      <c r="T3" s="234" t="s">
        <v>135</v>
      </c>
      <c r="U3" s="278"/>
      <c r="V3" s="319"/>
    </row>
    <row r="4" spans="1:22" s="39" customFormat="1" ht="18" customHeight="1">
      <c r="A4" s="43"/>
      <c r="B4" s="37" t="s">
        <v>136</v>
      </c>
      <c r="C4" s="195" t="s">
        <v>137</v>
      </c>
      <c r="D4" s="279"/>
      <c r="E4" s="280"/>
      <c r="F4" s="195" t="s">
        <v>138</v>
      </c>
      <c r="G4" s="284"/>
      <c r="H4" s="285"/>
      <c r="I4" s="285"/>
      <c r="J4" s="285"/>
      <c r="K4" s="285"/>
      <c r="L4" s="286"/>
      <c r="M4" s="179"/>
      <c r="N4" s="179"/>
      <c r="O4" s="179"/>
      <c r="R4" s="234" t="s">
        <v>139</v>
      </c>
      <c r="S4" s="244"/>
      <c r="T4" s="234" t="s">
        <v>140</v>
      </c>
      <c r="U4" s="278"/>
      <c r="V4" s="319"/>
    </row>
    <row r="5" spans="1:22" s="39" customFormat="1" ht="18" customHeight="1">
      <c r="A5" s="43"/>
      <c r="B5" s="37"/>
      <c r="C5" s="38"/>
      <c r="D5" s="178"/>
      <c r="E5" s="178"/>
      <c r="F5" s="178"/>
      <c r="G5" s="38"/>
      <c r="H5" s="38"/>
      <c r="I5" s="38"/>
      <c r="J5" s="38"/>
      <c r="K5" s="38"/>
      <c r="L5" s="179"/>
      <c r="M5" s="179"/>
      <c r="N5" s="179"/>
      <c r="O5" s="179"/>
      <c r="Q5" s="44"/>
    </row>
    <row r="6" spans="1:22" s="39" customFormat="1" ht="18" customHeight="1">
      <c r="A6" s="36"/>
      <c r="B6" s="45" t="s">
        <v>136</v>
      </c>
      <c r="C6" s="181" t="s">
        <v>141</v>
      </c>
      <c r="D6" s="287" t="s">
        <v>142</v>
      </c>
      <c r="E6" s="287"/>
      <c r="F6" s="288" t="s">
        <v>143</v>
      </c>
      <c r="G6" s="289"/>
      <c r="H6" s="46"/>
      <c r="I6" s="46"/>
      <c r="J6" s="46"/>
      <c r="K6" s="36"/>
      <c r="M6" s="36"/>
      <c r="N6" s="36"/>
    </row>
    <row r="7" spans="1:22" s="39" customFormat="1" ht="18" customHeight="1">
      <c r="A7" s="36"/>
      <c r="B7" s="49" t="s">
        <v>144</v>
      </c>
      <c r="C7" s="50" t="s">
        <v>145</v>
      </c>
      <c r="D7" s="290">
        <v>43922</v>
      </c>
      <c r="E7" s="290"/>
      <c r="F7" s="291" t="s">
        <v>146</v>
      </c>
      <c r="G7" s="291"/>
      <c r="H7" s="46"/>
      <c r="I7" s="46"/>
      <c r="J7" s="46"/>
      <c r="K7" s="36"/>
      <c r="M7" s="36"/>
      <c r="N7" s="36"/>
    </row>
    <row r="8" spans="1:22" s="39" customFormat="1" ht="18" customHeight="1">
      <c r="A8" s="36"/>
      <c r="B8" s="51">
        <v>1</v>
      </c>
      <c r="C8" s="52"/>
      <c r="D8" s="281"/>
      <c r="E8" s="281"/>
      <c r="F8" s="281"/>
      <c r="G8" s="281"/>
      <c r="H8" s="46"/>
      <c r="I8" s="46"/>
      <c r="J8" s="46"/>
      <c r="K8" s="36"/>
      <c r="M8" s="36"/>
      <c r="N8" s="36"/>
    </row>
    <row r="9" spans="1:22" s="39" customFormat="1" ht="18" customHeight="1">
      <c r="A9" s="36"/>
      <c r="B9" s="51">
        <v>2</v>
      </c>
      <c r="C9" s="52"/>
      <c r="D9" s="281"/>
      <c r="E9" s="281"/>
      <c r="F9" s="281"/>
      <c r="G9" s="281"/>
      <c r="H9" s="46"/>
      <c r="I9" s="46"/>
      <c r="J9" s="46"/>
      <c r="K9" s="36"/>
      <c r="M9" s="36"/>
      <c r="N9" s="36"/>
      <c r="S9" s="47"/>
      <c r="T9" s="47"/>
      <c r="U9" s="48"/>
    </row>
    <row r="10" spans="1:22" s="39" customFormat="1" ht="18" customHeight="1">
      <c r="A10" s="36"/>
      <c r="B10" s="51">
        <v>3</v>
      </c>
      <c r="C10" s="52"/>
      <c r="D10" s="281"/>
      <c r="E10" s="281"/>
      <c r="F10" s="282"/>
      <c r="G10" s="283"/>
      <c r="H10" s="46"/>
      <c r="I10" s="46"/>
      <c r="J10" s="46"/>
      <c r="K10" s="36"/>
      <c r="M10" s="36"/>
      <c r="N10" s="36"/>
      <c r="S10" s="47"/>
      <c r="T10" s="47"/>
      <c r="U10" s="48"/>
    </row>
    <row r="11" spans="1:22" s="39" customFormat="1" ht="18" customHeight="1" thickBot="1">
      <c r="A11" s="36"/>
      <c r="B11" s="45"/>
      <c r="C11" s="45"/>
      <c r="D11" s="45"/>
      <c r="E11" s="53"/>
      <c r="G11" s="53"/>
      <c r="H11" s="46"/>
      <c r="I11" s="46"/>
      <c r="J11" s="46"/>
      <c r="K11" s="36"/>
      <c r="M11" s="36"/>
      <c r="N11" s="36"/>
      <c r="S11" s="47"/>
      <c r="T11" s="47"/>
      <c r="U11" s="48"/>
    </row>
    <row r="12" spans="1:22" ht="37.5" customHeight="1" thickTop="1">
      <c r="A12" s="54" t="s">
        <v>25</v>
      </c>
      <c r="B12" s="55" t="s">
        <v>147</v>
      </c>
      <c r="C12" s="56" t="s">
        <v>148</v>
      </c>
      <c r="D12" s="55" t="s">
        <v>16</v>
      </c>
      <c r="E12" s="57" t="s">
        <v>149</v>
      </c>
      <c r="F12" s="58" t="s">
        <v>150</v>
      </c>
      <c r="G12" s="57" t="s">
        <v>151</v>
      </c>
      <c r="H12" s="59" t="s">
        <v>152</v>
      </c>
      <c r="I12" s="60" t="s">
        <v>153</v>
      </c>
      <c r="J12" s="61" t="s">
        <v>154</v>
      </c>
      <c r="K12" s="63" t="s">
        <v>155</v>
      </c>
      <c r="L12" s="62" t="s">
        <v>156</v>
      </c>
      <c r="M12" s="62" t="s">
        <v>157</v>
      </c>
      <c r="N12" s="64" t="s">
        <v>158</v>
      </c>
      <c r="O12" s="65" t="s">
        <v>159</v>
      </c>
      <c r="P12" s="66" t="s">
        <v>160</v>
      </c>
      <c r="Q12" s="67" t="s">
        <v>161</v>
      </c>
      <c r="R12" s="68" t="s">
        <v>162</v>
      </c>
      <c r="S12" s="69" t="s">
        <v>163</v>
      </c>
      <c r="T12" s="70" t="s">
        <v>164</v>
      </c>
      <c r="U12" s="71" t="s">
        <v>165</v>
      </c>
      <c r="V12" s="247" t="s">
        <v>166</v>
      </c>
    </row>
    <row r="13" spans="1:22">
      <c r="A13" s="72">
        <v>1</v>
      </c>
      <c r="B13" s="73"/>
      <c r="C13" s="74"/>
      <c r="D13" s="75" t="s">
        <v>167</v>
      </c>
      <c r="E13" s="76"/>
      <c r="F13" s="77"/>
      <c r="G13" s="78"/>
      <c r="H13" s="79"/>
      <c r="I13" s="80"/>
      <c r="J13" s="81"/>
      <c r="K13" s="83"/>
      <c r="L13" s="83"/>
      <c r="M13" s="84"/>
      <c r="N13" s="85"/>
      <c r="O13" s="86"/>
      <c r="P13" s="88"/>
      <c r="Q13" s="82"/>
      <c r="R13" s="89"/>
      <c r="S13" s="90"/>
      <c r="T13" s="84"/>
      <c r="U13" s="91"/>
      <c r="V13" s="87"/>
    </row>
    <row r="14" spans="1:22">
      <c r="A14" s="93">
        <v>2</v>
      </c>
      <c r="B14" s="73"/>
      <c r="C14" s="74"/>
      <c r="D14" s="75"/>
      <c r="E14" s="76"/>
      <c r="F14" s="77"/>
      <c r="G14" s="78"/>
      <c r="H14" s="94"/>
      <c r="I14" s="95"/>
      <c r="J14" s="96"/>
      <c r="K14" s="77"/>
      <c r="L14" s="77"/>
      <c r="M14" s="73"/>
      <c r="N14" s="97"/>
      <c r="O14" s="98"/>
      <c r="P14" s="100"/>
      <c r="Q14" s="74"/>
      <c r="R14" s="77"/>
      <c r="S14" s="101"/>
      <c r="T14" s="102"/>
      <c r="U14" s="103"/>
      <c r="V14" s="99"/>
    </row>
    <row r="15" spans="1:22">
      <c r="A15" s="93">
        <v>3</v>
      </c>
      <c r="B15" s="73"/>
      <c r="C15" s="74"/>
      <c r="D15" s="75"/>
      <c r="E15" s="76"/>
      <c r="F15" s="77"/>
      <c r="G15" s="78"/>
      <c r="H15" s="94"/>
      <c r="I15" s="95"/>
      <c r="J15" s="96"/>
      <c r="K15" s="77"/>
      <c r="L15" s="77"/>
      <c r="M15" s="73"/>
      <c r="N15" s="97"/>
      <c r="O15" s="98"/>
      <c r="P15" s="100"/>
      <c r="Q15" s="74"/>
      <c r="R15" s="77"/>
      <c r="S15" s="101"/>
      <c r="T15" s="73"/>
      <c r="U15" s="103"/>
      <c r="V15" s="99"/>
    </row>
    <row r="16" spans="1:22">
      <c r="A16" s="93">
        <v>4</v>
      </c>
      <c r="B16" s="73"/>
      <c r="C16" s="74"/>
      <c r="D16" s="75"/>
      <c r="E16" s="76"/>
      <c r="F16" s="77"/>
      <c r="G16" s="78"/>
      <c r="H16" s="94"/>
      <c r="I16" s="95"/>
      <c r="J16" s="96"/>
      <c r="K16" s="77"/>
      <c r="L16" s="77"/>
      <c r="M16" s="73"/>
      <c r="N16" s="97"/>
      <c r="O16" s="98"/>
      <c r="P16" s="100"/>
      <c r="Q16" s="74"/>
      <c r="R16" s="77"/>
      <c r="S16" s="101"/>
      <c r="T16" s="104"/>
      <c r="U16" s="103"/>
      <c r="V16" s="99"/>
    </row>
    <row r="17" spans="1:22">
      <c r="A17" s="93">
        <v>5</v>
      </c>
      <c r="B17" s="73"/>
      <c r="C17" s="74"/>
      <c r="D17" s="75"/>
      <c r="E17" s="76"/>
      <c r="F17" s="105"/>
      <c r="G17" s="94"/>
      <c r="H17" s="106"/>
      <c r="I17" s="107"/>
      <c r="J17" s="108"/>
      <c r="K17" s="110"/>
      <c r="L17" s="110"/>
      <c r="M17" s="102"/>
      <c r="N17" s="111"/>
      <c r="O17" s="98"/>
      <c r="P17" s="112"/>
      <c r="Q17" s="109"/>
      <c r="R17" s="110"/>
      <c r="S17" s="101"/>
      <c r="T17" s="104"/>
      <c r="U17" s="103"/>
      <c r="V17" s="99"/>
    </row>
    <row r="18" spans="1:22">
      <c r="A18" s="113">
        <v>6</v>
      </c>
      <c r="B18" s="73"/>
      <c r="C18" s="74"/>
      <c r="D18" s="75"/>
      <c r="E18" s="76"/>
      <c r="F18" s="77"/>
      <c r="G18" s="78"/>
      <c r="H18" s="94"/>
      <c r="I18" s="95"/>
      <c r="J18" s="96"/>
      <c r="K18" s="77"/>
      <c r="L18" s="77"/>
      <c r="M18" s="73"/>
      <c r="N18" s="97"/>
      <c r="O18" s="98"/>
      <c r="P18" s="100"/>
      <c r="Q18" s="74"/>
      <c r="R18" s="77"/>
      <c r="S18" s="114"/>
      <c r="T18" s="73"/>
      <c r="U18" s="115"/>
      <c r="V18" s="99"/>
    </row>
    <row r="19" spans="1:22">
      <c r="A19" s="113">
        <v>7</v>
      </c>
      <c r="B19" s="73"/>
      <c r="C19" s="74"/>
      <c r="D19" s="75"/>
      <c r="E19" s="76"/>
      <c r="F19" s="77"/>
      <c r="G19" s="78"/>
      <c r="H19" s="94"/>
      <c r="I19" s="95"/>
      <c r="J19" s="96"/>
      <c r="K19" s="77"/>
      <c r="L19" s="77"/>
      <c r="M19" s="73"/>
      <c r="N19" s="97"/>
      <c r="O19" s="98"/>
      <c r="P19" s="100"/>
      <c r="Q19" s="74"/>
      <c r="R19" s="77"/>
      <c r="S19" s="114"/>
      <c r="T19" s="73"/>
      <c r="U19" s="115"/>
      <c r="V19" s="99"/>
    </row>
    <row r="20" spans="1:22">
      <c r="A20" s="113">
        <v>8</v>
      </c>
      <c r="B20" s="73"/>
      <c r="C20" s="74"/>
      <c r="D20" s="75"/>
      <c r="E20" s="76"/>
      <c r="F20" s="77"/>
      <c r="G20" s="78"/>
      <c r="H20" s="94"/>
      <c r="I20" s="95"/>
      <c r="J20" s="96"/>
      <c r="K20" s="77"/>
      <c r="L20" s="77"/>
      <c r="M20" s="73"/>
      <c r="N20" s="97"/>
      <c r="O20" s="98"/>
      <c r="P20" s="100"/>
      <c r="Q20" s="74"/>
      <c r="R20" s="77"/>
      <c r="S20" s="114"/>
      <c r="T20" s="73"/>
      <c r="U20" s="115"/>
      <c r="V20" s="99"/>
    </row>
    <row r="21" spans="1:22">
      <c r="A21" s="113">
        <v>9</v>
      </c>
      <c r="B21" s="73"/>
      <c r="C21" s="74"/>
      <c r="D21" s="75"/>
      <c r="E21" s="76"/>
      <c r="F21" s="77"/>
      <c r="G21" s="78"/>
      <c r="H21" s="94"/>
      <c r="I21" s="95"/>
      <c r="J21" s="96"/>
      <c r="K21" s="77"/>
      <c r="L21" s="77"/>
      <c r="M21" s="73"/>
      <c r="N21" s="97"/>
      <c r="O21" s="98"/>
      <c r="P21" s="100"/>
      <c r="Q21" s="74"/>
      <c r="R21" s="77"/>
      <c r="S21" s="114"/>
      <c r="T21" s="73"/>
      <c r="U21" s="115"/>
      <c r="V21" s="99"/>
    </row>
    <row r="22" spans="1:22">
      <c r="A22" s="113">
        <v>10</v>
      </c>
      <c r="B22" s="73"/>
      <c r="C22" s="74"/>
      <c r="D22" s="75"/>
      <c r="E22" s="76"/>
      <c r="F22" s="77"/>
      <c r="G22" s="78"/>
      <c r="H22" s="94"/>
      <c r="I22" s="95"/>
      <c r="J22" s="96"/>
      <c r="K22" s="77"/>
      <c r="L22" s="77"/>
      <c r="M22" s="73"/>
      <c r="N22" s="97"/>
      <c r="O22" s="98"/>
      <c r="P22" s="100"/>
      <c r="Q22" s="74"/>
      <c r="R22" s="77"/>
      <c r="S22" s="114"/>
      <c r="T22" s="73"/>
      <c r="U22" s="115"/>
      <c r="V22" s="99"/>
    </row>
    <row r="23" spans="1:22">
      <c r="A23" s="113">
        <v>11</v>
      </c>
      <c r="B23" s="73"/>
      <c r="C23" s="74"/>
      <c r="D23" s="75"/>
      <c r="E23" s="76"/>
      <c r="F23" s="77"/>
      <c r="G23" s="78"/>
      <c r="H23" s="94"/>
      <c r="I23" s="95"/>
      <c r="J23" s="96"/>
      <c r="K23" s="77"/>
      <c r="L23" s="77"/>
      <c r="M23" s="73"/>
      <c r="N23" s="97"/>
      <c r="O23" s="98"/>
      <c r="P23" s="100"/>
      <c r="Q23" s="74"/>
      <c r="R23" s="77"/>
      <c r="S23" s="114"/>
      <c r="T23" s="73"/>
      <c r="U23" s="115"/>
      <c r="V23" s="99"/>
    </row>
    <row r="24" spans="1:22">
      <c r="A24" s="113">
        <v>12</v>
      </c>
      <c r="B24" s="73"/>
      <c r="C24" s="74"/>
      <c r="D24" s="75"/>
      <c r="E24" s="76"/>
      <c r="F24" s="77"/>
      <c r="G24" s="78"/>
      <c r="H24" s="94"/>
      <c r="I24" s="95"/>
      <c r="J24" s="96"/>
      <c r="K24" s="77"/>
      <c r="L24" s="77"/>
      <c r="M24" s="73"/>
      <c r="N24" s="97"/>
      <c r="O24" s="98"/>
      <c r="P24" s="100"/>
      <c r="Q24" s="74"/>
      <c r="R24" s="77"/>
      <c r="S24" s="114"/>
      <c r="T24" s="73"/>
      <c r="U24" s="115"/>
      <c r="V24" s="99"/>
    </row>
    <row r="25" spans="1:22">
      <c r="A25" s="113">
        <v>13</v>
      </c>
      <c r="B25" s="73"/>
      <c r="C25" s="74"/>
      <c r="D25" s="75"/>
      <c r="E25" s="76"/>
      <c r="F25" s="77"/>
      <c r="G25" s="78"/>
      <c r="H25" s="94"/>
      <c r="I25" s="95"/>
      <c r="J25" s="96"/>
      <c r="K25" s="77"/>
      <c r="L25" s="77"/>
      <c r="M25" s="73"/>
      <c r="N25" s="97"/>
      <c r="O25" s="98"/>
      <c r="P25" s="100"/>
      <c r="Q25" s="74"/>
      <c r="R25" s="77"/>
      <c r="S25" s="114"/>
      <c r="T25" s="73"/>
      <c r="U25" s="115"/>
      <c r="V25" s="99"/>
    </row>
    <row r="26" spans="1:22" s="119" customFormat="1">
      <c r="A26" s="113">
        <v>14</v>
      </c>
      <c r="B26" s="73"/>
      <c r="C26" s="74"/>
      <c r="D26" s="75"/>
      <c r="E26" s="76"/>
      <c r="F26" s="77"/>
      <c r="G26" s="78"/>
      <c r="H26" s="94"/>
      <c r="I26" s="95"/>
      <c r="J26" s="96"/>
      <c r="K26" s="77"/>
      <c r="L26" s="77"/>
      <c r="M26" s="73"/>
      <c r="N26" s="97"/>
      <c r="O26" s="117"/>
      <c r="P26" s="100"/>
      <c r="Q26" s="74"/>
      <c r="R26" s="77"/>
      <c r="S26" s="114"/>
      <c r="T26" s="73"/>
      <c r="U26" s="115"/>
      <c r="V26" s="118"/>
    </row>
    <row r="27" spans="1:22">
      <c r="J27" s="124"/>
    </row>
    <row r="28" spans="1:22">
      <c r="J28" s="124"/>
    </row>
    <row r="29" spans="1:22">
      <c r="J29" s="124"/>
    </row>
    <row r="30" spans="1:22">
      <c r="J30" s="124"/>
    </row>
    <row r="31" spans="1:22">
      <c r="J31" s="124"/>
    </row>
    <row r="32" spans="1:22">
      <c r="J32" s="124"/>
    </row>
    <row r="33" spans="10:10">
      <c r="J33" s="124"/>
    </row>
    <row r="34" spans="10:10">
      <c r="J34" s="124"/>
    </row>
    <row r="35" spans="10:10">
      <c r="J35" s="124"/>
    </row>
    <row r="64" spans="4:20">
      <c r="D64" s="122"/>
      <c r="E64" s="14"/>
      <c r="F64" s="122"/>
      <c r="G64" s="123"/>
      <c r="J64" s="120"/>
      <c r="K64" s="14"/>
      <c r="L64" s="120"/>
      <c r="N64" s="14"/>
      <c r="R64" s="121"/>
      <c r="T64" s="14"/>
    </row>
    <row r="65" spans="1:22">
      <c r="D65" s="122"/>
      <c r="E65" s="14"/>
      <c r="F65" s="122"/>
      <c r="G65" s="123"/>
      <c r="J65" s="120"/>
      <c r="K65" s="14"/>
      <c r="L65" s="120"/>
      <c r="N65" s="14"/>
      <c r="R65" s="121"/>
      <c r="T65" s="14"/>
    </row>
    <row r="66" spans="1:22">
      <c r="D66" s="122"/>
      <c r="E66" s="14"/>
      <c r="F66" s="122"/>
      <c r="G66" s="123"/>
      <c r="J66" s="120"/>
      <c r="K66" s="14"/>
      <c r="L66" s="120"/>
      <c r="N66" s="14"/>
      <c r="R66" s="121"/>
      <c r="T66" s="14"/>
    </row>
    <row r="67" spans="1:22" s="122" customFormat="1">
      <c r="A67" s="120"/>
      <c r="B67" s="121"/>
      <c r="C67" s="121"/>
      <c r="E67" s="14"/>
      <c r="G67" s="123"/>
      <c r="H67" s="123"/>
      <c r="I67" s="123"/>
      <c r="J67" s="120"/>
      <c r="K67" s="14"/>
      <c r="L67" s="120"/>
      <c r="M67" s="120"/>
      <c r="N67" s="14"/>
      <c r="O67" s="14"/>
      <c r="P67" s="14"/>
      <c r="Q67" s="14"/>
      <c r="R67" s="121"/>
      <c r="S67" s="121"/>
      <c r="T67" s="14"/>
      <c r="U67" s="14"/>
      <c r="V67" s="14"/>
    </row>
    <row r="68" spans="1:22" s="122" customFormat="1">
      <c r="A68" s="120"/>
      <c r="B68" s="121"/>
      <c r="C68" s="121"/>
      <c r="E68" s="14"/>
      <c r="G68" s="123"/>
      <c r="H68" s="123"/>
      <c r="I68" s="123"/>
      <c r="J68" s="120"/>
      <c r="K68" s="14"/>
      <c r="L68" s="120"/>
      <c r="M68" s="120"/>
      <c r="N68" s="14"/>
      <c r="O68" s="14"/>
      <c r="P68" s="14"/>
      <c r="Q68" s="14"/>
      <c r="R68" s="121"/>
      <c r="S68" s="121"/>
      <c r="T68" s="14"/>
      <c r="U68" s="14"/>
      <c r="V68" s="14"/>
    </row>
    <row r="69" spans="1:22" s="122" customFormat="1">
      <c r="A69" s="120"/>
      <c r="B69" s="121"/>
      <c r="C69" s="121"/>
      <c r="E69" s="14"/>
      <c r="G69" s="123"/>
      <c r="H69" s="123"/>
      <c r="I69" s="123"/>
      <c r="J69" s="120"/>
      <c r="K69" s="14"/>
      <c r="L69" s="120"/>
      <c r="M69" s="120"/>
      <c r="N69" s="14"/>
      <c r="O69" s="14"/>
      <c r="P69" s="14"/>
      <c r="Q69" s="14"/>
      <c r="R69" s="121"/>
      <c r="S69" s="121"/>
      <c r="T69" s="14"/>
      <c r="U69" s="14"/>
      <c r="V69" s="14"/>
    </row>
    <row r="70" spans="1:22" s="122" customFormat="1">
      <c r="A70" s="120"/>
      <c r="B70" s="121"/>
      <c r="C70" s="121"/>
      <c r="E70" s="14"/>
      <c r="G70" s="123"/>
      <c r="H70" s="123"/>
      <c r="I70" s="123"/>
      <c r="J70" s="120"/>
      <c r="K70" s="14"/>
      <c r="L70" s="120"/>
      <c r="M70" s="120"/>
      <c r="N70" s="14"/>
      <c r="O70" s="14"/>
      <c r="P70" s="14"/>
      <c r="Q70" s="14"/>
      <c r="R70" s="121"/>
      <c r="S70" s="121"/>
      <c r="T70" s="14"/>
      <c r="U70" s="14"/>
      <c r="V70" s="14"/>
    </row>
    <row r="71" spans="1:22" s="122" customFormat="1">
      <c r="A71" s="120"/>
      <c r="B71" s="121"/>
      <c r="C71" s="121"/>
      <c r="E71" s="14"/>
      <c r="G71" s="123"/>
      <c r="H71" s="123"/>
      <c r="I71" s="123"/>
      <c r="J71" s="120"/>
      <c r="K71" s="14"/>
      <c r="L71" s="120"/>
      <c r="M71" s="120"/>
      <c r="N71" s="14"/>
      <c r="O71" s="14"/>
      <c r="P71" s="14"/>
      <c r="Q71" s="14"/>
      <c r="R71" s="121"/>
      <c r="S71" s="121"/>
      <c r="T71" s="14"/>
      <c r="U71" s="14"/>
      <c r="V71" s="14"/>
    </row>
    <row r="72" spans="1:22" s="122" customFormat="1">
      <c r="A72" s="120"/>
      <c r="B72" s="121"/>
      <c r="C72" s="121"/>
      <c r="E72" s="14"/>
      <c r="G72" s="123"/>
      <c r="H72" s="123"/>
      <c r="I72" s="123"/>
      <c r="J72" s="120"/>
      <c r="K72" s="14"/>
      <c r="L72" s="120"/>
      <c r="M72" s="120"/>
      <c r="N72" s="14"/>
      <c r="O72" s="14"/>
      <c r="P72" s="14"/>
      <c r="Q72" s="14"/>
      <c r="R72" s="121"/>
      <c r="S72" s="121"/>
      <c r="T72" s="14"/>
      <c r="U72" s="14"/>
      <c r="V72" s="14"/>
    </row>
    <row r="73" spans="1:22" s="122" customFormat="1">
      <c r="A73" s="120"/>
      <c r="B73" s="121"/>
      <c r="C73" s="121"/>
      <c r="E73" s="14"/>
      <c r="G73" s="123"/>
      <c r="H73" s="123"/>
      <c r="I73" s="123"/>
      <c r="J73" s="120"/>
      <c r="K73" s="14"/>
      <c r="L73" s="120"/>
      <c r="M73" s="120"/>
      <c r="N73" s="14"/>
      <c r="O73" s="14"/>
      <c r="P73" s="14"/>
      <c r="Q73" s="14"/>
      <c r="R73" s="121"/>
      <c r="S73" s="121"/>
      <c r="T73" s="14"/>
      <c r="U73" s="14"/>
      <c r="V73" s="14"/>
    </row>
    <row r="74" spans="1:22" s="122" customFormat="1">
      <c r="A74" s="120"/>
      <c r="B74" s="121"/>
      <c r="C74" s="121"/>
      <c r="E74" s="14"/>
      <c r="G74" s="123"/>
      <c r="H74" s="123"/>
      <c r="I74" s="123"/>
      <c r="J74" s="120"/>
      <c r="K74" s="14"/>
      <c r="L74" s="120"/>
      <c r="M74" s="120"/>
      <c r="N74" s="14"/>
      <c r="O74" s="14"/>
      <c r="P74" s="14"/>
      <c r="Q74" s="14"/>
      <c r="R74" s="121"/>
      <c r="S74" s="121"/>
      <c r="T74" s="14"/>
      <c r="U74" s="14"/>
      <c r="V74" s="14"/>
    </row>
    <row r="75" spans="1:22" s="122" customFormat="1">
      <c r="A75" s="120"/>
      <c r="B75" s="121"/>
      <c r="C75" s="121"/>
      <c r="E75" s="14"/>
      <c r="G75" s="123"/>
      <c r="H75" s="123"/>
      <c r="I75" s="123"/>
      <c r="J75" s="120"/>
      <c r="K75" s="14"/>
      <c r="L75" s="120"/>
      <c r="M75" s="120"/>
      <c r="N75" s="14"/>
      <c r="O75" s="14"/>
      <c r="P75" s="14"/>
      <c r="Q75" s="14"/>
      <c r="R75" s="121"/>
      <c r="S75" s="121"/>
      <c r="T75" s="14"/>
      <c r="U75" s="14"/>
      <c r="V75" s="14"/>
    </row>
    <row r="76" spans="1:22" s="122" customFormat="1">
      <c r="A76" s="120"/>
      <c r="B76" s="121"/>
      <c r="C76" s="121"/>
      <c r="E76" s="14"/>
      <c r="G76" s="123"/>
      <c r="H76" s="123"/>
      <c r="I76" s="123"/>
      <c r="J76" s="120"/>
      <c r="K76" s="14"/>
      <c r="L76" s="120"/>
      <c r="M76" s="120"/>
      <c r="N76" s="14"/>
      <c r="O76" s="14"/>
      <c r="P76" s="14"/>
      <c r="Q76" s="14"/>
      <c r="R76" s="121"/>
      <c r="S76" s="121"/>
      <c r="T76" s="14"/>
      <c r="U76" s="14"/>
      <c r="V76" s="14"/>
    </row>
    <row r="77" spans="1:22" s="122" customFormat="1">
      <c r="A77" s="120"/>
      <c r="B77" s="121"/>
      <c r="C77" s="121"/>
      <c r="E77" s="14"/>
      <c r="G77" s="123"/>
      <c r="H77" s="123"/>
      <c r="I77" s="123"/>
      <c r="J77" s="120"/>
      <c r="K77" s="14"/>
      <c r="L77" s="120"/>
      <c r="M77" s="120"/>
      <c r="N77" s="14"/>
      <c r="O77" s="14"/>
      <c r="P77" s="14"/>
      <c r="Q77" s="14"/>
      <c r="R77" s="121"/>
      <c r="S77" s="121"/>
      <c r="T77" s="14"/>
      <c r="U77" s="14"/>
      <c r="V77" s="14"/>
    </row>
    <row r="78" spans="1:22" s="122" customFormat="1">
      <c r="A78" s="120"/>
      <c r="B78" s="121"/>
      <c r="C78" s="121"/>
      <c r="E78" s="14"/>
      <c r="G78" s="123"/>
      <c r="H78" s="123"/>
      <c r="I78" s="123"/>
      <c r="J78" s="120"/>
      <c r="K78" s="14"/>
      <c r="L78" s="120"/>
      <c r="M78" s="120"/>
      <c r="N78" s="14"/>
      <c r="O78" s="14"/>
      <c r="P78" s="14"/>
      <c r="Q78" s="14"/>
      <c r="R78" s="121"/>
      <c r="S78" s="121"/>
      <c r="T78" s="14"/>
      <c r="U78" s="14"/>
      <c r="V78" s="14"/>
    </row>
    <row r="79" spans="1:22" s="122" customFormat="1">
      <c r="A79" s="120"/>
      <c r="B79" s="121"/>
      <c r="C79" s="121"/>
      <c r="E79" s="14"/>
      <c r="G79" s="123"/>
      <c r="H79" s="123"/>
      <c r="I79" s="123"/>
      <c r="J79" s="120"/>
      <c r="K79" s="14"/>
      <c r="L79" s="120"/>
      <c r="M79" s="120"/>
      <c r="N79" s="14"/>
      <c r="O79" s="14"/>
      <c r="P79" s="14"/>
      <c r="Q79" s="14"/>
      <c r="R79" s="121"/>
      <c r="S79" s="121"/>
      <c r="T79" s="14"/>
      <c r="U79" s="14"/>
      <c r="V79" s="14"/>
    </row>
    <row r="80" spans="1:22" s="122" customFormat="1">
      <c r="A80" s="120"/>
      <c r="B80" s="121"/>
      <c r="C80" s="121"/>
      <c r="E80" s="14"/>
      <c r="G80" s="123"/>
      <c r="H80" s="123"/>
      <c r="I80" s="123"/>
      <c r="J80" s="120"/>
      <c r="K80" s="14"/>
      <c r="L80" s="120"/>
      <c r="M80" s="120"/>
      <c r="N80" s="14"/>
      <c r="O80" s="14"/>
      <c r="P80" s="14"/>
      <c r="Q80" s="14"/>
      <c r="R80" s="121"/>
      <c r="S80" s="121"/>
      <c r="T80" s="14"/>
      <c r="U80" s="14"/>
      <c r="V80" s="14"/>
    </row>
    <row r="81" spans="1:22" s="122" customFormat="1">
      <c r="A81" s="120"/>
      <c r="B81" s="121"/>
      <c r="C81" s="121"/>
      <c r="E81" s="14"/>
      <c r="G81" s="123"/>
      <c r="H81" s="123"/>
      <c r="I81" s="123"/>
      <c r="J81" s="120"/>
      <c r="K81" s="14"/>
      <c r="L81" s="120"/>
      <c r="M81" s="120"/>
      <c r="N81" s="14"/>
      <c r="O81" s="14"/>
      <c r="P81" s="14"/>
      <c r="Q81" s="14"/>
      <c r="R81" s="121"/>
      <c r="S81" s="121"/>
      <c r="T81" s="14"/>
      <c r="U81" s="14"/>
      <c r="V81" s="14"/>
    </row>
    <row r="82" spans="1:22" s="122" customFormat="1">
      <c r="A82" s="120"/>
      <c r="B82" s="121"/>
      <c r="C82" s="121"/>
      <c r="E82" s="14"/>
      <c r="G82" s="123"/>
      <c r="H82" s="123"/>
      <c r="I82" s="123"/>
      <c r="J82" s="120"/>
      <c r="K82" s="14"/>
      <c r="L82" s="120"/>
      <c r="M82" s="120"/>
      <c r="N82" s="14"/>
      <c r="O82" s="14"/>
      <c r="P82" s="14"/>
      <c r="Q82" s="14"/>
      <c r="R82" s="121"/>
      <c r="S82" s="121"/>
      <c r="T82" s="14"/>
      <c r="U82" s="14"/>
      <c r="V82" s="14"/>
    </row>
    <row r="83" spans="1:22" s="122" customFormat="1">
      <c r="A83" s="120"/>
      <c r="B83" s="121"/>
      <c r="C83" s="121"/>
      <c r="E83" s="14"/>
      <c r="G83" s="123"/>
      <c r="H83" s="123"/>
      <c r="I83" s="123"/>
      <c r="J83" s="120"/>
      <c r="K83" s="14"/>
      <c r="L83" s="120"/>
      <c r="M83" s="120"/>
      <c r="N83" s="14"/>
      <c r="O83" s="14"/>
      <c r="P83" s="14"/>
      <c r="Q83" s="14"/>
      <c r="R83" s="121"/>
      <c r="S83" s="121"/>
      <c r="T83" s="14"/>
      <c r="U83" s="14"/>
      <c r="V83" s="14"/>
    </row>
    <row r="84" spans="1:22" s="122" customFormat="1">
      <c r="A84" s="120"/>
      <c r="B84" s="121"/>
      <c r="C84" s="121"/>
      <c r="E84" s="14"/>
      <c r="G84" s="123"/>
      <c r="H84" s="123"/>
      <c r="I84" s="123"/>
      <c r="J84" s="120"/>
      <c r="K84" s="14"/>
      <c r="L84" s="120"/>
      <c r="M84" s="120"/>
      <c r="N84" s="14"/>
      <c r="O84" s="14"/>
      <c r="P84" s="14"/>
      <c r="Q84" s="14"/>
      <c r="R84" s="121"/>
      <c r="S84" s="121"/>
      <c r="T84" s="14"/>
      <c r="U84" s="14"/>
      <c r="V84" s="14"/>
    </row>
    <row r="85" spans="1:22" s="122" customFormat="1">
      <c r="A85" s="120"/>
      <c r="B85" s="121"/>
      <c r="C85" s="121"/>
      <c r="E85" s="14"/>
      <c r="G85" s="123"/>
      <c r="H85" s="123"/>
      <c r="I85" s="123"/>
      <c r="J85" s="120"/>
      <c r="K85" s="14"/>
      <c r="L85" s="120"/>
      <c r="M85" s="120"/>
      <c r="N85" s="14"/>
      <c r="O85" s="14"/>
      <c r="P85" s="14"/>
      <c r="Q85" s="14"/>
      <c r="R85" s="121"/>
      <c r="S85" s="121"/>
      <c r="T85" s="14"/>
      <c r="U85" s="14"/>
      <c r="V85" s="14"/>
    </row>
    <row r="86" spans="1:22" s="122" customFormat="1">
      <c r="A86" s="120"/>
      <c r="B86" s="121"/>
      <c r="C86" s="121"/>
      <c r="E86" s="14"/>
      <c r="G86" s="123"/>
      <c r="H86" s="123"/>
      <c r="I86" s="123"/>
      <c r="J86" s="120"/>
      <c r="K86" s="14"/>
      <c r="L86" s="120"/>
      <c r="M86" s="120"/>
      <c r="N86" s="14"/>
      <c r="O86" s="14"/>
      <c r="P86" s="14"/>
      <c r="Q86" s="14"/>
      <c r="R86" s="121"/>
      <c r="S86" s="121"/>
      <c r="T86" s="14"/>
      <c r="U86" s="14"/>
      <c r="V86" s="14"/>
    </row>
    <row r="87" spans="1:22" s="122" customFormat="1">
      <c r="A87" s="120"/>
      <c r="B87" s="121"/>
      <c r="C87" s="121"/>
      <c r="E87" s="14"/>
      <c r="G87" s="123"/>
      <c r="H87" s="123"/>
      <c r="I87" s="123"/>
      <c r="J87" s="120"/>
      <c r="K87" s="14"/>
      <c r="L87" s="120"/>
      <c r="M87" s="120"/>
      <c r="N87" s="14"/>
      <c r="O87" s="14"/>
      <c r="P87" s="14"/>
      <c r="Q87" s="14"/>
      <c r="R87" s="121"/>
      <c r="S87" s="121"/>
      <c r="T87" s="14"/>
      <c r="U87" s="14"/>
      <c r="V87" s="14"/>
    </row>
    <row r="88" spans="1:22" s="122" customFormat="1">
      <c r="A88" s="120"/>
      <c r="B88" s="121"/>
      <c r="C88" s="121"/>
      <c r="E88" s="14"/>
      <c r="G88" s="123"/>
      <c r="H88" s="123"/>
      <c r="I88" s="123"/>
      <c r="J88" s="120"/>
      <c r="K88" s="14"/>
      <c r="L88" s="120"/>
      <c r="M88" s="120"/>
      <c r="N88" s="14"/>
      <c r="O88" s="14"/>
      <c r="P88" s="14"/>
      <c r="Q88" s="14"/>
      <c r="R88" s="121"/>
      <c r="S88" s="121"/>
      <c r="T88" s="14"/>
      <c r="U88" s="14"/>
      <c r="V88" s="14"/>
    </row>
    <row r="89" spans="1:22" s="122" customFormat="1">
      <c r="A89" s="120"/>
      <c r="B89" s="121"/>
      <c r="C89" s="121"/>
      <c r="E89" s="14"/>
      <c r="G89" s="123"/>
      <c r="H89" s="123"/>
      <c r="I89" s="123"/>
      <c r="J89" s="120"/>
      <c r="K89" s="14"/>
      <c r="L89" s="120"/>
      <c r="M89" s="120"/>
      <c r="N89" s="14"/>
      <c r="O89" s="14"/>
      <c r="P89" s="14"/>
      <c r="Q89" s="14"/>
      <c r="R89" s="121"/>
      <c r="S89" s="121"/>
      <c r="T89" s="14"/>
      <c r="U89" s="14"/>
      <c r="V89" s="14"/>
    </row>
    <row r="90" spans="1:22" s="122" customFormat="1">
      <c r="A90" s="120"/>
      <c r="B90" s="121"/>
      <c r="C90" s="121"/>
      <c r="E90" s="14"/>
      <c r="G90" s="123"/>
      <c r="H90" s="123"/>
      <c r="I90" s="123"/>
      <c r="J90" s="120"/>
      <c r="K90" s="14"/>
      <c r="L90" s="120"/>
      <c r="M90" s="120"/>
      <c r="N90" s="14"/>
      <c r="O90" s="14"/>
      <c r="P90" s="14"/>
      <c r="Q90" s="14"/>
      <c r="R90" s="121"/>
      <c r="S90" s="121"/>
      <c r="T90" s="14"/>
      <c r="U90" s="14"/>
      <c r="V90" s="14"/>
    </row>
    <row r="91" spans="1:22">
      <c r="D91" s="122"/>
      <c r="E91" s="14"/>
      <c r="F91" s="122"/>
      <c r="G91" s="123"/>
      <c r="J91" s="120"/>
      <c r="K91" s="14"/>
      <c r="L91" s="120"/>
      <c r="N91" s="14"/>
      <c r="R91" s="121"/>
      <c r="T91" s="14"/>
    </row>
    <row r="92" spans="1:22">
      <c r="D92" s="122"/>
      <c r="E92" s="14"/>
      <c r="F92" s="122"/>
      <c r="G92" s="123"/>
      <c r="J92" s="120"/>
      <c r="K92" s="14"/>
      <c r="L92" s="120"/>
      <c r="N92" s="14"/>
      <c r="R92" s="121"/>
      <c r="T92" s="14"/>
    </row>
    <row r="93" spans="1:22">
      <c r="D93" s="122"/>
      <c r="E93" s="14"/>
      <c r="F93" s="122"/>
      <c r="G93" s="123"/>
      <c r="J93" s="120"/>
      <c r="K93" s="14"/>
      <c r="L93" s="120"/>
      <c r="N93" s="14"/>
      <c r="R93" s="121"/>
      <c r="T93" s="14"/>
    </row>
    <row r="94" spans="1:22">
      <c r="D94" s="122"/>
      <c r="E94" s="14"/>
      <c r="F94" s="122"/>
      <c r="G94" s="123"/>
      <c r="J94" s="120"/>
      <c r="K94" s="14"/>
      <c r="L94" s="120"/>
      <c r="N94" s="14"/>
      <c r="R94" s="121"/>
      <c r="T94" s="14"/>
    </row>
    <row r="95" spans="1:22">
      <c r="D95" s="122"/>
      <c r="E95" s="14"/>
      <c r="F95" s="122"/>
      <c r="G95" s="123"/>
      <c r="J95" s="120"/>
      <c r="K95" s="14"/>
      <c r="L95" s="120"/>
      <c r="N95" s="14"/>
      <c r="R95" s="121"/>
      <c r="T95" s="14"/>
    </row>
    <row r="96" spans="1:22">
      <c r="D96" s="122"/>
      <c r="E96" s="14"/>
      <c r="F96" s="122"/>
      <c r="G96" s="123"/>
      <c r="J96" s="120"/>
      <c r="K96" s="14"/>
      <c r="L96" s="120"/>
      <c r="N96" s="14"/>
      <c r="R96" s="121"/>
      <c r="T96" s="14"/>
    </row>
    <row r="97" spans="4:20">
      <c r="D97" s="122"/>
      <c r="E97" s="14"/>
      <c r="F97" s="122"/>
      <c r="G97" s="123"/>
      <c r="J97" s="120"/>
      <c r="K97" s="14"/>
      <c r="L97" s="120"/>
      <c r="N97" s="14"/>
      <c r="R97" s="121"/>
      <c r="T97" s="14"/>
    </row>
    <row r="98" spans="4:20">
      <c r="D98" s="122"/>
      <c r="E98" s="14"/>
      <c r="F98" s="122"/>
      <c r="G98" s="123"/>
      <c r="J98" s="120"/>
      <c r="K98" s="14"/>
      <c r="L98" s="120"/>
      <c r="N98" s="14"/>
      <c r="R98" s="121"/>
      <c r="T98" s="14"/>
    </row>
    <row r="99" spans="4:20">
      <c r="D99" s="122"/>
      <c r="E99" s="14"/>
      <c r="F99" s="122"/>
      <c r="G99" s="123"/>
      <c r="J99" s="120"/>
      <c r="K99" s="14"/>
      <c r="L99" s="120"/>
      <c r="N99" s="14"/>
      <c r="R99" s="121"/>
      <c r="T99" s="14"/>
    </row>
    <row r="100" spans="4:20">
      <c r="D100" s="122"/>
      <c r="E100" s="14"/>
      <c r="F100" s="122"/>
      <c r="G100" s="123"/>
      <c r="J100" s="120"/>
      <c r="K100" s="14"/>
      <c r="L100" s="120"/>
      <c r="N100" s="14"/>
      <c r="R100" s="121"/>
      <c r="T100" s="14"/>
    </row>
    <row r="101" spans="4:20">
      <c r="D101" s="122"/>
      <c r="E101" s="14"/>
      <c r="F101" s="122"/>
      <c r="G101" s="123"/>
      <c r="J101" s="120"/>
      <c r="K101" s="14"/>
      <c r="L101" s="120"/>
      <c r="N101" s="14"/>
      <c r="R101" s="121"/>
      <c r="T101" s="14"/>
    </row>
    <row r="102" spans="4:20">
      <c r="D102" s="122"/>
      <c r="E102" s="14"/>
      <c r="F102" s="122"/>
      <c r="G102" s="123"/>
      <c r="J102" s="120"/>
      <c r="K102" s="14"/>
      <c r="L102" s="120"/>
      <c r="N102" s="14"/>
      <c r="R102" s="121"/>
      <c r="T102" s="14"/>
    </row>
    <row r="103" spans="4:20">
      <c r="D103" s="122"/>
      <c r="E103" s="14"/>
      <c r="F103" s="122"/>
      <c r="G103" s="123"/>
      <c r="J103" s="120"/>
      <c r="K103" s="14"/>
      <c r="L103" s="120"/>
      <c r="N103" s="14"/>
      <c r="R103" s="121"/>
      <c r="T103" s="14"/>
    </row>
    <row r="104" spans="4:20">
      <c r="D104" s="122"/>
      <c r="E104" s="14"/>
      <c r="F104" s="122"/>
      <c r="G104" s="123"/>
      <c r="J104" s="120"/>
      <c r="K104" s="14"/>
      <c r="L104" s="120"/>
      <c r="N104" s="14"/>
      <c r="R104" s="121"/>
      <c r="T104" s="14"/>
    </row>
    <row r="105" spans="4:20">
      <c r="D105" s="122"/>
      <c r="E105" s="14"/>
      <c r="F105" s="122"/>
      <c r="G105" s="123"/>
      <c r="J105" s="120"/>
      <c r="K105" s="14"/>
      <c r="L105" s="120"/>
      <c r="N105" s="14"/>
      <c r="R105" s="121"/>
      <c r="T105" s="14"/>
    </row>
    <row r="106" spans="4:20">
      <c r="D106" s="122"/>
      <c r="E106" s="14"/>
      <c r="F106" s="122"/>
      <c r="G106" s="123"/>
      <c r="J106" s="120"/>
      <c r="K106" s="14"/>
      <c r="L106" s="120"/>
      <c r="N106" s="14"/>
      <c r="R106" s="121"/>
      <c r="T106" s="14"/>
    </row>
    <row r="107" spans="4:20">
      <c r="D107" s="122"/>
      <c r="E107" s="14"/>
      <c r="F107" s="122"/>
      <c r="G107" s="123"/>
      <c r="J107" s="120"/>
      <c r="K107" s="14"/>
      <c r="L107" s="120"/>
      <c r="N107" s="14"/>
      <c r="R107" s="121"/>
      <c r="T107" s="14"/>
    </row>
    <row r="108" spans="4:20">
      <c r="D108" s="122"/>
      <c r="E108" s="14"/>
      <c r="F108" s="122"/>
      <c r="G108" s="123"/>
      <c r="J108" s="120"/>
      <c r="K108" s="14"/>
      <c r="L108" s="120"/>
      <c r="N108" s="14"/>
      <c r="R108" s="121"/>
      <c r="T108" s="14"/>
    </row>
    <row r="109" spans="4:20">
      <c r="D109" s="122"/>
      <c r="E109" s="14"/>
      <c r="F109" s="122"/>
      <c r="G109" s="123"/>
      <c r="J109" s="120"/>
      <c r="K109" s="14"/>
      <c r="L109" s="120"/>
      <c r="N109" s="14"/>
      <c r="R109" s="121"/>
      <c r="T109" s="14"/>
    </row>
    <row r="110" spans="4:20">
      <c r="D110" s="122"/>
      <c r="E110" s="14"/>
      <c r="F110" s="122"/>
      <c r="G110" s="123"/>
      <c r="J110" s="120"/>
      <c r="K110" s="14"/>
      <c r="L110" s="120"/>
      <c r="N110" s="14"/>
      <c r="R110" s="121"/>
      <c r="T110" s="14"/>
    </row>
    <row r="111" spans="4:20">
      <c r="D111" s="122"/>
      <c r="E111" s="14"/>
      <c r="F111" s="122"/>
      <c r="G111" s="123"/>
      <c r="J111" s="120"/>
      <c r="K111" s="14"/>
      <c r="L111" s="120"/>
      <c r="N111" s="14"/>
      <c r="R111" s="121"/>
      <c r="T111" s="14"/>
    </row>
    <row r="112" spans="4:20">
      <c r="D112" s="122"/>
      <c r="E112" s="14"/>
      <c r="F112" s="122"/>
      <c r="G112" s="123"/>
      <c r="J112" s="120"/>
      <c r="K112" s="14"/>
      <c r="L112" s="120"/>
      <c r="N112" s="14"/>
      <c r="R112" s="121"/>
      <c r="T112" s="14"/>
    </row>
    <row r="113" spans="4:20">
      <c r="D113" s="122"/>
      <c r="E113" s="14"/>
      <c r="F113" s="122"/>
      <c r="G113" s="123"/>
      <c r="J113" s="120"/>
      <c r="K113" s="14"/>
      <c r="L113" s="120"/>
      <c r="N113" s="14"/>
      <c r="R113" s="121"/>
      <c r="T113" s="14"/>
    </row>
    <row r="114" spans="4:20">
      <c r="D114" s="122"/>
      <c r="E114" s="14"/>
      <c r="F114" s="122"/>
      <c r="G114" s="123"/>
      <c r="J114" s="120"/>
      <c r="K114" s="14"/>
      <c r="L114" s="120"/>
      <c r="N114" s="14"/>
      <c r="R114" s="121"/>
      <c r="T114" s="14"/>
    </row>
    <row r="115" spans="4:20">
      <c r="D115" s="122"/>
      <c r="E115" s="14"/>
      <c r="F115" s="122"/>
      <c r="G115" s="123"/>
      <c r="J115" s="120"/>
      <c r="K115" s="14"/>
      <c r="L115" s="120"/>
      <c r="N115" s="14"/>
      <c r="R115" s="121"/>
      <c r="T115" s="14"/>
    </row>
    <row r="116" spans="4:20">
      <c r="D116" s="122"/>
      <c r="E116" s="14"/>
      <c r="F116" s="122"/>
      <c r="G116" s="123"/>
      <c r="J116" s="120"/>
      <c r="K116" s="14"/>
      <c r="L116" s="120"/>
      <c r="N116" s="14"/>
      <c r="R116" s="121"/>
      <c r="T116" s="14"/>
    </row>
    <row r="117" spans="4:20">
      <c r="D117" s="122"/>
      <c r="E117" s="14"/>
      <c r="F117" s="122"/>
      <c r="G117" s="123"/>
      <c r="J117" s="120"/>
      <c r="K117" s="14"/>
      <c r="L117" s="120"/>
      <c r="N117" s="14"/>
      <c r="R117" s="121"/>
      <c r="T117" s="14"/>
    </row>
    <row r="118" spans="4:20">
      <c r="D118" s="122"/>
      <c r="E118" s="14"/>
      <c r="F118" s="122"/>
      <c r="G118" s="123"/>
      <c r="J118" s="120"/>
      <c r="K118" s="14"/>
      <c r="L118" s="120"/>
      <c r="N118" s="14"/>
      <c r="R118" s="121"/>
      <c r="T118" s="14"/>
    </row>
    <row r="119" spans="4:20">
      <c r="D119" s="122"/>
      <c r="E119" s="14"/>
      <c r="F119" s="122"/>
      <c r="G119" s="123"/>
      <c r="J119" s="120"/>
      <c r="K119" s="14"/>
      <c r="L119" s="120"/>
      <c r="N119" s="14"/>
      <c r="R119" s="121"/>
      <c r="T119" s="14"/>
    </row>
    <row r="120" spans="4:20">
      <c r="D120" s="122"/>
      <c r="E120" s="14"/>
      <c r="F120" s="122"/>
      <c r="G120" s="123"/>
      <c r="J120" s="120"/>
      <c r="K120" s="14"/>
      <c r="L120" s="120"/>
      <c r="N120" s="14"/>
      <c r="R120" s="121"/>
      <c r="T120" s="14"/>
    </row>
    <row r="121" spans="4:20">
      <c r="D121" s="122"/>
      <c r="E121" s="14"/>
      <c r="F121" s="122"/>
      <c r="G121" s="123"/>
      <c r="J121" s="120"/>
      <c r="K121" s="14"/>
      <c r="L121" s="120"/>
      <c r="N121" s="14"/>
      <c r="R121" s="121"/>
      <c r="T121" s="14"/>
    </row>
    <row r="122" spans="4:20">
      <c r="D122" s="122"/>
      <c r="E122" s="14"/>
      <c r="F122" s="122"/>
      <c r="G122" s="123"/>
      <c r="J122" s="120"/>
      <c r="K122" s="14"/>
      <c r="L122" s="120"/>
      <c r="N122" s="14"/>
      <c r="R122" s="121"/>
      <c r="T122" s="14"/>
    </row>
    <row r="123" spans="4:20">
      <c r="D123" s="122"/>
      <c r="E123" s="14"/>
      <c r="F123" s="122"/>
      <c r="G123" s="123"/>
      <c r="J123" s="120"/>
      <c r="K123" s="14"/>
      <c r="L123" s="120"/>
      <c r="N123" s="14"/>
      <c r="R123" s="121"/>
      <c r="T123" s="14"/>
    </row>
    <row r="124" spans="4:20">
      <c r="D124" s="122"/>
      <c r="E124" s="14"/>
      <c r="F124" s="122"/>
      <c r="G124" s="123"/>
      <c r="J124" s="120"/>
      <c r="K124" s="14"/>
      <c r="L124" s="120"/>
      <c r="N124" s="14"/>
      <c r="R124" s="121"/>
      <c r="T124" s="14"/>
    </row>
    <row r="125" spans="4:20">
      <c r="D125" s="122"/>
      <c r="E125" s="14"/>
      <c r="F125" s="122"/>
      <c r="G125" s="123"/>
      <c r="J125" s="120"/>
      <c r="K125" s="14"/>
      <c r="L125" s="120"/>
      <c r="N125" s="14"/>
      <c r="R125" s="121"/>
      <c r="T125" s="14"/>
    </row>
    <row r="126" spans="4:20">
      <c r="D126" s="122"/>
      <c r="E126" s="14"/>
      <c r="F126" s="122"/>
      <c r="G126" s="123"/>
      <c r="J126" s="120"/>
      <c r="K126" s="14"/>
      <c r="L126" s="120"/>
      <c r="N126" s="14"/>
      <c r="R126" s="121"/>
      <c r="T126" s="14"/>
    </row>
    <row r="127" spans="4:20">
      <c r="D127" s="122"/>
      <c r="E127" s="14"/>
      <c r="F127" s="122"/>
      <c r="G127" s="123"/>
      <c r="J127" s="120"/>
      <c r="K127" s="14"/>
      <c r="L127" s="120"/>
      <c r="N127" s="14"/>
      <c r="R127" s="121"/>
      <c r="T127" s="14"/>
    </row>
    <row r="128" spans="4:20">
      <c r="D128" s="122"/>
      <c r="E128" s="14"/>
      <c r="F128" s="122"/>
      <c r="G128" s="123"/>
      <c r="J128" s="120"/>
      <c r="K128" s="14"/>
      <c r="L128" s="120"/>
      <c r="N128" s="14"/>
      <c r="R128" s="121"/>
      <c r="T128" s="14"/>
    </row>
    <row r="129" spans="4:20">
      <c r="D129" s="122"/>
      <c r="E129" s="14"/>
      <c r="F129" s="122"/>
      <c r="G129" s="123"/>
      <c r="J129" s="120"/>
      <c r="K129" s="14"/>
      <c r="L129" s="120"/>
      <c r="N129" s="14"/>
      <c r="R129" s="121"/>
      <c r="T129" s="14"/>
    </row>
    <row r="130" spans="4:20">
      <c r="D130" s="122"/>
      <c r="E130" s="14"/>
      <c r="F130" s="122"/>
      <c r="G130" s="123"/>
      <c r="J130" s="120"/>
      <c r="K130" s="14"/>
      <c r="L130" s="120"/>
      <c r="N130" s="14"/>
      <c r="R130" s="121"/>
      <c r="T130" s="14"/>
    </row>
    <row r="131" spans="4:20">
      <c r="D131" s="122"/>
      <c r="E131" s="14"/>
      <c r="F131" s="122"/>
      <c r="G131" s="123"/>
      <c r="J131" s="120"/>
      <c r="K131" s="14"/>
      <c r="L131" s="120"/>
      <c r="N131" s="14"/>
      <c r="R131" s="121"/>
      <c r="T131" s="14"/>
    </row>
    <row r="132" spans="4:20">
      <c r="D132" s="122"/>
      <c r="E132" s="14"/>
      <c r="F132" s="122"/>
      <c r="G132" s="123"/>
      <c r="J132" s="120"/>
      <c r="K132" s="14"/>
      <c r="L132" s="120"/>
      <c r="N132" s="14"/>
      <c r="R132" s="121"/>
      <c r="T132" s="14"/>
    </row>
    <row r="133" spans="4:20">
      <c r="D133" s="122"/>
      <c r="E133" s="14"/>
      <c r="F133" s="122"/>
      <c r="G133" s="123"/>
      <c r="J133" s="120"/>
      <c r="K133" s="14"/>
      <c r="L133" s="120"/>
      <c r="N133" s="14"/>
      <c r="R133" s="121"/>
      <c r="T133" s="14"/>
    </row>
    <row r="134" spans="4:20">
      <c r="D134" s="122"/>
      <c r="E134" s="14"/>
      <c r="F134" s="122"/>
      <c r="G134" s="123"/>
      <c r="J134" s="120"/>
      <c r="K134" s="14"/>
      <c r="L134" s="120"/>
      <c r="N134" s="14"/>
      <c r="R134" s="121"/>
      <c r="T134" s="14"/>
    </row>
    <row r="135" spans="4:20">
      <c r="D135" s="122"/>
      <c r="E135" s="14"/>
      <c r="F135" s="122"/>
      <c r="G135" s="123"/>
      <c r="J135" s="120"/>
      <c r="K135" s="14"/>
      <c r="L135" s="120"/>
      <c r="N135" s="14"/>
      <c r="R135" s="121"/>
      <c r="T135" s="14"/>
    </row>
    <row r="136" spans="4:20">
      <c r="D136" s="122"/>
      <c r="E136" s="14"/>
      <c r="F136" s="122"/>
      <c r="G136" s="123"/>
      <c r="J136" s="120"/>
      <c r="K136" s="14"/>
      <c r="L136" s="120"/>
      <c r="N136" s="14"/>
      <c r="R136" s="121"/>
      <c r="T136" s="14"/>
    </row>
    <row r="137" spans="4:20">
      <c r="D137" s="122"/>
      <c r="E137" s="14"/>
      <c r="F137" s="122"/>
      <c r="G137" s="123"/>
      <c r="J137" s="120"/>
      <c r="K137" s="14"/>
      <c r="L137" s="120"/>
      <c r="N137" s="14"/>
      <c r="R137" s="121"/>
      <c r="T137" s="14"/>
    </row>
    <row r="138" spans="4:20">
      <c r="D138" s="122"/>
      <c r="E138" s="14"/>
      <c r="F138" s="122"/>
      <c r="G138" s="123"/>
      <c r="J138" s="120"/>
      <c r="K138" s="14"/>
      <c r="L138" s="120"/>
      <c r="N138" s="14"/>
      <c r="R138" s="121"/>
      <c r="T138" s="14"/>
    </row>
    <row r="139" spans="4:20">
      <c r="D139" s="122"/>
      <c r="E139" s="14"/>
      <c r="F139" s="122"/>
      <c r="G139" s="123"/>
      <c r="J139" s="120"/>
      <c r="K139" s="14"/>
      <c r="L139" s="120"/>
      <c r="N139" s="14"/>
      <c r="R139" s="121"/>
      <c r="T139" s="14"/>
    </row>
    <row r="140" spans="4:20">
      <c r="D140" s="122"/>
      <c r="E140" s="14"/>
      <c r="F140" s="122"/>
      <c r="G140" s="123"/>
      <c r="J140" s="120"/>
      <c r="K140" s="14"/>
      <c r="L140" s="120"/>
      <c r="N140" s="14"/>
      <c r="R140" s="121"/>
      <c r="T140" s="14"/>
    </row>
    <row r="141" spans="4:20">
      <c r="D141" s="122"/>
      <c r="E141" s="14"/>
      <c r="F141" s="122"/>
      <c r="G141" s="123"/>
      <c r="J141" s="120"/>
      <c r="K141" s="14"/>
      <c r="L141" s="120"/>
      <c r="N141" s="14"/>
      <c r="R141" s="121"/>
      <c r="T141" s="14"/>
    </row>
    <row r="142" spans="4:20">
      <c r="D142" s="122"/>
      <c r="E142" s="14"/>
      <c r="F142" s="122"/>
      <c r="G142" s="123"/>
      <c r="J142" s="120"/>
      <c r="K142" s="14"/>
      <c r="L142" s="120"/>
      <c r="N142" s="14"/>
      <c r="R142" s="121"/>
      <c r="T142" s="14"/>
    </row>
    <row r="143" spans="4:20">
      <c r="D143" s="122"/>
      <c r="E143" s="14"/>
      <c r="F143" s="122"/>
      <c r="G143" s="123"/>
      <c r="J143" s="120"/>
      <c r="K143" s="14"/>
      <c r="L143" s="120"/>
      <c r="N143" s="14"/>
      <c r="R143" s="121"/>
      <c r="T143" s="14"/>
    </row>
    <row r="144" spans="4:20">
      <c r="D144" s="122"/>
      <c r="E144" s="14"/>
      <c r="F144" s="122"/>
      <c r="G144" s="123"/>
      <c r="J144" s="120"/>
      <c r="K144" s="14"/>
      <c r="L144" s="120"/>
      <c r="N144" s="14"/>
      <c r="R144" s="121"/>
      <c r="T144" s="14"/>
    </row>
    <row r="145" spans="4:20">
      <c r="D145" s="122"/>
      <c r="E145" s="14"/>
      <c r="F145" s="122"/>
      <c r="G145" s="123"/>
      <c r="J145" s="120"/>
      <c r="K145" s="14"/>
      <c r="L145" s="120"/>
      <c r="N145" s="14"/>
      <c r="R145" s="121"/>
      <c r="T145" s="14"/>
    </row>
    <row r="146" spans="4:20">
      <c r="D146" s="122"/>
      <c r="E146" s="14"/>
      <c r="F146" s="122"/>
      <c r="G146" s="123"/>
      <c r="J146" s="120"/>
      <c r="K146" s="14"/>
      <c r="L146" s="120"/>
      <c r="N146" s="14"/>
      <c r="R146" s="121"/>
      <c r="T146" s="14"/>
    </row>
    <row r="147" spans="4:20">
      <c r="D147" s="122"/>
      <c r="E147" s="14"/>
      <c r="F147" s="122"/>
      <c r="G147" s="123"/>
      <c r="J147" s="120"/>
      <c r="K147" s="14"/>
      <c r="L147" s="120"/>
      <c r="N147" s="14"/>
      <c r="R147" s="121"/>
      <c r="T147" s="14"/>
    </row>
    <row r="148" spans="4:20">
      <c r="D148" s="122"/>
      <c r="E148" s="14"/>
      <c r="F148" s="122"/>
      <c r="G148" s="123"/>
      <c r="J148" s="120"/>
      <c r="K148" s="14"/>
      <c r="L148" s="120"/>
      <c r="N148" s="14"/>
      <c r="R148" s="121"/>
      <c r="T148" s="14"/>
    </row>
    <row r="149" spans="4:20">
      <c r="D149" s="122"/>
      <c r="E149" s="14"/>
      <c r="F149" s="122"/>
      <c r="G149" s="123"/>
      <c r="J149" s="120"/>
      <c r="K149" s="14"/>
      <c r="L149" s="120"/>
      <c r="N149" s="14"/>
      <c r="R149" s="121"/>
      <c r="T149" s="14"/>
    </row>
    <row r="150" spans="4:20">
      <c r="D150" s="122"/>
      <c r="E150" s="14"/>
      <c r="F150" s="122"/>
      <c r="G150" s="123"/>
      <c r="J150" s="120"/>
      <c r="K150" s="14"/>
      <c r="L150" s="120"/>
      <c r="N150" s="14"/>
      <c r="R150" s="121"/>
      <c r="T150" s="14"/>
    </row>
    <row r="151" spans="4:20">
      <c r="D151" s="122"/>
      <c r="E151" s="14"/>
      <c r="F151" s="122"/>
      <c r="G151" s="123"/>
      <c r="J151" s="120"/>
      <c r="K151" s="14"/>
      <c r="L151" s="120"/>
      <c r="N151" s="14"/>
      <c r="R151" s="121"/>
      <c r="T151" s="14"/>
    </row>
    <row r="152" spans="4:20">
      <c r="D152" s="122"/>
      <c r="E152" s="14"/>
      <c r="F152" s="122"/>
      <c r="G152" s="123"/>
      <c r="J152" s="120"/>
      <c r="K152" s="14"/>
      <c r="L152" s="120"/>
      <c r="N152" s="14"/>
      <c r="R152" s="121"/>
      <c r="T152" s="14"/>
    </row>
    <row r="153" spans="4:20">
      <c r="D153" s="122"/>
      <c r="E153" s="14"/>
      <c r="F153" s="122"/>
      <c r="G153" s="123"/>
      <c r="J153" s="120"/>
      <c r="K153" s="14"/>
      <c r="L153" s="120"/>
      <c r="N153" s="14"/>
      <c r="R153" s="121"/>
      <c r="T153" s="14"/>
    </row>
    <row r="154" spans="4:20">
      <c r="D154" s="122"/>
      <c r="E154" s="14"/>
      <c r="F154" s="122"/>
      <c r="G154" s="123"/>
      <c r="J154" s="120"/>
      <c r="K154" s="14"/>
      <c r="L154" s="120"/>
      <c r="N154" s="14"/>
      <c r="R154" s="121"/>
      <c r="T154" s="14"/>
    </row>
    <row r="155" spans="4:20">
      <c r="D155" s="122"/>
      <c r="E155" s="14"/>
      <c r="F155" s="122"/>
      <c r="G155" s="123"/>
      <c r="J155" s="120"/>
      <c r="K155" s="14"/>
      <c r="L155" s="120"/>
      <c r="N155" s="14"/>
      <c r="R155" s="121"/>
      <c r="T155" s="14"/>
    </row>
    <row r="156" spans="4:20">
      <c r="D156" s="122"/>
      <c r="E156" s="14"/>
      <c r="F156" s="122"/>
      <c r="G156" s="123"/>
      <c r="J156" s="120"/>
      <c r="K156" s="14"/>
      <c r="L156" s="120"/>
      <c r="N156" s="14"/>
      <c r="R156" s="121"/>
      <c r="T156" s="14"/>
    </row>
    <row r="157" spans="4:20">
      <c r="D157" s="122"/>
      <c r="E157" s="14"/>
      <c r="F157" s="122"/>
      <c r="G157" s="123"/>
      <c r="J157" s="120"/>
      <c r="K157" s="14"/>
      <c r="L157" s="120"/>
      <c r="N157" s="14"/>
      <c r="R157" s="121"/>
      <c r="T157" s="14"/>
    </row>
    <row r="158" spans="4:20">
      <c r="D158" s="122"/>
      <c r="E158" s="14"/>
      <c r="F158" s="122"/>
      <c r="G158" s="123"/>
      <c r="J158" s="120"/>
      <c r="K158" s="14"/>
      <c r="L158" s="120"/>
      <c r="N158" s="14"/>
      <c r="R158" s="121"/>
      <c r="T158" s="14"/>
    </row>
    <row r="159" spans="4:20">
      <c r="D159" s="122"/>
      <c r="E159" s="14"/>
      <c r="F159" s="122"/>
      <c r="G159" s="123"/>
      <c r="J159" s="120"/>
      <c r="K159" s="14"/>
      <c r="L159" s="120"/>
      <c r="N159" s="14"/>
      <c r="R159" s="121"/>
      <c r="T159" s="14"/>
    </row>
    <row r="160" spans="4:20">
      <c r="D160" s="122"/>
      <c r="E160" s="14"/>
      <c r="F160" s="122"/>
      <c r="G160" s="123"/>
      <c r="J160" s="120"/>
      <c r="K160" s="14"/>
      <c r="L160" s="120"/>
      <c r="N160" s="14"/>
      <c r="R160" s="121"/>
      <c r="T160" s="14"/>
    </row>
    <row r="161" spans="4:20">
      <c r="D161" s="122"/>
      <c r="E161" s="14"/>
      <c r="F161" s="122"/>
      <c r="G161" s="123"/>
      <c r="J161" s="120"/>
      <c r="K161" s="14"/>
      <c r="L161" s="120"/>
      <c r="N161" s="14"/>
      <c r="R161" s="121"/>
      <c r="T161" s="14"/>
    </row>
    <row r="162" spans="4:20">
      <c r="D162" s="122"/>
      <c r="E162" s="14"/>
      <c r="F162" s="122"/>
      <c r="G162" s="123"/>
      <c r="J162" s="120"/>
      <c r="K162" s="14"/>
      <c r="L162" s="120"/>
      <c r="N162" s="14"/>
      <c r="R162" s="121"/>
      <c r="T162" s="14"/>
    </row>
    <row r="163" spans="4:20">
      <c r="D163" s="122"/>
      <c r="E163" s="14"/>
      <c r="F163" s="122"/>
      <c r="G163" s="123"/>
      <c r="J163" s="120"/>
      <c r="K163" s="14"/>
      <c r="L163" s="120"/>
      <c r="N163" s="14"/>
      <c r="R163" s="121"/>
      <c r="T163" s="14"/>
    </row>
    <row r="164" spans="4:20">
      <c r="D164" s="122"/>
      <c r="E164" s="14"/>
      <c r="F164" s="122"/>
      <c r="G164" s="123"/>
      <c r="J164" s="120"/>
      <c r="K164" s="14"/>
      <c r="L164" s="120"/>
      <c r="N164" s="14"/>
      <c r="R164" s="121"/>
      <c r="T164" s="14"/>
    </row>
    <row r="165" spans="4:20">
      <c r="D165" s="122"/>
      <c r="E165" s="14"/>
      <c r="F165" s="122"/>
      <c r="G165" s="123"/>
      <c r="J165" s="120"/>
      <c r="K165" s="14"/>
      <c r="L165" s="120"/>
      <c r="N165" s="14"/>
      <c r="R165" s="121"/>
      <c r="T165" s="14"/>
    </row>
    <row r="166" spans="4:20">
      <c r="D166" s="122"/>
      <c r="E166" s="14"/>
      <c r="F166" s="122"/>
      <c r="G166" s="123"/>
      <c r="J166" s="120"/>
      <c r="K166" s="14"/>
      <c r="L166" s="120"/>
      <c r="N166" s="14"/>
      <c r="R166" s="121"/>
      <c r="T166" s="14"/>
    </row>
    <row r="167" spans="4:20">
      <c r="D167" s="122"/>
      <c r="E167" s="14"/>
      <c r="F167" s="122"/>
      <c r="G167" s="123"/>
      <c r="J167" s="120"/>
      <c r="K167" s="14"/>
      <c r="L167" s="120"/>
      <c r="N167" s="14"/>
      <c r="R167" s="121"/>
      <c r="T167" s="14"/>
    </row>
    <row r="168" spans="4:20">
      <c r="D168" s="122"/>
      <c r="E168" s="14"/>
      <c r="F168" s="122"/>
      <c r="G168" s="123"/>
      <c r="J168" s="120"/>
      <c r="K168" s="14"/>
      <c r="L168" s="120"/>
      <c r="N168" s="14"/>
      <c r="R168" s="121"/>
      <c r="T168" s="14"/>
    </row>
    <row r="169" spans="4:20">
      <c r="D169" s="122"/>
      <c r="E169" s="14"/>
      <c r="F169" s="122"/>
      <c r="G169" s="123"/>
      <c r="J169" s="120"/>
      <c r="K169" s="14"/>
      <c r="L169" s="120"/>
      <c r="N169" s="14"/>
      <c r="R169" s="121"/>
      <c r="T169" s="14"/>
    </row>
    <row r="170" spans="4:20">
      <c r="D170" s="122"/>
      <c r="E170" s="14"/>
      <c r="F170" s="122"/>
      <c r="G170" s="123"/>
      <c r="J170" s="120"/>
      <c r="K170" s="14"/>
      <c r="L170" s="120"/>
      <c r="N170" s="14"/>
      <c r="R170" s="121"/>
      <c r="T170" s="14"/>
    </row>
    <row r="171" spans="4:20">
      <c r="D171" s="122"/>
      <c r="E171" s="14"/>
      <c r="F171" s="122"/>
      <c r="G171" s="123"/>
      <c r="J171" s="120"/>
      <c r="K171" s="14"/>
      <c r="L171" s="120"/>
      <c r="N171" s="14"/>
      <c r="R171" s="121"/>
      <c r="T171" s="14"/>
    </row>
    <row r="172" spans="4:20">
      <c r="D172" s="122"/>
      <c r="E172" s="14"/>
      <c r="F172" s="122"/>
      <c r="G172" s="123"/>
      <c r="J172" s="120"/>
      <c r="K172" s="14"/>
      <c r="L172" s="120"/>
      <c r="N172" s="14"/>
      <c r="R172" s="121"/>
      <c r="T172" s="14"/>
    </row>
    <row r="173" spans="4:20">
      <c r="D173" s="122"/>
      <c r="E173" s="14"/>
      <c r="F173" s="122"/>
      <c r="G173" s="123"/>
      <c r="J173" s="120"/>
      <c r="K173" s="14"/>
      <c r="L173" s="120"/>
      <c r="N173" s="14"/>
      <c r="R173" s="121"/>
      <c r="T173" s="14"/>
    </row>
    <row r="174" spans="4:20">
      <c r="D174" s="122"/>
      <c r="E174" s="14"/>
      <c r="F174" s="122"/>
      <c r="G174" s="123"/>
      <c r="J174" s="120"/>
      <c r="K174" s="14"/>
      <c r="L174" s="120"/>
      <c r="N174" s="14"/>
      <c r="R174" s="121"/>
      <c r="T174" s="14"/>
    </row>
    <row r="175" spans="4:20">
      <c r="D175" s="122"/>
      <c r="E175" s="14"/>
      <c r="F175" s="122"/>
      <c r="G175" s="123"/>
      <c r="J175" s="120"/>
      <c r="K175" s="14"/>
      <c r="L175" s="120"/>
      <c r="N175" s="14"/>
      <c r="R175" s="121"/>
      <c r="T175" s="14"/>
    </row>
    <row r="176" spans="4:20">
      <c r="D176" s="122"/>
      <c r="E176" s="14"/>
      <c r="F176" s="122"/>
      <c r="G176" s="123"/>
      <c r="J176" s="120"/>
      <c r="K176" s="14"/>
      <c r="L176" s="120"/>
      <c r="N176" s="14"/>
      <c r="R176" s="121"/>
      <c r="T176" s="14"/>
    </row>
    <row r="177" spans="4:20">
      <c r="D177" s="122"/>
      <c r="E177" s="14"/>
      <c r="F177" s="122"/>
      <c r="G177" s="123"/>
      <c r="J177" s="120"/>
      <c r="K177" s="14"/>
      <c r="L177" s="120"/>
      <c r="N177" s="14"/>
      <c r="R177" s="121"/>
      <c r="T177" s="14"/>
    </row>
    <row r="178" spans="4:20">
      <c r="D178" s="122"/>
      <c r="E178" s="14"/>
      <c r="F178" s="122"/>
      <c r="G178" s="123"/>
      <c r="J178" s="120"/>
      <c r="K178" s="14"/>
      <c r="L178" s="120"/>
      <c r="N178" s="14"/>
      <c r="R178" s="121"/>
      <c r="T178" s="14"/>
    </row>
    <row r="179" spans="4:20">
      <c r="D179" s="122"/>
      <c r="E179" s="14"/>
      <c r="F179" s="122"/>
      <c r="G179" s="123"/>
      <c r="J179" s="120"/>
      <c r="K179" s="14"/>
      <c r="L179" s="120"/>
      <c r="N179" s="14"/>
      <c r="R179" s="121"/>
      <c r="T179" s="14"/>
    </row>
    <row r="180" spans="4:20">
      <c r="D180" s="122"/>
      <c r="E180" s="14"/>
      <c r="F180" s="122"/>
      <c r="G180" s="123"/>
      <c r="J180" s="120"/>
      <c r="K180" s="14"/>
      <c r="L180" s="120"/>
      <c r="N180" s="14"/>
      <c r="R180" s="121"/>
      <c r="T180" s="14"/>
    </row>
    <row r="181" spans="4:20">
      <c r="D181" s="122"/>
      <c r="E181" s="14"/>
      <c r="F181" s="122"/>
      <c r="G181" s="123"/>
      <c r="J181" s="120"/>
      <c r="K181" s="14"/>
      <c r="L181" s="120"/>
      <c r="N181" s="14"/>
      <c r="R181" s="121"/>
      <c r="T181" s="14"/>
    </row>
    <row r="182" spans="4:20">
      <c r="D182" s="122"/>
      <c r="E182" s="14"/>
      <c r="F182" s="122"/>
      <c r="G182" s="123"/>
      <c r="J182" s="120"/>
      <c r="K182" s="14"/>
      <c r="L182" s="120"/>
      <c r="N182" s="14"/>
      <c r="R182" s="121"/>
      <c r="T182" s="14"/>
    </row>
    <row r="183" spans="4:20">
      <c r="D183" s="122"/>
      <c r="E183" s="14"/>
      <c r="F183" s="122"/>
      <c r="G183" s="123"/>
      <c r="J183" s="120"/>
      <c r="K183" s="14"/>
      <c r="L183" s="120"/>
      <c r="N183" s="14"/>
      <c r="R183" s="121"/>
      <c r="T183" s="14"/>
    </row>
    <row r="184" spans="4:20">
      <c r="D184" s="122"/>
      <c r="E184" s="14"/>
      <c r="F184" s="122"/>
      <c r="G184" s="123"/>
      <c r="J184" s="120"/>
      <c r="K184" s="14"/>
      <c r="L184" s="120"/>
      <c r="N184" s="14"/>
      <c r="R184" s="121"/>
      <c r="T184" s="14"/>
    </row>
    <row r="185" spans="4:20">
      <c r="D185" s="122"/>
      <c r="E185" s="14"/>
      <c r="F185" s="122"/>
      <c r="G185" s="123"/>
      <c r="J185" s="120"/>
      <c r="K185" s="14"/>
      <c r="L185" s="120"/>
      <c r="N185" s="14"/>
      <c r="R185" s="121"/>
      <c r="T185" s="14"/>
    </row>
    <row r="186" spans="4:20">
      <c r="D186" s="122"/>
      <c r="E186" s="14"/>
      <c r="F186" s="122"/>
      <c r="G186" s="123"/>
      <c r="J186" s="120"/>
      <c r="K186" s="14"/>
      <c r="L186" s="120"/>
      <c r="N186" s="14"/>
      <c r="R186" s="121"/>
      <c r="T186" s="14"/>
    </row>
    <row r="187" spans="4:20">
      <c r="D187" s="122"/>
      <c r="E187" s="14"/>
      <c r="F187" s="122"/>
      <c r="G187" s="123"/>
      <c r="J187" s="120"/>
      <c r="K187" s="14"/>
      <c r="L187" s="120"/>
      <c r="N187" s="14"/>
      <c r="R187" s="121"/>
      <c r="T187" s="14"/>
    </row>
  </sheetData>
  <autoFilter ref="A12:U12" xr:uid="{00000000-0009-0000-0000-000002000000}"/>
  <mergeCells count="16">
    <mergeCell ref="D10:E10"/>
    <mergeCell ref="F10:G10"/>
    <mergeCell ref="G3:L3"/>
    <mergeCell ref="G4:L4"/>
    <mergeCell ref="D6:E6"/>
    <mergeCell ref="F6:G6"/>
    <mergeCell ref="D7:E7"/>
    <mergeCell ref="F7:G7"/>
    <mergeCell ref="D8:E8"/>
    <mergeCell ref="F8:G8"/>
    <mergeCell ref="U4:V4"/>
    <mergeCell ref="U3:V3"/>
    <mergeCell ref="D3:E3"/>
    <mergeCell ref="D4:E4"/>
    <mergeCell ref="D9:E9"/>
    <mergeCell ref="F9:G9"/>
  </mergeCells>
  <phoneticPr fontId="1"/>
  <dataValidations disablePrompts="1" count="3">
    <dataValidation type="list" allowBlank="1" showInputMessage="1" showErrorMessage="1" sqref="T13:T26" xr:uid="{00000000-0002-0000-0200-000001000000}">
      <formula1>"　,OK,NG"</formula1>
    </dataValidation>
    <dataValidation type="list" allowBlank="1" showInputMessage="1" showErrorMessage="1" sqref="J13:J35" xr:uid="{00000000-0002-0000-0200-000002000000}">
      <formula1>"回避,転嫁,軽減,受容"</formula1>
    </dataValidation>
    <dataValidation type="list" showInputMessage="1" showErrorMessage="1" sqref="D13:D26" xr:uid="{00000000-0002-0000-0200-000000000000}">
      <formula1>#REF!</formula1>
    </dataValidation>
  </dataValidations>
  <pageMargins left="0.74803149606299213" right="0.74803149606299213" top="0.98425196850393704" bottom="0.98425196850393704" header="0.51181102362204722" footer="0.51181102362204722"/>
  <pageSetup paperSize="9" scale="27" fitToHeight="0" orientation="portrait" r:id="rId1"/>
  <headerFooter alignWithMargins="0">
    <oddFooter>&amp;L伊藤忠テクノソリューションズ株式会社&amp;C&amp;P/&amp;N&amp;RCQMS-S-102T5 Ver.09.50</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stopIfTrue="1" id="{EF8059A1-5F28-4991-960B-A6EB53C1BD2B}">
            <xm:f>リスク管理計画シート!$T14="消滅"</xm:f>
            <x14:dxf>
              <fill>
                <patternFill>
                  <bgColor theme="0" tint="-0.34998626667073579"/>
                </patternFill>
              </fill>
            </x14:dxf>
          </x14:cfRule>
          <xm:sqref>J13:J35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FFCC00"/>
    <pageSetUpPr fitToPage="1"/>
  </sheetPr>
  <dimension ref="A1:AB75"/>
  <sheetViews>
    <sheetView zoomScaleNormal="100" workbookViewId="0">
      <selection activeCell="D3" sqref="D3:F3"/>
    </sheetView>
  </sheetViews>
  <sheetFormatPr defaultColWidth="8.140625" defaultRowHeight="15.95"/>
  <cols>
    <col min="1" max="1" width="4" style="120" customWidth="1"/>
    <col min="2" max="2" width="10" style="121" customWidth="1"/>
    <col min="3" max="3" width="30.7109375" style="121" customWidth="1"/>
    <col min="4" max="4" width="23.7109375" style="121" customWidth="1"/>
    <col min="5" max="5" width="14.42578125" style="122" customWidth="1"/>
    <col min="6" max="6" width="30.7109375" style="14" customWidth="1"/>
    <col min="7" max="7" width="12.140625" style="122" customWidth="1"/>
    <col min="8" max="8" width="17.28515625" style="123" customWidth="1"/>
    <col min="9" max="9" width="25" style="123" customWidth="1"/>
    <col min="10" max="10" width="13.42578125" style="123" customWidth="1"/>
    <col min="11" max="11" width="30.7109375" style="14" customWidth="1"/>
    <col min="12" max="12" width="7.85546875" style="120" customWidth="1"/>
    <col min="13" max="13" width="9.42578125" style="120" bestFit="1" customWidth="1"/>
    <col min="14" max="14" width="9" style="120" customWidth="1"/>
    <col min="15" max="15" width="10.85546875" style="14" customWidth="1"/>
    <col min="16" max="16" width="7" style="14" customWidth="1"/>
    <col min="17" max="18" width="23.7109375" style="14" customWidth="1"/>
    <col min="19" max="20" width="23.7109375" style="121" customWidth="1"/>
    <col min="21" max="21" width="23.7109375" style="14" customWidth="1"/>
    <col min="22" max="22" width="10.7109375" style="14" customWidth="1"/>
    <col min="23" max="23" width="7.42578125" style="14" customWidth="1"/>
    <col min="24" max="25" width="8.140625" style="14"/>
    <col min="26" max="26" width="22.7109375" style="14" bestFit="1" customWidth="1"/>
    <col min="27" max="16384" width="8.140625" style="14"/>
  </cols>
  <sheetData>
    <row r="1" spans="1:28" ht="22.5">
      <c r="A1" s="233" t="s">
        <v>168</v>
      </c>
    </row>
    <row r="3" spans="1:28" s="39" customFormat="1" ht="18" customHeight="1">
      <c r="A3" s="36"/>
      <c r="B3" s="37"/>
      <c r="C3" s="195" t="s">
        <v>132</v>
      </c>
      <c r="D3" s="293"/>
      <c r="E3" s="293"/>
      <c r="F3" s="293"/>
      <c r="G3" s="294" t="s">
        <v>133</v>
      </c>
      <c r="H3" s="294"/>
      <c r="I3" s="292"/>
      <c r="J3" s="292"/>
      <c r="K3" s="292"/>
      <c r="L3" s="48"/>
      <c r="M3" s="179"/>
      <c r="N3" s="179"/>
      <c r="O3" s="179"/>
      <c r="Q3" s="40"/>
      <c r="R3" s="234" t="s">
        <v>134</v>
      </c>
      <c r="S3" s="244"/>
      <c r="T3" s="234" t="s">
        <v>135</v>
      </c>
      <c r="U3" s="278"/>
      <c r="V3" s="319"/>
    </row>
    <row r="4" spans="1:28" s="39" customFormat="1" ht="18" customHeight="1">
      <c r="A4" s="43"/>
      <c r="B4" s="37" t="s">
        <v>136</v>
      </c>
      <c r="C4" s="195" t="s">
        <v>137</v>
      </c>
      <c r="D4" s="293"/>
      <c r="E4" s="293"/>
      <c r="F4" s="293"/>
      <c r="G4" s="294" t="s">
        <v>138</v>
      </c>
      <c r="H4" s="294"/>
      <c r="I4" s="292"/>
      <c r="J4" s="292"/>
      <c r="K4" s="292"/>
      <c r="L4" s="48"/>
      <c r="M4" s="179"/>
      <c r="N4" s="179"/>
      <c r="O4" s="179"/>
      <c r="Q4" s="44"/>
      <c r="R4" s="234" t="s">
        <v>139</v>
      </c>
      <c r="S4" s="244"/>
      <c r="T4" s="234" t="s">
        <v>140</v>
      </c>
      <c r="U4" s="278"/>
      <c r="V4" s="319"/>
    </row>
    <row r="5" spans="1:28" s="39" customFormat="1" ht="18" customHeight="1">
      <c r="A5" s="43"/>
      <c r="B5" s="37"/>
      <c r="C5" s="38"/>
      <c r="D5" s="178"/>
      <c r="E5" s="178"/>
      <c r="F5" s="178"/>
      <c r="G5" s="38"/>
      <c r="H5" s="38"/>
      <c r="I5" s="38"/>
      <c r="J5" s="38"/>
      <c r="K5" s="179"/>
      <c r="L5" s="38"/>
      <c r="M5" s="179"/>
      <c r="N5" s="179"/>
      <c r="O5" s="179"/>
      <c r="Q5" s="44"/>
      <c r="R5" s="41"/>
      <c r="S5" s="180"/>
      <c r="T5" s="180"/>
      <c r="U5" s="42"/>
    </row>
    <row r="6" spans="1:28" s="39" customFormat="1" ht="18" customHeight="1">
      <c r="A6" s="36"/>
      <c r="B6" s="45" t="s">
        <v>136</v>
      </c>
      <c r="C6" s="181" t="s">
        <v>141</v>
      </c>
      <c r="D6" s="287" t="s">
        <v>142</v>
      </c>
      <c r="E6" s="287"/>
      <c r="F6" s="288" t="s">
        <v>143</v>
      </c>
      <c r="G6" s="289"/>
      <c r="H6" s="123"/>
      <c r="I6" s="123"/>
      <c r="J6" s="123"/>
      <c r="K6" s="245"/>
      <c r="L6" s="245"/>
      <c r="M6" s="36"/>
      <c r="N6" s="36"/>
      <c r="S6" s="47"/>
      <c r="T6" s="47"/>
      <c r="U6" s="48"/>
    </row>
    <row r="7" spans="1:28" s="39" customFormat="1" ht="18" customHeight="1">
      <c r="A7" s="36"/>
      <c r="B7" s="49" t="s">
        <v>144</v>
      </c>
      <c r="C7" s="50" t="s">
        <v>145</v>
      </c>
      <c r="D7" s="290">
        <v>43922</v>
      </c>
      <c r="E7" s="290"/>
      <c r="F7" s="291" t="s">
        <v>146</v>
      </c>
      <c r="G7" s="291"/>
      <c r="H7" s="123"/>
      <c r="I7" s="123"/>
      <c r="J7" s="123"/>
      <c r="K7" s="14"/>
      <c r="L7" s="120"/>
      <c r="M7" s="120"/>
      <c r="N7" s="120"/>
      <c r="O7" s="14"/>
      <c r="P7" s="14"/>
      <c r="Q7" s="14"/>
      <c r="R7" s="14"/>
      <c r="S7" s="47"/>
      <c r="T7" s="47"/>
      <c r="U7" s="48"/>
      <c r="V7" s="14"/>
      <c r="W7" s="14"/>
      <c r="X7" s="14"/>
      <c r="Y7" s="14"/>
      <c r="Z7" s="14"/>
      <c r="AA7" s="14"/>
      <c r="AB7" s="14"/>
    </row>
    <row r="8" spans="1:28" ht="18" customHeight="1">
      <c r="B8" s="51">
        <v>1</v>
      </c>
      <c r="C8" s="52"/>
      <c r="D8" s="297"/>
      <c r="E8" s="297"/>
      <c r="F8" s="297"/>
      <c r="G8" s="297"/>
      <c r="S8" s="47"/>
      <c r="T8" s="47"/>
      <c r="U8" s="48"/>
    </row>
    <row r="9" spans="1:28" ht="18" customHeight="1">
      <c r="B9" s="51">
        <v>2</v>
      </c>
      <c r="C9" s="52"/>
      <c r="D9" s="297"/>
      <c r="E9" s="297"/>
      <c r="F9" s="297"/>
      <c r="G9" s="297"/>
      <c r="S9" s="47"/>
      <c r="T9" s="47"/>
      <c r="U9" s="48"/>
    </row>
    <row r="10" spans="1:28" ht="18" customHeight="1">
      <c r="B10" s="51">
        <v>3</v>
      </c>
      <c r="C10" s="52"/>
      <c r="D10" s="297"/>
      <c r="E10" s="297"/>
      <c r="F10" s="300"/>
      <c r="G10" s="301"/>
      <c r="S10" s="47"/>
      <c r="T10" s="47"/>
      <c r="U10" s="48"/>
    </row>
    <row r="11" spans="1:28" s="39" customFormat="1" ht="18" customHeight="1" thickBot="1">
      <c r="A11" s="36"/>
      <c r="B11" s="45" t="s">
        <v>136</v>
      </c>
      <c r="C11" s="45"/>
      <c r="D11" s="45"/>
      <c r="E11" s="53"/>
      <c r="G11" s="53"/>
      <c r="H11" s="123"/>
      <c r="I11" s="46"/>
      <c r="J11" s="266" t="s">
        <v>169</v>
      </c>
      <c r="L11" s="36"/>
      <c r="M11" s="36"/>
      <c r="N11" s="36"/>
      <c r="S11" s="47"/>
      <c r="T11" s="47"/>
      <c r="U11" s="48"/>
    </row>
    <row r="12" spans="1:28" ht="64.5" thickTop="1">
      <c r="A12" s="182" t="s">
        <v>25</v>
      </c>
      <c r="B12" s="183" t="s">
        <v>147</v>
      </c>
      <c r="C12" s="184" t="s">
        <v>148</v>
      </c>
      <c r="D12" s="183" t="s">
        <v>16</v>
      </c>
      <c r="E12" s="185" t="s">
        <v>149</v>
      </c>
      <c r="F12" s="186" t="s">
        <v>150</v>
      </c>
      <c r="G12" s="187" t="s">
        <v>151</v>
      </c>
      <c r="H12" s="188" t="s">
        <v>152</v>
      </c>
      <c r="I12" s="189" t="s">
        <v>153</v>
      </c>
      <c r="J12" s="190" t="s">
        <v>170</v>
      </c>
      <c r="K12" s="182" t="s">
        <v>155</v>
      </c>
      <c r="L12" s="183" t="s">
        <v>156</v>
      </c>
      <c r="M12" s="183" t="s">
        <v>157</v>
      </c>
      <c r="N12" s="267" t="s">
        <v>171</v>
      </c>
      <c r="O12" s="261" t="s">
        <v>172</v>
      </c>
      <c r="P12" s="191" t="s">
        <v>160</v>
      </c>
      <c r="Q12" s="184" t="s">
        <v>161</v>
      </c>
      <c r="R12" s="192" t="s">
        <v>162</v>
      </c>
      <c r="S12" s="193" t="s">
        <v>163</v>
      </c>
      <c r="T12" s="194" t="s">
        <v>173</v>
      </c>
      <c r="U12" s="253" t="s">
        <v>165</v>
      </c>
      <c r="V12" s="254" t="s">
        <v>166</v>
      </c>
    </row>
    <row r="13" spans="1:28" ht="198.4" customHeight="1">
      <c r="A13" s="166" t="s">
        <v>174</v>
      </c>
      <c r="B13" s="167" t="s">
        <v>175</v>
      </c>
      <c r="C13" s="168" t="s">
        <v>176</v>
      </c>
      <c r="D13" s="169" t="s">
        <v>177</v>
      </c>
      <c r="E13" s="170" t="s">
        <v>178</v>
      </c>
      <c r="F13" s="125" t="s">
        <v>179</v>
      </c>
      <c r="G13" s="171" t="s">
        <v>180</v>
      </c>
      <c r="H13" s="172" t="s">
        <v>181</v>
      </c>
      <c r="I13" s="246" t="s">
        <v>182</v>
      </c>
      <c r="J13" s="173" t="s">
        <v>183</v>
      </c>
      <c r="K13" s="268" t="s">
        <v>184</v>
      </c>
      <c r="L13" s="169" t="s">
        <v>185</v>
      </c>
      <c r="M13" s="169" t="s">
        <v>186</v>
      </c>
      <c r="N13" s="269" t="s">
        <v>187</v>
      </c>
      <c r="O13" s="255" t="s">
        <v>188</v>
      </c>
      <c r="P13" s="174" t="s">
        <v>189</v>
      </c>
      <c r="Q13" s="168" t="s">
        <v>190</v>
      </c>
      <c r="R13" s="175" t="s">
        <v>191</v>
      </c>
      <c r="S13" s="176" t="s">
        <v>192</v>
      </c>
      <c r="T13" s="177" t="s">
        <v>193</v>
      </c>
      <c r="U13" s="125" t="s">
        <v>194</v>
      </c>
      <c r="V13" s="255" t="s">
        <v>195</v>
      </c>
    </row>
    <row r="14" spans="1:28">
      <c r="A14" s="93">
        <v>1</v>
      </c>
      <c r="B14" s="102"/>
      <c r="C14" s="109"/>
      <c r="D14" s="160" t="s">
        <v>167</v>
      </c>
      <c r="E14" s="161"/>
      <c r="F14" s="110"/>
      <c r="G14" s="127"/>
      <c r="H14" s="162">
        <f>G14*E14</f>
        <v>0</v>
      </c>
      <c r="I14" s="163"/>
      <c r="J14" s="164"/>
      <c r="K14" s="109"/>
      <c r="L14" s="111"/>
      <c r="M14" s="130"/>
      <c r="N14" s="111"/>
      <c r="O14" s="262"/>
      <c r="P14" s="135"/>
      <c r="Q14" s="109"/>
      <c r="R14" s="165"/>
      <c r="S14" s="101"/>
      <c r="T14" s="102"/>
      <c r="U14" s="110"/>
      <c r="V14" s="256"/>
      <c r="Z14" s="92"/>
    </row>
    <row r="15" spans="1:28">
      <c r="A15" s="93">
        <v>2</v>
      </c>
      <c r="B15" s="73"/>
      <c r="C15" s="74"/>
      <c r="D15" s="75"/>
      <c r="E15" s="76"/>
      <c r="F15" s="77"/>
      <c r="G15" s="126"/>
      <c r="H15" s="128">
        <f t="shared" ref="H15:H36" si="0">G15*E15</f>
        <v>0</v>
      </c>
      <c r="I15" s="95"/>
      <c r="J15" s="129"/>
      <c r="K15" s="74"/>
      <c r="L15" s="97"/>
      <c r="M15" s="130"/>
      <c r="N15" s="111"/>
      <c r="O15" s="263"/>
      <c r="P15" s="131"/>
      <c r="Q15" s="74"/>
      <c r="R15" s="77"/>
      <c r="S15" s="101"/>
      <c r="T15" s="102"/>
      <c r="U15" s="110"/>
      <c r="V15" s="257"/>
      <c r="Z15" s="92"/>
    </row>
    <row r="16" spans="1:28">
      <c r="A16" s="93">
        <v>3</v>
      </c>
      <c r="B16" s="73"/>
      <c r="C16" s="74"/>
      <c r="D16" s="75"/>
      <c r="E16" s="76"/>
      <c r="F16" s="77"/>
      <c r="G16" s="126"/>
      <c r="H16" s="128">
        <f t="shared" si="0"/>
        <v>0</v>
      </c>
      <c r="I16" s="95"/>
      <c r="J16" s="129"/>
      <c r="K16" s="74"/>
      <c r="L16" s="97"/>
      <c r="M16" s="130"/>
      <c r="N16" s="111"/>
      <c r="O16" s="263"/>
      <c r="P16" s="131"/>
      <c r="Q16" s="74"/>
      <c r="R16" s="77"/>
      <c r="S16" s="101"/>
      <c r="T16" s="73"/>
      <c r="U16" s="110"/>
      <c r="V16" s="257"/>
      <c r="Z16" s="92"/>
    </row>
    <row r="17" spans="1:26">
      <c r="A17" s="93">
        <v>4</v>
      </c>
      <c r="B17" s="73"/>
      <c r="C17" s="74"/>
      <c r="D17" s="75"/>
      <c r="E17" s="76"/>
      <c r="F17" s="77"/>
      <c r="G17" s="126"/>
      <c r="H17" s="128">
        <f t="shared" si="0"/>
        <v>0</v>
      </c>
      <c r="I17" s="95"/>
      <c r="J17" s="129"/>
      <c r="K17" s="74"/>
      <c r="L17" s="97"/>
      <c r="M17" s="130"/>
      <c r="N17" s="111"/>
      <c r="O17" s="263"/>
      <c r="P17" s="131"/>
      <c r="Q17" s="74"/>
      <c r="R17" s="77"/>
      <c r="S17" s="101"/>
      <c r="T17" s="104"/>
      <c r="U17" s="110"/>
      <c r="V17" s="257"/>
      <c r="Z17" s="92"/>
    </row>
    <row r="18" spans="1:26">
      <c r="A18" s="93">
        <v>5</v>
      </c>
      <c r="B18" s="73"/>
      <c r="C18" s="74"/>
      <c r="D18" s="75"/>
      <c r="E18" s="76"/>
      <c r="F18" s="132"/>
      <c r="G18" s="133"/>
      <c r="H18" s="128">
        <f t="shared" si="0"/>
        <v>0</v>
      </c>
      <c r="I18" s="107"/>
      <c r="J18" s="134"/>
      <c r="K18" s="109"/>
      <c r="L18" s="111"/>
      <c r="M18" s="130"/>
      <c r="N18" s="111"/>
      <c r="O18" s="264"/>
      <c r="P18" s="135"/>
      <c r="Q18" s="109"/>
      <c r="R18" s="110"/>
      <c r="S18" s="101"/>
      <c r="T18" s="104"/>
      <c r="U18" s="110"/>
      <c r="V18" s="256"/>
      <c r="Z18" s="92"/>
    </row>
    <row r="19" spans="1:26">
      <c r="A19" s="113">
        <v>6</v>
      </c>
      <c r="B19" s="73"/>
      <c r="C19" s="74"/>
      <c r="D19" s="75"/>
      <c r="E19" s="76"/>
      <c r="F19" s="77"/>
      <c r="G19" s="126"/>
      <c r="H19" s="128">
        <f t="shared" si="0"/>
        <v>0</v>
      </c>
      <c r="I19" s="95"/>
      <c r="J19" s="129"/>
      <c r="K19" s="74"/>
      <c r="L19" s="97"/>
      <c r="M19" s="136"/>
      <c r="N19" s="97"/>
      <c r="O19" s="263"/>
      <c r="P19" s="131"/>
      <c r="Q19" s="74"/>
      <c r="R19" s="77"/>
      <c r="S19" s="114"/>
      <c r="T19" s="73"/>
      <c r="U19" s="77"/>
      <c r="V19" s="257"/>
      <c r="Z19" s="92"/>
    </row>
    <row r="20" spans="1:26">
      <c r="A20" s="113">
        <v>7</v>
      </c>
      <c r="B20" s="73"/>
      <c r="C20" s="74"/>
      <c r="D20" s="75"/>
      <c r="E20" s="76"/>
      <c r="F20" s="77"/>
      <c r="G20" s="126"/>
      <c r="H20" s="128">
        <f t="shared" si="0"/>
        <v>0</v>
      </c>
      <c r="I20" s="95"/>
      <c r="J20" s="129"/>
      <c r="K20" s="74"/>
      <c r="L20" s="97"/>
      <c r="M20" s="136"/>
      <c r="N20" s="97"/>
      <c r="O20" s="263"/>
      <c r="P20" s="131"/>
      <c r="Q20" s="74"/>
      <c r="R20" s="77"/>
      <c r="S20" s="114"/>
      <c r="T20" s="73"/>
      <c r="U20" s="77"/>
      <c r="V20" s="257"/>
      <c r="Z20" s="92"/>
    </row>
    <row r="21" spans="1:26">
      <c r="A21" s="137">
        <v>8</v>
      </c>
      <c r="B21" s="73"/>
      <c r="C21" s="74"/>
      <c r="D21" s="75"/>
      <c r="E21" s="76"/>
      <c r="F21" s="77"/>
      <c r="G21" s="126"/>
      <c r="H21" s="128">
        <f t="shared" si="0"/>
        <v>0</v>
      </c>
      <c r="I21" s="95"/>
      <c r="J21" s="129"/>
      <c r="K21" s="74"/>
      <c r="L21" s="97"/>
      <c r="M21" s="136"/>
      <c r="N21" s="97"/>
      <c r="O21" s="263"/>
      <c r="P21" s="131"/>
      <c r="Q21" s="74"/>
      <c r="R21" s="77"/>
      <c r="S21" s="114"/>
      <c r="T21" s="73"/>
      <c r="U21" s="77"/>
      <c r="V21" s="257"/>
      <c r="Z21" s="116"/>
    </row>
    <row r="22" spans="1:26">
      <c r="A22" s="113">
        <v>9</v>
      </c>
      <c r="B22" s="73"/>
      <c r="C22" s="74"/>
      <c r="D22" s="75"/>
      <c r="E22" s="76"/>
      <c r="F22" s="77"/>
      <c r="G22" s="126"/>
      <c r="H22" s="128">
        <f t="shared" si="0"/>
        <v>0</v>
      </c>
      <c r="I22" s="95"/>
      <c r="J22" s="129"/>
      <c r="K22" s="74"/>
      <c r="L22" s="97"/>
      <c r="M22" s="136"/>
      <c r="N22" s="97"/>
      <c r="O22" s="263"/>
      <c r="P22" s="131"/>
      <c r="Q22" s="74"/>
      <c r="R22" s="77"/>
      <c r="S22" s="114"/>
      <c r="T22" s="73"/>
      <c r="U22" s="77"/>
      <c r="V22" s="257"/>
      <c r="Z22" s="92"/>
    </row>
    <row r="23" spans="1:26">
      <c r="A23" s="93">
        <v>10</v>
      </c>
      <c r="B23" s="73"/>
      <c r="C23" s="74"/>
      <c r="D23" s="75"/>
      <c r="E23" s="76"/>
      <c r="F23" s="77"/>
      <c r="G23" s="126"/>
      <c r="H23" s="128">
        <f t="shared" si="0"/>
        <v>0</v>
      </c>
      <c r="I23" s="95"/>
      <c r="J23" s="129"/>
      <c r="K23" s="74"/>
      <c r="L23" s="97"/>
      <c r="M23" s="136"/>
      <c r="N23" s="97"/>
      <c r="O23" s="263"/>
      <c r="P23" s="131"/>
      <c r="Q23" s="74"/>
      <c r="R23" s="77"/>
      <c r="S23" s="114"/>
      <c r="T23" s="73"/>
      <c r="U23" s="77"/>
      <c r="V23" s="257"/>
      <c r="Z23" s="92"/>
    </row>
    <row r="24" spans="1:26">
      <c r="A24" s="93">
        <v>11</v>
      </c>
      <c r="B24" s="73"/>
      <c r="C24" s="74"/>
      <c r="D24" s="75"/>
      <c r="E24" s="76"/>
      <c r="F24" s="77"/>
      <c r="G24" s="126"/>
      <c r="H24" s="128">
        <f t="shared" si="0"/>
        <v>0</v>
      </c>
      <c r="I24" s="95"/>
      <c r="J24" s="129"/>
      <c r="K24" s="74"/>
      <c r="L24" s="97"/>
      <c r="M24" s="136"/>
      <c r="N24" s="97"/>
      <c r="O24" s="263"/>
      <c r="P24" s="131"/>
      <c r="Q24" s="74"/>
      <c r="R24" s="77"/>
      <c r="S24" s="114"/>
      <c r="T24" s="73"/>
      <c r="U24" s="77"/>
      <c r="V24" s="257"/>
      <c r="Z24" s="116"/>
    </row>
    <row r="25" spans="1:26">
      <c r="A25" s="93">
        <v>12</v>
      </c>
      <c r="B25" s="73"/>
      <c r="C25" s="74"/>
      <c r="D25" s="75"/>
      <c r="E25" s="76"/>
      <c r="F25" s="77"/>
      <c r="G25" s="126"/>
      <c r="H25" s="128">
        <f t="shared" si="0"/>
        <v>0</v>
      </c>
      <c r="I25" s="95"/>
      <c r="J25" s="129"/>
      <c r="K25" s="74"/>
      <c r="L25" s="97"/>
      <c r="M25" s="136"/>
      <c r="N25" s="97"/>
      <c r="O25" s="263"/>
      <c r="P25" s="131"/>
      <c r="Q25" s="74"/>
      <c r="R25" s="77"/>
      <c r="S25" s="114"/>
      <c r="T25" s="73"/>
      <c r="U25" s="77"/>
      <c r="V25" s="257"/>
      <c r="Z25" s="116"/>
    </row>
    <row r="26" spans="1:26">
      <c r="A26" s="93">
        <v>13</v>
      </c>
      <c r="B26" s="73"/>
      <c r="C26" s="74"/>
      <c r="D26" s="75"/>
      <c r="E26" s="76"/>
      <c r="F26" s="77"/>
      <c r="G26" s="126"/>
      <c r="H26" s="128">
        <f t="shared" si="0"/>
        <v>0</v>
      </c>
      <c r="I26" s="95"/>
      <c r="J26" s="129"/>
      <c r="K26" s="74"/>
      <c r="L26" s="97"/>
      <c r="M26" s="136"/>
      <c r="N26" s="97"/>
      <c r="O26" s="263"/>
      <c r="P26" s="131"/>
      <c r="Q26" s="74"/>
      <c r="R26" s="77"/>
      <c r="S26" s="114"/>
      <c r="T26" s="73"/>
      <c r="U26" s="77"/>
      <c r="V26" s="257"/>
      <c r="Z26" s="116"/>
    </row>
    <row r="27" spans="1:26">
      <c r="A27" s="113">
        <v>14</v>
      </c>
      <c r="B27" s="73"/>
      <c r="C27" s="74"/>
      <c r="D27" s="75"/>
      <c r="E27" s="76"/>
      <c r="F27" s="77"/>
      <c r="G27" s="126"/>
      <c r="H27" s="128">
        <f t="shared" si="0"/>
        <v>0</v>
      </c>
      <c r="I27" s="95"/>
      <c r="J27" s="129"/>
      <c r="K27" s="74"/>
      <c r="L27" s="97"/>
      <c r="M27" s="136"/>
      <c r="N27" s="97"/>
      <c r="O27" s="263"/>
      <c r="P27" s="131"/>
      <c r="Q27" s="74"/>
      <c r="R27" s="77"/>
      <c r="S27" s="114"/>
      <c r="T27" s="73"/>
      <c r="U27" s="77"/>
      <c r="V27" s="257"/>
      <c r="Z27" s="116"/>
    </row>
    <row r="28" spans="1:26">
      <c r="A28" s="113">
        <v>15</v>
      </c>
      <c r="B28" s="73"/>
      <c r="C28" s="74"/>
      <c r="D28" s="75"/>
      <c r="E28" s="76"/>
      <c r="F28" s="77"/>
      <c r="G28" s="126"/>
      <c r="H28" s="128">
        <f t="shared" si="0"/>
        <v>0</v>
      </c>
      <c r="I28" s="95"/>
      <c r="J28" s="129"/>
      <c r="K28" s="74"/>
      <c r="L28" s="97"/>
      <c r="M28" s="136"/>
      <c r="N28" s="97"/>
      <c r="O28" s="263"/>
      <c r="P28" s="131"/>
      <c r="Q28" s="74"/>
      <c r="R28" s="77"/>
      <c r="S28" s="114"/>
      <c r="T28" s="73"/>
      <c r="U28" s="77"/>
      <c r="V28" s="257"/>
      <c r="Z28" s="116"/>
    </row>
    <row r="29" spans="1:26">
      <c r="A29" s="137">
        <v>16</v>
      </c>
      <c r="B29" s="73"/>
      <c r="C29" s="74"/>
      <c r="D29" s="75"/>
      <c r="E29" s="76"/>
      <c r="F29" s="77"/>
      <c r="G29" s="126"/>
      <c r="H29" s="128">
        <f t="shared" si="0"/>
        <v>0</v>
      </c>
      <c r="I29" s="95"/>
      <c r="J29" s="129"/>
      <c r="K29" s="74"/>
      <c r="L29" s="97"/>
      <c r="M29" s="136"/>
      <c r="N29" s="97"/>
      <c r="O29" s="263"/>
      <c r="P29" s="131"/>
      <c r="Q29" s="74"/>
      <c r="R29" s="77"/>
      <c r="S29" s="114"/>
      <c r="T29" s="73"/>
      <c r="U29" s="77"/>
      <c r="V29" s="257"/>
      <c r="Z29" s="116"/>
    </row>
    <row r="30" spans="1:26">
      <c r="A30" s="93">
        <v>17</v>
      </c>
      <c r="B30" s="73"/>
      <c r="C30" s="74"/>
      <c r="D30" s="75"/>
      <c r="E30" s="76"/>
      <c r="F30" s="77"/>
      <c r="G30" s="126"/>
      <c r="H30" s="128">
        <f t="shared" si="0"/>
        <v>0</v>
      </c>
      <c r="I30" s="95"/>
      <c r="J30" s="129"/>
      <c r="K30" s="74"/>
      <c r="L30" s="97"/>
      <c r="M30" s="136"/>
      <c r="N30" s="97"/>
      <c r="O30" s="263"/>
      <c r="P30" s="131"/>
      <c r="Q30" s="74"/>
      <c r="R30" s="77"/>
      <c r="S30" s="114"/>
      <c r="T30" s="73"/>
      <c r="U30" s="77"/>
      <c r="V30" s="257"/>
      <c r="Z30" s="116"/>
    </row>
    <row r="31" spans="1:26">
      <c r="A31" s="93">
        <v>18</v>
      </c>
      <c r="B31" s="73"/>
      <c r="C31" s="74"/>
      <c r="D31" s="75"/>
      <c r="E31" s="76"/>
      <c r="F31" s="77"/>
      <c r="G31" s="126"/>
      <c r="H31" s="128">
        <f t="shared" si="0"/>
        <v>0</v>
      </c>
      <c r="I31" s="95"/>
      <c r="J31" s="129"/>
      <c r="K31" s="74"/>
      <c r="L31" s="97"/>
      <c r="M31" s="136"/>
      <c r="N31" s="97"/>
      <c r="O31" s="263"/>
      <c r="P31" s="131"/>
      <c r="Q31" s="74"/>
      <c r="R31" s="77"/>
      <c r="S31" s="114"/>
      <c r="T31" s="73"/>
      <c r="U31" s="77"/>
      <c r="V31" s="257"/>
      <c r="Z31" s="116"/>
    </row>
    <row r="32" spans="1:26">
      <c r="A32" s="93">
        <v>19</v>
      </c>
      <c r="B32" s="73"/>
      <c r="C32" s="74"/>
      <c r="D32" s="75"/>
      <c r="E32" s="76"/>
      <c r="F32" s="77"/>
      <c r="G32" s="126"/>
      <c r="H32" s="128">
        <f t="shared" si="0"/>
        <v>0</v>
      </c>
      <c r="I32" s="95"/>
      <c r="J32" s="129"/>
      <c r="K32" s="74"/>
      <c r="L32" s="97"/>
      <c r="M32" s="136"/>
      <c r="N32" s="97"/>
      <c r="O32" s="263"/>
      <c r="P32" s="131"/>
      <c r="Q32" s="74"/>
      <c r="R32" s="77"/>
      <c r="S32" s="114"/>
      <c r="T32" s="73"/>
      <c r="U32" s="77"/>
      <c r="V32" s="257"/>
      <c r="Z32" s="116"/>
    </row>
    <row r="33" spans="1:26">
      <c r="A33" s="93">
        <v>20</v>
      </c>
      <c r="B33" s="73"/>
      <c r="C33" s="74"/>
      <c r="D33" s="75"/>
      <c r="E33" s="76"/>
      <c r="F33" s="77"/>
      <c r="G33" s="126"/>
      <c r="H33" s="128">
        <f>G33*E33</f>
        <v>0</v>
      </c>
      <c r="I33" s="95"/>
      <c r="J33" s="129"/>
      <c r="K33" s="74"/>
      <c r="L33" s="97"/>
      <c r="M33" s="136"/>
      <c r="N33" s="97"/>
      <c r="O33" s="263"/>
      <c r="P33" s="131"/>
      <c r="Q33" s="74"/>
      <c r="R33" s="77"/>
      <c r="S33" s="114"/>
      <c r="T33" s="73"/>
      <c r="U33" s="77"/>
      <c r="V33" s="257"/>
      <c r="Z33" s="116"/>
    </row>
    <row r="34" spans="1:26">
      <c r="A34" s="93">
        <v>21</v>
      </c>
      <c r="B34" s="73"/>
      <c r="C34" s="74"/>
      <c r="D34" s="75"/>
      <c r="E34" s="76"/>
      <c r="F34" s="77"/>
      <c r="G34" s="126"/>
      <c r="H34" s="128">
        <f>G34*E34</f>
        <v>0</v>
      </c>
      <c r="I34" s="95"/>
      <c r="J34" s="129"/>
      <c r="K34" s="74"/>
      <c r="L34" s="97"/>
      <c r="M34" s="136"/>
      <c r="N34" s="97"/>
      <c r="O34" s="263"/>
      <c r="P34" s="131"/>
      <c r="Q34" s="74"/>
      <c r="R34" s="77"/>
      <c r="S34" s="114"/>
      <c r="T34" s="73"/>
      <c r="U34" s="77"/>
      <c r="V34" s="257"/>
      <c r="Z34" s="116"/>
    </row>
    <row r="35" spans="1:26">
      <c r="A35" s="113">
        <v>22</v>
      </c>
      <c r="B35" s="73"/>
      <c r="C35" s="74"/>
      <c r="D35" s="75"/>
      <c r="E35" s="76"/>
      <c r="F35" s="77"/>
      <c r="G35" s="126"/>
      <c r="H35" s="128">
        <f>G35*E35</f>
        <v>0</v>
      </c>
      <c r="I35" s="95"/>
      <c r="J35" s="129"/>
      <c r="K35" s="74"/>
      <c r="L35" s="97"/>
      <c r="M35" s="136"/>
      <c r="N35" s="97"/>
      <c r="O35" s="263"/>
      <c r="P35" s="131"/>
      <c r="Q35" s="74"/>
      <c r="R35" s="77"/>
      <c r="S35" s="114"/>
      <c r="T35" s="73"/>
      <c r="U35" s="77"/>
      <c r="V35" s="257"/>
      <c r="Z35" s="116"/>
    </row>
    <row r="36" spans="1:26" s="119" customFormat="1" ht="16.5" thickBot="1">
      <c r="A36" s="113">
        <v>23</v>
      </c>
      <c r="B36" s="138"/>
      <c r="C36" s="139"/>
      <c r="D36" s="140"/>
      <c r="E36" s="141"/>
      <c r="F36" s="142"/>
      <c r="G36" s="143"/>
      <c r="H36" s="144">
        <f t="shared" si="0"/>
        <v>0</v>
      </c>
      <c r="I36" s="145"/>
      <c r="J36" s="129"/>
      <c r="K36" s="147"/>
      <c r="L36" s="146"/>
      <c r="M36" s="148"/>
      <c r="N36" s="146"/>
      <c r="O36" s="265"/>
      <c r="P36" s="149"/>
      <c r="Q36" s="139"/>
      <c r="R36" s="142"/>
      <c r="S36" s="150"/>
      <c r="T36" s="138"/>
      <c r="U36" s="142"/>
      <c r="V36" s="258"/>
      <c r="Z36" s="14"/>
    </row>
    <row r="37" spans="1:26" ht="23.25" customHeight="1" thickTop="1" thickBot="1">
      <c r="A37" s="151"/>
      <c r="B37" s="152"/>
      <c r="C37" s="152"/>
      <c r="D37" s="152"/>
      <c r="E37" s="153"/>
      <c r="F37" s="154" t="s">
        <v>196</v>
      </c>
      <c r="G37" s="155">
        <f>SUM(G14:G36)</f>
        <v>0</v>
      </c>
      <c r="H37" s="156">
        <f>SUM(H14:H36)</f>
        <v>0</v>
      </c>
      <c r="I37" s="248"/>
      <c r="J37" s="249"/>
      <c r="K37" s="298" t="s">
        <v>197</v>
      </c>
      <c r="L37" s="298"/>
      <c r="M37" s="298"/>
      <c r="N37" s="299"/>
      <c r="O37" s="259">
        <f>SUM(O14:O36)</f>
        <v>0</v>
      </c>
      <c r="P37" s="260"/>
      <c r="Q37" s="250"/>
      <c r="R37" s="251"/>
      <c r="S37" s="252"/>
      <c r="T37" s="295" t="s">
        <v>198</v>
      </c>
      <c r="U37" s="296"/>
      <c r="V37" s="259">
        <f>SUM(V14:V36)</f>
        <v>0</v>
      </c>
      <c r="Z37" s="116"/>
    </row>
    <row r="38" spans="1:26" ht="16.5" thickTop="1">
      <c r="Z38" s="116"/>
    </row>
    <row r="39" spans="1:26">
      <c r="C39" s="157" t="s">
        <v>199</v>
      </c>
      <c r="D39" s="158"/>
    </row>
    <row r="43" spans="1:26">
      <c r="K43" s="159"/>
    </row>
    <row r="48" spans="1:26">
      <c r="D48" s="122"/>
      <c r="E48" s="14"/>
      <c r="F48" s="122"/>
      <c r="G48" s="123"/>
      <c r="J48" s="120"/>
      <c r="K48" s="120"/>
      <c r="L48" s="14"/>
      <c r="N48" s="14"/>
      <c r="R48" s="121"/>
      <c r="T48" s="14"/>
    </row>
    <row r="49" spans="4:20">
      <c r="D49" s="122"/>
      <c r="E49" s="14"/>
      <c r="F49" s="122"/>
      <c r="G49" s="123"/>
      <c r="J49" s="120"/>
      <c r="K49" s="120"/>
      <c r="L49" s="14"/>
      <c r="N49" s="14"/>
      <c r="R49" s="121"/>
      <c r="T49" s="14"/>
    </row>
    <row r="50" spans="4:20">
      <c r="D50" s="122"/>
      <c r="E50" s="14"/>
      <c r="F50" s="122"/>
      <c r="G50" s="123"/>
      <c r="J50" s="120"/>
      <c r="K50" s="120"/>
      <c r="L50" s="14"/>
      <c r="N50" s="14"/>
      <c r="R50" s="121"/>
      <c r="T50" s="14"/>
    </row>
    <row r="51" spans="4:20">
      <c r="D51" s="122"/>
      <c r="E51" s="14"/>
      <c r="F51" s="122"/>
      <c r="G51" s="123"/>
      <c r="J51" s="120"/>
      <c r="K51" s="120"/>
      <c r="L51" s="14"/>
      <c r="N51" s="14"/>
      <c r="R51" s="121"/>
      <c r="T51" s="14"/>
    </row>
    <row r="52" spans="4:20">
      <c r="D52" s="122"/>
      <c r="E52" s="14"/>
      <c r="F52" s="122"/>
      <c r="G52" s="123"/>
      <c r="J52" s="120"/>
      <c r="K52" s="120"/>
      <c r="L52" s="14"/>
      <c r="N52" s="14"/>
      <c r="R52" s="121"/>
      <c r="T52" s="14"/>
    </row>
    <row r="53" spans="4:20">
      <c r="D53" s="122"/>
      <c r="E53" s="14"/>
      <c r="F53" s="122"/>
      <c r="G53" s="123"/>
      <c r="J53" s="120"/>
      <c r="K53" s="120"/>
      <c r="L53" s="14"/>
      <c r="N53" s="14"/>
      <c r="R53" s="121"/>
      <c r="T53" s="14"/>
    </row>
    <row r="54" spans="4:20">
      <c r="D54" s="122"/>
      <c r="E54" s="14"/>
      <c r="F54" s="122"/>
      <c r="G54" s="123"/>
      <c r="J54" s="120"/>
      <c r="K54" s="120"/>
      <c r="L54" s="14"/>
      <c r="N54" s="14"/>
      <c r="R54" s="121"/>
      <c r="T54" s="14"/>
    </row>
    <row r="55" spans="4:20">
      <c r="D55" s="122"/>
      <c r="E55" s="14"/>
      <c r="F55" s="122"/>
      <c r="G55" s="123"/>
      <c r="J55" s="120"/>
      <c r="K55" s="120"/>
      <c r="L55" s="14"/>
      <c r="N55" s="14"/>
      <c r="R55" s="121"/>
      <c r="T55" s="14"/>
    </row>
    <row r="56" spans="4:20">
      <c r="D56" s="122"/>
      <c r="E56" s="14"/>
      <c r="F56" s="122"/>
      <c r="G56" s="123"/>
      <c r="J56" s="120"/>
      <c r="K56" s="120"/>
      <c r="L56" s="14"/>
      <c r="N56" s="14"/>
      <c r="R56" s="121"/>
      <c r="T56" s="14"/>
    </row>
    <row r="57" spans="4:20">
      <c r="D57" s="122"/>
      <c r="E57" s="14"/>
      <c r="F57" s="122"/>
      <c r="G57" s="123"/>
      <c r="J57" s="120"/>
      <c r="K57" s="120"/>
      <c r="L57" s="14"/>
      <c r="N57" s="14"/>
      <c r="R57" s="121"/>
      <c r="T57" s="14"/>
    </row>
    <row r="58" spans="4:20">
      <c r="D58" s="122"/>
      <c r="E58" s="14"/>
      <c r="F58" s="122"/>
      <c r="G58" s="123"/>
      <c r="J58" s="120"/>
      <c r="K58" s="120"/>
      <c r="L58" s="14"/>
      <c r="N58" s="14"/>
      <c r="R58" s="121"/>
      <c r="T58" s="14"/>
    </row>
    <row r="59" spans="4:20">
      <c r="D59" s="122"/>
      <c r="E59" s="14"/>
      <c r="F59" s="122"/>
      <c r="G59" s="123"/>
      <c r="J59" s="120"/>
      <c r="K59" s="120"/>
      <c r="L59" s="14"/>
      <c r="N59" s="14"/>
      <c r="R59" s="121"/>
      <c r="T59" s="14"/>
    </row>
    <row r="60" spans="4:20">
      <c r="D60" s="122"/>
      <c r="E60" s="14"/>
      <c r="F60" s="122"/>
      <c r="G60" s="123"/>
      <c r="J60" s="120"/>
      <c r="K60" s="120"/>
      <c r="L60" s="14"/>
      <c r="N60" s="14"/>
      <c r="R60" s="121"/>
      <c r="T60" s="14"/>
    </row>
    <row r="61" spans="4:20">
      <c r="D61" s="122"/>
      <c r="E61" s="14"/>
      <c r="F61" s="122"/>
      <c r="G61" s="123"/>
      <c r="J61" s="120"/>
      <c r="K61" s="120"/>
      <c r="L61" s="14"/>
      <c r="N61" s="14"/>
      <c r="R61" s="121"/>
      <c r="T61" s="14"/>
    </row>
    <row r="62" spans="4:20">
      <c r="D62" s="122"/>
      <c r="E62" s="14"/>
      <c r="F62" s="122"/>
      <c r="G62" s="123"/>
      <c r="J62" s="120"/>
      <c r="K62" s="120"/>
      <c r="L62" s="14"/>
      <c r="N62" s="14"/>
      <c r="R62" s="121"/>
      <c r="T62" s="14"/>
    </row>
    <row r="63" spans="4:20">
      <c r="D63" s="122"/>
      <c r="E63" s="14"/>
      <c r="F63" s="122"/>
      <c r="G63" s="123"/>
      <c r="J63" s="120"/>
      <c r="K63" s="120"/>
      <c r="L63" s="14"/>
      <c r="N63" s="14"/>
      <c r="R63" s="121"/>
      <c r="T63" s="14"/>
    </row>
    <row r="64" spans="4:20">
      <c r="D64" s="122"/>
      <c r="E64" s="14"/>
      <c r="F64" s="122"/>
      <c r="G64" s="123"/>
      <c r="J64" s="120"/>
      <c r="K64" s="120"/>
      <c r="L64" s="14"/>
      <c r="N64" s="14"/>
      <c r="R64" s="121"/>
      <c r="T64" s="14"/>
    </row>
    <row r="65" spans="4:20">
      <c r="D65" s="122"/>
      <c r="E65" s="14"/>
      <c r="F65" s="122"/>
      <c r="G65" s="123"/>
      <c r="J65" s="120"/>
      <c r="K65" s="120"/>
      <c r="L65" s="14"/>
      <c r="N65" s="14"/>
      <c r="R65" s="121"/>
      <c r="T65" s="14"/>
    </row>
    <row r="66" spans="4:20">
      <c r="D66" s="122"/>
      <c r="E66" s="14"/>
      <c r="F66" s="122"/>
      <c r="G66" s="123"/>
      <c r="J66" s="120"/>
      <c r="K66" s="120"/>
      <c r="L66" s="14"/>
      <c r="N66" s="14"/>
      <c r="R66" s="121"/>
      <c r="T66" s="14"/>
    </row>
    <row r="67" spans="4:20">
      <c r="D67" s="122"/>
      <c r="E67" s="14"/>
      <c r="F67" s="122"/>
      <c r="G67" s="123"/>
      <c r="J67" s="120"/>
      <c r="K67" s="120"/>
      <c r="L67" s="14"/>
      <c r="N67" s="14"/>
      <c r="R67" s="121"/>
      <c r="T67" s="14"/>
    </row>
    <row r="68" spans="4:20">
      <c r="D68" s="122"/>
      <c r="E68" s="14"/>
      <c r="F68" s="122"/>
      <c r="G68" s="123"/>
      <c r="J68" s="120"/>
      <c r="K68" s="120"/>
      <c r="L68" s="14"/>
      <c r="N68" s="14"/>
      <c r="R68" s="121"/>
      <c r="T68" s="14"/>
    </row>
    <row r="69" spans="4:20">
      <c r="D69" s="122"/>
      <c r="E69" s="14"/>
      <c r="F69" s="122"/>
      <c r="G69" s="123"/>
      <c r="J69" s="120"/>
      <c r="K69" s="120"/>
      <c r="L69" s="14"/>
      <c r="N69" s="14"/>
      <c r="R69" s="121"/>
      <c r="T69" s="14"/>
    </row>
    <row r="70" spans="4:20">
      <c r="D70" s="122"/>
      <c r="E70" s="14"/>
      <c r="F70" s="122"/>
      <c r="G70" s="123"/>
      <c r="J70" s="120"/>
      <c r="K70" s="120"/>
      <c r="L70" s="14"/>
      <c r="N70" s="14"/>
      <c r="R70" s="121"/>
      <c r="T70" s="14"/>
    </row>
    <row r="71" spans="4:20">
      <c r="D71" s="122"/>
      <c r="E71" s="14"/>
      <c r="F71" s="122"/>
      <c r="G71" s="123"/>
      <c r="J71" s="120"/>
      <c r="K71" s="120"/>
      <c r="L71" s="14"/>
      <c r="N71" s="14"/>
      <c r="R71" s="121"/>
      <c r="T71" s="14"/>
    </row>
    <row r="72" spans="4:20">
      <c r="D72" s="122"/>
      <c r="E72" s="14"/>
      <c r="F72" s="122"/>
      <c r="G72" s="123"/>
      <c r="J72" s="120"/>
      <c r="K72" s="120"/>
      <c r="L72" s="14"/>
      <c r="N72" s="14"/>
      <c r="R72" s="121"/>
      <c r="T72" s="14"/>
    </row>
    <row r="73" spans="4:20">
      <c r="D73" s="122"/>
      <c r="E73" s="14"/>
      <c r="F73" s="122"/>
      <c r="G73" s="123"/>
      <c r="J73" s="120"/>
      <c r="K73" s="120"/>
      <c r="L73" s="14"/>
      <c r="N73" s="14"/>
      <c r="R73" s="121"/>
      <c r="T73" s="14"/>
    </row>
    <row r="74" spans="4:20">
      <c r="D74" s="122"/>
      <c r="E74" s="14"/>
      <c r="F74" s="122"/>
      <c r="G74" s="123"/>
      <c r="J74" s="120"/>
      <c r="K74" s="120"/>
      <c r="L74" s="14"/>
      <c r="N74" s="14"/>
      <c r="R74" s="121"/>
      <c r="T74" s="14"/>
    </row>
    <row r="75" spans="4:20">
      <c r="D75" s="122"/>
      <c r="E75" s="14"/>
      <c r="F75" s="122"/>
      <c r="G75" s="123"/>
      <c r="J75" s="120"/>
      <c r="K75" s="120"/>
      <c r="L75" s="14"/>
      <c r="N75" s="14"/>
      <c r="R75" s="121"/>
      <c r="T75" s="14"/>
    </row>
  </sheetData>
  <autoFilter ref="A12:U12" xr:uid="{00000000-0009-0000-0000-000003000000}"/>
  <mergeCells count="20">
    <mergeCell ref="T37:U37"/>
    <mergeCell ref="D9:E9"/>
    <mergeCell ref="D10:E10"/>
    <mergeCell ref="D4:F4"/>
    <mergeCell ref="D6:E6"/>
    <mergeCell ref="D8:E8"/>
    <mergeCell ref="D7:E7"/>
    <mergeCell ref="K37:N37"/>
    <mergeCell ref="F6:G6"/>
    <mergeCell ref="F8:G8"/>
    <mergeCell ref="F9:G9"/>
    <mergeCell ref="F10:G10"/>
    <mergeCell ref="F7:G7"/>
    <mergeCell ref="G4:H4"/>
    <mergeCell ref="I3:K3"/>
    <mergeCell ref="I4:K4"/>
    <mergeCell ref="D3:F3"/>
    <mergeCell ref="U3:V3"/>
    <mergeCell ref="U4:V4"/>
    <mergeCell ref="G3:H3"/>
  </mergeCells>
  <phoneticPr fontId="1"/>
  <conditionalFormatting sqref="A14:V36">
    <cfRule type="expression" dxfId="0" priority="1" stopIfTrue="1">
      <formula>$T14="消滅"</formula>
    </cfRule>
  </conditionalFormatting>
  <dataValidations count="2">
    <dataValidation type="list" allowBlank="1" showInputMessage="1" showErrorMessage="1" sqref="T14:T36" xr:uid="{00000000-0002-0000-0300-000000000000}">
      <formula1>"監視継続,顕在化,消滅"</formula1>
    </dataValidation>
    <dataValidation type="list" allowBlank="1" showInputMessage="1" showErrorMessage="1" sqref="J14:J36" xr:uid="{00000000-0002-0000-0300-000002000000}">
      <formula1>"回避,転嫁,軽減,受容"</formula1>
    </dataValidation>
  </dataValidations>
  <hyperlinks>
    <hyperlink ref="J11" location="対応方針の説明" display="※対応方針についての詳細説明はこちら" xr:uid="{910E85CC-8A18-4854-AFB1-2A1547A27103}"/>
  </hyperlinks>
  <pageMargins left="0.74803149606299213" right="0.74803149606299213" top="0.98425196850393704" bottom="0.98425196850393704" header="0.51181102362204722" footer="0.51181102362204722"/>
  <pageSetup paperSize="9" scale="25" fitToHeight="0" orientation="portrait" r:id="rId1"/>
  <headerFooter alignWithMargins="0">
    <oddFooter>&amp;L伊藤忠テクノソリューションズ株式会社&amp;C&amp;P/&amp;N&amp;RCQMS-S-102T5 Ver.09.50</oddFooter>
  </headerFooter>
  <legacyDrawing r:id="rId2"/>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【編集不可】リスク観点リスト!$A$2:$A$29</xm:f>
          </x14:formula1>
          <xm:sqref>D14:D36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I51"/>
  <sheetViews>
    <sheetView zoomScaleNormal="100" workbookViewId="0"/>
  </sheetViews>
  <sheetFormatPr defaultColWidth="9.140625" defaultRowHeight="22.5"/>
  <cols>
    <col min="1" max="1" width="7" style="217" bestFit="1" customWidth="1"/>
    <col min="2" max="2" width="13.42578125" style="218" bestFit="1" customWidth="1"/>
    <col min="3" max="3" width="22.140625" style="196" bestFit="1" customWidth="1"/>
    <col min="4" max="4" width="24.140625" style="196" bestFit="1" customWidth="1"/>
    <col min="5" max="5" width="11.85546875" style="218" bestFit="1" customWidth="1"/>
    <col min="6" max="6" width="52" style="196" customWidth="1"/>
    <col min="7" max="7" width="43.85546875" style="219" customWidth="1"/>
    <col min="8" max="8" width="41.140625" style="196" bestFit="1" customWidth="1"/>
    <col min="9" max="9" width="11.42578125" style="196" customWidth="1"/>
    <col min="10" max="16384" width="9.140625" style="196"/>
  </cols>
  <sheetData>
    <row r="1" spans="1:9">
      <c r="A1" s="220" t="s">
        <v>200</v>
      </c>
    </row>
    <row r="2" spans="1:9" ht="23.1" thickBot="1"/>
    <row r="3" spans="1:9">
      <c r="A3" s="302" t="s">
        <v>201</v>
      </c>
      <c r="B3" s="304" t="s">
        <v>202</v>
      </c>
      <c r="C3" s="304" t="s">
        <v>203</v>
      </c>
      <c r="D3" s="304" t="s">
        <v>204</v>
      </c>
      <c r="E3" s="304" t="s">
        <v>205</v>
      </c>
      <c r="F3" s="304" t="s">
        <v>206</v>
      </c>
      <c r="G3" s="306" t="s">
        <v>207</v>
      </c>
      <c r="H3" s="306" t="s">
        <v>208</v>
      </c>
      <c r="I3" s="308" t="s">
        <v>209</v>
      </c>
    </row>
    <row r="4" spans="1:9" ht="24" customHeight="1">
      <c r="A4" s="303"/>
      <c r="B4" s="305"/>
      <c r="C4" s="305"/>
      <c r="D4" s="305"/>
      <c r="E4" s="305"/>
      <c r="F4" s="305"/>
      <c r="G4" s="307"/>
      <c r="H4" s="307"/>
      <c r="I4" s="309"/>
    </row>
    <row r="5" spans="1:9" ht="96">
      <c r="A5" s="197">
        <v>1</v>
      </c>
      <c r="B5" s="310" t="s">
        <v>210</v>
      </c>
      <c r="C5" s="311" t="s">
        <v>211</v>
      </c>
      <c r="D5" s="198" t="s">
        <v>212</v>
      </c>
      <c r="E5" s="199" t="s">
        <v>213</v>
      </c>
      <c r="F5" s="198" t="s">
        <v>214</v>
      </c>
      <c r="G5" s="200" t="s">
        <v>215</v>
      </c>
      <c r="H5" s="198" t="s">
        <v>216</v>
      </c>
      <c r="I5" s="201"/>
    </row>
    <row r="6" spans="1:9" ht="63.95">
      <c r="A6" s="197">
        <v>2</v>
      </c>
      <c r="B6" s="310"/>
      <c r="C6" s="311"/>
      <c r="D6" s="198" t="s">
        <v>217</v>
      </c>
      <c r="E6" s="199" t="s">
        <v>218</v>
      </c>
      <c r="F6" s="198" t="s">
        <v>219</v>
      </c>
      <c r="G6" s="200" t="s">
        <v>220</v>
      </c>
      <c r="H6" s="198" t="s">
        <v>221</v>
      </c>
      <c r="I6" s="201"/>
    </row>
    <row r="7" spans="1:9" ht="96">
      <c r="A7" s="197">
        <v>3</v>
      </c>
      <c r="B7" s="310"/>
      <c r="C7" s="311" t="s">
        <v>222</v>
      </c>
      <c r="D7" s="198" t="s">
        <v>223</v>
      </c>
      <c r="E7" s="199" t="s">
        <v>224</v>
      </c>
      <c r="F7" s="198" t="s">
        <v>225</v>
      </c>
      <c r="G7" s="200" t="s">
        <v>226</v>
      </c>
      <c r="H7" s="198" t="s">
        <v>227</v>
      </c>
      <c r="I7" s="201"/>
    </row>
    <row r="8" spans="1:9" ht="80.099999999999994">
      <c r="A8" s="197">
        <v>4</v>
      </c>
      <c r="B8" s="310"/>
      <c r="C8" s="311"/>
      <c r="D8" s="198" t="s">
        <v>228</v>
      </c>
      <c r="E8" s="199" t="s">
        <v>229</v>
      </c>
      <c r="F8" s="198" t="s">
        <v>230</v>
      </c>
      <c r="G8" s="200" t="s">
        <v>231</v>
      </c>
      <c r="H8" s="198" t="s">
        <v>232</v>
      </c>
      <c r="I8" s="201"/>
    </row>
    <row r="9" spans="1:9" ht="96">
      <c r="A9" s="197">
        <v>5</v>
      </c>
      <c r="B9" s="310"/>
      <c r="C9" s="311"/>
      <c r="D9" s="198" t="s">
        <v>233</v>
      </c>
      <c r="E9" s="199" t="s">
        <v>234</v>
      </c>
      <c r="F9" s="198" t="s">
        <v>235</v>
      </c>
      <c r="G9" s="200" t="s">
        <v>236</v>
      </c>
      <c r="H9" s="198" t="s">
        <v>237</v>
      </c>
      <c r="I9" s="201"/>
    </row>
    <row r="10" spans="1:9" ht="159.94999999999999">
      <c r="A10" s="197">
        <v>6</v>
      </c>
      <c r="B10" s="310"/>
      <c r="C10" s="311"/>
      <c r="D10" s="198" t="s">
        <v>238</v>
      </c>
      <c r="E10" s="199" t="s">
        <v>239</v>
      </c>
      <c r="F10" s="198" t="s">
        <v>240</v>
      </c>
      <c r="G10" s="200" t="s">
        <v>241</v>
      </c>
      <c r="H10" s="198" t="s">
        <v>242</v>
      </c>
      <c r="I10" s="201"/>
    </row>
    <row r="11" spans="1:9" s="203" customFormat="1" ht="159.94999999999999">
      <c r="A11" s="197">
        <v>7</v>
      </c>
      <c r="B11" s="198" t="s">
        <v>243</v>
      </c>
      <c r="C11" s="198" t="s">
        <v>244</v>
      </c>
      <c r="D11" s="198" t="s">
        <v>245</v>
      </c>
      <c r="E11" s="199" t="s">
        <v>246</v>
      </c>
      <c r="F11" s="198" t="s">
        <v>247</v>
      </c>
      <c r="G11" s="200" t="s">
        <v>248</v>
      </c>
      <c r="H11" s="198" t="s">
        <v>249</v>
      </c>
      <c r="I11" s="202"/>
    </row>
    <row r="12" spans="1:9" ht="111.95">
      <c r="A12" s="197">
        <v>8</v>
      </c>
      <c r="B12" s="312" t="s">
        <v>250</v>
      </c>
      <c r="C12" s="311" t="s">
        <v>251</v>
      </c>
      <c r="D12" s="198" t="s">
        <v>252</v>
      </c>
      <c r="E12" s="199" t="s">
        <v>253</v>
      </c>
      <c r="F12" s="198" t="s">
        <v>254</v>
      </c>
      <c r="G12" s="200" t="s">
        <v>255</v>
      </c>
      <c r="H12" s="198" t="s">
        <v>256</v>
      </c>
      <c r="I12" s="201"/>
    </row>
    <row r="13" spans="1:9" ht="96">
      <c r="A13" s="197">
        <v>9</v>
      </c>
      <c r="B13" s="312"/>
      <c r="C13" s="311"/>
      <c r="D13" s="198" t="s">
        <v>257</v>
      </c>
      <c r="E13" s="199" t="s">
        <v>258</v>
      </c>
      <c r="F13" s="198" t="s">
        <v>259</v>
      </c>
      <c r="G13" s="200" t="s">
        <v>260</v>
      </c>
      <c r="H13" s="198" t="s">
        <v>261</v>
      </c>
      <c r="I13" s="201"/>
    </row>
    <row r="14" spans="1:9" ht="111.95">
      <c r="A14" s="197">
        <v>10</v>
      </c>
      <c r="B14" s="312"/>
      <c r="C14" s="311"/>
      <c r="D14" s="198" t="s">
        <v>262</v>
      </c>
      <c r="E14" s="199" t="s">
        <v>263</v>
      </c>
      <c r="F14" s="198" t="s">
        <v>264</v>
      </c>
      <c r="G14" s="200" t="s">
        <v>265</v>
      </c>
      <c r="H14" s="198" t="s">
        <v>266</v>
      </c>
      <c r="I14" s="201"/>
    </row>
    <row r="15" spans="1:9" ht="96">
      <c r="A15" s="197">
        <v>11</v>
      </c>
      <c r="B15" s="312"/>
      <c r="C15" s="311"/>
      <c r="D15" s="198" t="s">
        <v>267</v>
      </c>
      <c r="E15" s="199" t="s">
        <v>268</v>
      </c>
      <c r="F15" s="198" t="s">
        <v>269</v>
      </c>
      <c r="G15" s="200" t="s">
        <v>270</v>
      </c>
      <c r="H15" s="198" t="s">
        <v>271</v>
      </c>
      <c r="I15" s="201"/>
    </row>
    <row r="16" spans="1:9" ht="111.95">
      <c r="A16" s="197">
        <v>12</v>
      </c>
      <c r="B16" s="312"/>
      <c r="C16" s="311"/>
      <c r="D16" s="204" t="s">
        <v>272</v>
      </c>
      <c r="E16" s="205" t="s">
        <v>273</v>
      </c>
      <c r="F16" s="198" t="s">
        <v>274</v>
      </c>
      <c r="G16" s="200" t="s">
        <v>275</v>
      </c>
      <c r="H16" s="198" t="s">
        <v>276</v>
      </c>
      <c r="I16" s="201"/>
    </row>
    <row r="17" spans="1:9" ht="111.95">
      <c r="A17" s="197">
        <v>13</v>
      </c>
      <c r="B17" s="312"/>
      <c r="C17" s="311" t="s">
        <v>277</v>
      </c>
      <c r="D17" s="198" t="s">
        <v>278</v>
      </c>
      <c r="E17" s="199" t="s">
        <v>279</v>
      </c>
      <c r="F17" s="198" t="s">
        <v>280</v>
      </c>
      <c r="G17" s="200" t="s">
        <v>281</v>
      </c>
      <c r="H17" s="198" t="s">
        <v>282</v>
      </c>
      <c r="I17" s="201"/>
    </row>
    <row r="18" spans="1:9" ht="128.1">
      <c r="A18" s="197">
        <v>14</v>
      </c>
      <c r="B18" s="312"/>
      <c r="C18" s="311"/>
      <c r="D18" s="198" t="s">
        <v>283</v>
      </c>
      <c r="E18" s="199" t="s">
        <v>284</v>
      </c>
      <c r="F18" s="198" t="s">
        <v>285</v>
      </c>
      <c r="G18" s="200" t="s">
        <v>286</v>
      </c>
      <c r="H18" s="198" t="s">
        <v>287</v>
      </c>
      <c r="I18" s="201"/>
    </row>
    <row r="19" spans="1:9" ht="128.1">
      <c r="A19" s="197">
        <v>15</v>
      </c>
      <c r="B19" s="310" t="s">
        <v>288</v>
      </c>
      <c r="C19" s="311" t="s">
        <v>289</v>
      </c>
      <c r="D19" s="198" t="s">
        <v>290</v>
      </c>
      <c r="E19" s="199" t="s">
        <v>291</v>
      </c>
      <c r="F19" s="198" t="s">
        <v>292</v>
      </c>
      <c r="G19" s="200" t="s">
        <v>293</v>
      </c>
      <c r="H19" s="198" t="s">
        <v>294</v>
      </c>
      <c r="I19" s="201"/>
    </row>
    <row r="20" spans="1:9" ht="128.1">
      <c r="A20" s="197">
        <v>16</v>
      </c>
      <c r="B20" s="310"/>
      <c r="C20" s="311"/>
      <c r="D20" s="198" t="s">
        <v>295</v>
      </c>
      <c r="E20" s="199" t="s">
        <v>296</v>
      </c>
      <c r="F20" s="198" t="s">
        <v>297</v>
      </c>
      <c r="G20" s="200" t="s">
        <v>298</v>
      </c>
      <c r="H20" s="198" t="s">
        <v>299</v>
      </c>
      <c r="I20" s="201"/>
    </row>
    <row r="21" spans="1:9" ht="48">
      <c r="A21" s="197">
        <v>17</v>
      </c>
      <c r="B21" s="310"/>
      <c r="C21" s="311"/>
      <c r="D21" s="198" t="s">
        <v>300</v>
      </c>
      <c r="E21" s="199" t="s">
        <v>301</v>
      </c>
      <c r="F21" s="198" t="s">
        <v>302</v>
      </c>
      <c r="G21" s="200" t="s">
        <v>303</v>
      </c>
      <c r="H21" s="198" t="s">
        <v>304</v>
      </c>
      <c r="I21" s="201"/>
    </row>
    <row r="22" spans="1:9" ht="80.099999999999994">
      <c r="A22" s="197">
        <v>18</v>
      </c>
      <c r="B22" s="310"/>
      <c r="C22" s="198" t="s">
        <v>305</v>
      </c>
      <c r="D22" s="198" t="s">
        <v>306</v>
      </c>
      <c r="E22" s="199" t="s">
        <v>307</v>
      </c>
      <c r="F22" s="198" t="s">
        <v>308</v>
      </c>
      <c r="G22" s="200" t="s">
        <v>309</v>
      </c>
      <c r="H22" s="198" t="s">
        <v>306</v>
      </c>
      <c r="I22" s="201"/>
    </row>
    <row r="23" spans="1:9" ht="48">
      <c r="A23" s="197">
        <v>19</v>
      </c>
      <c r="B23" s="310"/>
      <c r="C23" s="311" t="s">
        <v>310</v>
      </c>
      <c r="D23" s="198" t="s">
        <v>311</v>
      </c>
      <c r="E23" s="199" t="s">
        <v>312</v>
      </c>
      <c r="F23" s="198" t="s">
        <v>313</v>
      </c>
      <c r="G23" s="200" t="s">
        <v>314</v>
      </c>
      <c r="H23" s="198" t="s">
        <v>315</v>
      </c>
      <c r="I23" s="201"/>
    </row>
    <row r="24" spans="1:9" ht="48">
      <c r="A24" s="197">
        <v>20</v>
      </c>
      <c r="B24" s="310"/>
      <c r="C24" s="311"/>
      <c r="D24" s="198" t="s">
        <v>316</v>
      </c>
      <c r="E24" s="199" t="s">
        <v>317</v>
      </c>
      <c r="F24" s="198" t="s">
        <v>318</v>
      </c>
      <c r="G24" s="200" t="s">
        <v>314</v>
      </c>
      <c r="H24" s="198" t="s">
        <v>319</v>
      </c>
      <c r="I24" s="201"/>
    </row>
    <row r="25" spans="1:9" ht="74.25" customHeight="1">
      <c r="A25" s="197">
        <v>21</v>
      </c>
      <c r="B25" s="310"/>
      <c r="C25" s="311"/>
      <c r="D25" s="198" t="s">
        <v>320</v>
      </c>
      <c r="E25" s="199" t="s">
        <v>321</v>
      </c>
      <c r="F25" s="198" t="s">
        <v>322</v>
      </c>
      <c r="G25" s="200" t="s">
        <v>323</v>
      </c>
      <c r="H25" s="198" t="s">
        <v>324</v>
      </c>
      <c r="I25" s="201"/>
    </row>
    <row r="26" spans="1:9" ht="80.099999999999994">
      <c r="A26" s="197">
        <v>22</v>
      </c>
      <c r="B26" s="310"/>
      <c r="C26" s="311"/>
      <c r="D26" s="206" t="s">
        <v>325</v>
      </c>
      <c r="E26" s="199" t="s">
        <v>326</v>
      </c>
      <c r="F26" s="198" t="s">
        <v>327</v>
      </c>
      <c r="G26" s="200" t="s">
        <v>328</v>
      </c>
      <c r="H26" s="198" t="s">
        <v>329</v>
      </c>
      <c r="I26" s="201"/>
    </row>
    <row r="27" spans="1:9" ht="48">
      <c r="A27" s="197">
        <v>23</v>
      </c>
      <c r="B27" s="310"/>
      <c r="C27" s="311"/>
      <c r="D27" s="206" t="s">
        <v>330</v>
      </c>
      <c r="E27" s="199" t="s">
        <v>331</v>
      </c>
      <c r="F27" s="198" t="s">
        <v>332</v>
      </c>
      <c r="G27" s="200" t="s">
        <v>333</v>
      </c>
      <c r="H27" s="198" t="s">
        <v>334</v>
      </c>
      <c r="I27" s="201"/>
    </row>
    <row r="28" spans="1:9" ht="96">
      <c r="A28" s="197">
        <v>24</v>
      </c>
      <c r="B28" s="310"/>
      <c r="C28" s="311" t="s">
        <v>335</v>
      </c>
      <c r="D28" s="198" t="s">
        <v>336</v>
      </c>
      <c r="E28" s="199" t="s">
        <v>337</v>
      </c>
      <c r="F28" s="198" t="s">
        <v>338</v>
      </c>
      <c r="G28" s="200" t="s">
        <v>339</v>
      </c>
      <c r="H28" s="198" t="s">
        <v>340</v>
      </c>
      <c r="I28" s="201"/>
    </row>
    <row r="29" spans="1:9" ht="159.94999999999999">
      <c r="A29" s="197">
        <v>25</v>
      </c>
      <c r="B29" s="310"/>
      <c r="C29" s="311"/>
      <c r="D29" s="198" t="s">
        <v>341</v>
      </c>
      <c r="E29" s="199" t="s">
        <v>342</v>
      </c>
      <c r="F29" s="198" t="s">
        <v>343</v>
      </c>
      <c r="G29" s="200" t="s">
        <v>344</v>
      </c>
      <c r="H29" s="198" t="s">
        <v>345</v>
      </c>
      <c r="I29" s="201"/>
    </row>
    <row r="30" spans="1:9" ht="128.1">
      <c r="A30" s="197">
        <v>26</v>
      </c>
      <c r="B30" s="310"/>
      <c r="C30" s="311"/>
      <c r="D30" s="198" t="s">
        <v>346</v>
      </c>
      <c r="E30" s="199" t="s">
        <v>347</v>
      </c>
      <c r="F30" s="198" t="s">
        <v>348</v>
      </c>
      <c r="G30" s="200" t="s">
        <v>349</v>
      </c>
      <c r="H30" s="198" t="s">
        <v>350</v>
      </c>
      <c r="I30" s="201"/>
    </row>
    <row r="31" spans="1:9" ht="111.95">
      <c r="A31" s="197">
        <v>27</v>
      </c>
      <c r="B31" s="310"/>
      <c r="C31" s="311"/>
      <c r="D31" s="198" t="s">
        <v>351</v>
      </c>
      <c r="E31" s="199" t="s">
        <v>352</v>
      </c>
      <c r="F31" s="198" t="s">
        <v>353</v>
      </c>
      <c r="G31" s="200" t="s">
        <v>354</v>
      </c>
      <c r="H31" s="198" t="s">
        <v>355</v>
      </c>
      <c r="I31" s="201"/>
    </row>
    <row r="32" spans="1:9" ht="80.099999999999994">
      <c r="A32" s="197">
        <v>28</v>
      </c>
      <c r="B32" s="310"/>
      <c r="C32" s="311" t="s">
        <v>356</v>
      </c>
      <c r="D32" s="198" t="s">
        <v>357</v>
      </c>
      <c r="E32" s="199" t="s">
        <v>358</v>
      </c>
      <c r="F32" s="198" t="s">
        <v>359</v>
      </c>
      <c r="G32" s="207" t="s">
        <v>360</v>
      </c>
      <c r="H32" s="198" t="s">
        <v>361</v>
      </c>
      <c r="I32" s="201"/>
    </row>
    <row r="33" spans="1:9" ht="105" customHeight="1">
      <c r="A33" s="197">
        <v>29</v>
      </c>
      <c r="B33" s="310"/>
      <c r="C33" s="311"/>
      <c r="D33" s="198" t="s">
        <v>362</v>
      </c>
      <c r="E33" s="199" t="s">
        <v>363</v>
      </c>
      <c r="F33" s="198" t="s">
        <v>364</v>
      </c>
      <c r="G33" s="207" t="s">
        <v>365</v>
      </c>
      <c r="H33" s="198" t="s">
        <v>366</v>
      </c>
      <c r="I33" s="201"/>
    </row>
    <row r="34" spans="1:9" ht="78.75" customHeight="1">
      <c r="A34" s="197">
        <v>30</v>
      </c>
      <c r="B34" s="310" t="s">
        <v>367</v>
      </c>
      <c r="C34" s="311" t="s">
        <v>368</v>
      </c>
      <c r="D34" s="198" t="s">
        <v>369</v>
      </c>
      <c r="E34" s="199" t="s">
        <v>370</v>
      </c>
      <c r="F34" s="198" t="s">
        <v>371</v>
      </c>
      <c r="G34" s="208" t="s">
        <v>372</v>
      </c>
      <c r="H34" s="198" t="s">
        <v>373</v>
      </c>
      <c r="I34" s="201"/>
    </row>
    <row r="35" spans="1:9" ht="66" customHeight="1">
      <c r="A35" s="197">
        <v>31</v>
      </c>
      <c r="B35" s="310"/>
      <c r="C35" s="311"/>
      <c r="D35" s="198" t="s">
        <v>374</v>
      </c>
      <c r="E35" s="199" t="s">
        <v>375</v>
      </c>
      <c r="F35" s="198" t="s">
        <v>376</v>
      </c>
      <c r="G35" s="208" t="s">
        <v>377</v>
      </c>
      <c r="H35" s="198" t="s">
        <v>378</v>
      </c>
      <c r="I35" s="201"/>
    </row>
    <row r="36" spans="1:9" ht="80.099999999999994">
      <c r="A36" s="197">
        <v>32</v>
      </c>
      <c r="B36" s="310"/>
      <c r="C36" s="311"/>
      <c r="D36" s="198" t="s">
        <v>379</v>
      </c>
      <c r="E36" s="199" t="s">
        <v>380</v>
      </c>
      <c r="F36" s="198" t="s">
        <v>381</v>
      </c>
      <c r="G36" s="208" t="s">
        <v>382</v>
      </c>
      <c r="H36" s="198" t="s">
        <v>383</v>
      </c>
      <c r="I36" s="201"/>
    </row>
    <row r="37" spans="1:9" ht="111.95">
      <c r="A37" s="197">
        <v>33</v>
      </c>
      <c r="B37" s="310"/>
      <c r="C37" s="198" t="s">
        <v>384</v>
      </c>
      <c r="D37" s="198" t="s">
        <v>385</v>
      </c>
      <c r="E37" s="199" t="s">
        <v>386</v>
      </c>
      <c r="F37" s="198" t="s">
        <v>387</v>
      </c>
      <c r="G37" s="208" t="s">
        <v>388</v>
      </c>
      <c r="H37" s="198" t="s">
        <v>389</v>
      </c>
      <c r="I37" s="201"/>
    </row>
    <row r="38" spans="1:9" ht="80.099999999999994">
      <c r="A38" s="197">
        <v>34</v>
      </c>
      <c r="B38" s="310"/>
      <c r="C38" s="198" t="s">
        <v>390</v>
      </c>
      <c r="D38" s="198" t="s">
        <v>391</v>
      </c>
      <c r="E38" s="199" t="s">
        <v>392</v>
      </c>
      <c r="F38" s="198" t="s">
        <v>393</v>
      </c>
      <c r="G38" s="208" t="s">
        <v>377</v>
      </c>
      <c r="H38" s="198" t="s">
        <v>394</v>
      </c>
      <c r="I38" s="201"/>
    </row>
    <row r="39" spans="1:9" ht="63.95">
      <c r="A39" s="197">
        <v>35</v>
      </c>
      <c r="B39" s="310"/>
      <c r="C39" s="198" t="s">
        <v>395</v>
      </c>
      <c r="D39" s="198" t="s">
        <v>396</v>
      </c>
      <c r="E39" s="199" t="s">
        <v>397</v>
      </c>
      <c r="F39" s="198" t="s">
        <v>398</v>
      </c>
      <c r="G39" s="208" t="s">
        <v>377</v>
      </c>
      <c r="H39" s="198" t="s">
        <v>399</v>
      </c>
      <c r="I39" s="201"/>
    </row>
    <row r="40" spans="1:9" ht="48">
      <c r="A40" s="197">
        <v>36</v>
      </c>
      <c r="B40" s="310"/>
      <c r="C40" s="311" t="s">
        <v>400</v>
      </c>
      <c r="D40" s="198" t="s">
        <v>401</v>
      </c>
      <c r="E40" s="199" t="s">
        <v>402</v>
      </c>
      <c r="F40" s="198" t="s">
        <v>403</v>
      </c>
      <c r="G40" s="208" t="s">
        <v>377</v>
      </c>
      <c r="H40" s="198" t="s">
        <v>404</v>
      </c>
      <c r="I40" s="201"/>
    </row>
    <row r="41" spans="1:9" ht="63.95">
      <c r="A41" s="197">
        <v>37</v>
      </c>
      <c r="B41" s="310"/>
      <c r="C41" s="311"/>
      <c r="D41" s="206" t="s">
        <v>405</v>
      </c>
      <c r="E41" s="199" t="s">
        <v>406</v>
      </c>
      <c r="F41" s="206" t="s">
        <v>407</v>
      </c>
      <c r="G41" s="208" t="s">
        <v>377</v>
      </c>
      <c r="H41" s="198" t="s">
        <v>408</v>
      </c>
      <c r="I41" s="201"/>
    </row>
    <row r="42" spans="1:9" ht="119.25" customHeight="1">
      <c r="A42" s="197">
        <v>38</v>
      </c>
      <c r="B42" s="310"/>
      <c r="C42" s="311"/>
      <c r="D42" s="198" t="s">
        <v>409</v>
      </c>
      <c r="E42" s="199" t="s">
        <v>410</v>
      </c>
      <c r="F42" s="198" t="s">
        <v>411</v>
      </c>
      <c r="G42" s="209" t="s">
        <v>412</v>
      </c>
      <c r="H42" s="198" t="s">
        <v>413</v>
      </c>
      <c r="I42" s="201"/>
    </row>
    <row r="43" spans="1:9" ht="96">
      <c r="A43" s="197">
        <v>39</v>
      </c>
      <c r="B43" s="311" t="s">
        <v>414</v>
      </c>
      <c r="C43" s="210" t="s">
        <v>415</v>
      </c>
      <c r="D43" s="210" t="s">
        <v>416</v>
      </c>
      <c r="E43" s="211" t="s">
        <v>417</v>
      </c>
      <c r="F43" s="210" t="s">
        <v>418</v>
      </c>
      <c r="G43" s="209" t="s">
        <v>419</v>
      </c>
      <c r="H43" s="210" t="s">
        <v>420</v>
      </c>
      <c r="I43" s="201"/>
    </row>
    <row r="44" spans="1:9" ht="96">
      <c r="A44" s="197">
        <v>40</v>
      </c>
      <c r="B44" s="311"/>
      <c r="C44" s="210" t="s">
        <v>421</v>
      </c>
      <c r="D44" s="204" t="s">
        <v>421</v>
      </c>
      <c r="E44" s="205" t="s">
        <v>422</v>
      </c>
      <c r="F44" s="204" t="s">
        <v>423</v>
      </c>
      <c r="G44" s="209" t="s">
        <v>424</v>
      </c>
      <c r="H44" s="204" t="s">
        <v>425</v>
      </c>
      <c r="I44" s="201"/>
    </row>
    <row r="45" spans="1:9" ht="63.95">
      <c r="A45" s="197">
        <v>41</v>
      </c>
      <c r="B45" s="311"/>
      <c r="C45" s="314" t="s">
        <v>426</v>
      </c>
      <c r="D45" s="210" t="s">
        <v>427</v>
      </c>
      <c r="E45" s="211" t="s">
        <v>428</v>
      </c>
      <c r="F45" s="210" t="s">
        <v>429</v>
      </c>
      <c r="G45" s="209" t="s">
        <v>430</v>
      </c>
      <c r="H45" s="210" t="s">
        <v>431</v>
      </c>
      <c r="I45" s="201"/>
    </row>
    <row r="46" spans="1:9" ht="63.95">
      <c r="A46" s="197">
        <v>42</v>
      </c>
      <c r="B46" s="311"/>
      <c r="C46" s="314"/>
      <c r="D46" s="210" t="s">
        <v>432</v>
      </c>
      <c r="E46" s="211" t="s">
        <v>433</v>
      </c>
      <c r="F46" s="210" t="s">
        <v>434</v>
      </c>
      <c r="G46" s="209" t="s">
        <v>435</v>
      </c>
      <c r="H46" s="210" t="s">
        <v>436</v>
      </c>
      <c r="I46" s="201"/>
    </row>
    <row r="47" spans="1:9" ht="80.099999999999994">
      <c r="A47" s="197">
        <v>43</v>
      </c>
      <c r="B47" s="311"/>
      <c r="C47" s="314"/>
      <c r="D47" s="204" t="s">
        <v>437</v>
      </c>
      <c r="E47" s="205" t="s">
        <v>438</v>
      </c>
      <c r="F47" s="204" t="s">
        <v>439</v>
      </c>
      <c r="G47" s="209" t="s">
        <v>440</v>
      </c>
      <c r="H47" s="204" t="s">
        <v>441</v>
      </c>
      <c r="I47" s="201"/>
    </row>
    <row r="48" spans="1:9" ht="96">
      <c r="A48" s="197">
        <v>44</v>
      </c>
      <c r="B48" s="311"/>
      <c r="C48" s="210" t="s">
        <v>442</v>
      </c>
      <c r="D48" s="204" t="s">
        <v>443</v>
      </c>
      <c r="E48" s="205" t="s">
        <v>444</v>
      </c>
      <c r="F48" s="204" t="s">
        <v>445</v>
      </c>
      <c r="G48" s="209" t="s">
        <v>446</v>
      </c>
      <c r="H48" s="204" t="s">
        <v>447</v>
      </c>
      <c r="I48" s="201"/>
    </row>
    <row r="49" spans="1:9" ht="111.95">
      <c r="A49" s="197">
        <v>45</v>
      </c>
      <c r="B49" s="311"/>
      <c r="C49" s="314" t="s">
        <v>448</v>
      </c>
      <c r="D49" s="204" t="s">
        <v>449</v>
      </c>
      <c r="E49" s="205" t="s">
        <v>450</v>
      </c>
      <c r="F49" s="204" t="s">
        <v>451</v>
      </c>
      <c r="G49" s="209" t="s">
        <v>452</v>
      </c>
      <c r="H49" s="204" t="s">
        <v>453</v>
      </c>
      <c r="I49" s="201"/>
    </row>
    <row r="50" spans="1:9" ht="63.95">
      <c r="A50" s="197">
        <v>46</v>
      </c>
      <c r="B50" s="311"/>
      <c r="C50" s="314"/>
      <c r="D50" s="204" t="s">
        <v>454</v>
      </c>
      <c r="E50" s="205" t="s">
        <v>455</v>
      </c>
      <c r="F50" s="204" t="s">
        <v>456</v>
      </c>
      <c r="G50" s="209" t="s">
        <v>457</v>
      </c>
      <c r="H50" s="204" t="s">
        <v>458</v>
      </c>
      <c r="I50" s="201"/>
    </row>
    <row r="51" spans="1:9" ht="48.6" thickBot="1">
      <c r="A51" s="212">
        <v>47</v>
      </c>
      <c r="B51" s="313"/>
      <c r="C51" s="213" t="s">
        <v>459</v>
      </c>
      <c r="D51" s="213" t="s">
        <v>460</v>
      </c>
      <c r="E51" s="214" t="s">
        <v>461</v>
      </c>
      <c r="F51" s="213" t="s">
        <v>462</v>
      </c>
      <c r="G51" s="215" t="s">
        <v>446</v>
      </c>
      <c r="H51" s="213" t="s">
        <v>463</v>
      </c>
      <c r="I51" s="216"/>
    </row>
  </sheetData>
  <mergeCells count="26">
    <mergeCell ref="B34:B42"/>
    <mergeCell ref="C34:C36"/>
    <mergeCell ref="C40:C42"/>
    <mergeCell ref="B43:B51"/>
    <mergeCell ref="C45:C47"/>
    <mergeCell ref="C49:C50"/>
    <mergeCell ref="B12:B18"/>
    <mergeCell ref="C12:C16"/>
    <mergeCell ref="C17:C18"/>
    <mergeCell ref="B19:B33"/>
    <mergeCell ref="C19:C21"/>
    <mergeCell ref="C23:C27"/>
    <mergeCell ref="C28:C31"/>
    <mergeCell ref="C32:C33"/>
    <mergeCell ref="F3:F4"/>
    <mergeCell ref="G3:G4"/>
    <mergeCell ref="H3:H4"/>
    <mergeCell ref="I3:I4"/>
    <mergeCell ref="B5:B10"/>
    <mergeCell ref="C5:C6"/>
    <mergeCell ref="C7:C10"/>
    <mergeCell ref="A3:A4"/>
    <mergeCell ref="B3:B4"/>
    <mergeCell ref="C3:C4"/>
    <mergeCell ref="D3:D4"/>
    <mergeCell ref="E3:E4"/>
  </mergeCells>
  <phoneticPr fontId="1"/>
  <pageMargins left="0.74803149606299213" right="0.74803149606299213" top="0.98425196850393704" bottom="0.98425196850393704" header="0.51181102362204722" footer="0.51181102362204722"/>
  <pageSetup paperSize="9" scale="42" fitToHeight="0" orientation="portrait" r:id="rId1"/>
  <headerFooter alignWithMargins="0">
    <oddFooter>&amp;L伊藤忠テクノソリューションズ株式会社&amp;C&amp;P/&amp;N&amp;RCQMS-S-102T5 Ver.09.50</oddFooter>
  </headerFooter>
  <rowBreaks count="2" manualBreakCount="2">
    <brk id="18" max="8" man="1"/>
    <brk id="33"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H119"/>
  <sheetViews>
    <sheetView zoomScaleNormal="100" workbookViewId="0"/>
  </sheetViews>
  <sheetFormatPr defaultColWidth="9.140625" defaultRowHeight="15.95"/>
  <cols>
    <col min="1" max="1" width="5" style="14" customWidth="1"/>
    <col min="2" max="2" width="6.42578125" style="14" customWidth="1"/>
    <col min="3" max="3" width="4.7109375" style="14" customWidth="1"/>
    <col min="4" max="4" width="8.85546875" style="14" customWidth="1"/>
    <col min="5" max="5" width="17.7109375" style="230" customWidth="1"/>
    <col min="6" max="6" width="55.85546875" style="119" customWidth="1"/>
    <col min="7" max="7" width="51.42578125" style="119" customWidth="1"/>
    <col min="8" max="16384" width="9.140625" style="14"/>
  </cols>
  <sheetData>
    <row r="1" spans="1:8" ht="22.5">
      <c r="A1" s="17" t="s">
        <v>464</v>
      </c>
      <c r="B1" s="17"/>
    </row>
    <row r="3" spans="1:8" s="159" customFormat="1" ht="18" customHeight="1">
      <c r="A3" s="294" t="s">
        <v>465</v>
      </c>
      <c r="B3" s="294"/>
      <c r="C3" s="294"/>
      <c r="D3" s="294"/>
      <c r="E3" s="315"/>
      <c r="F3" s="315"/>
      <c r="G3" s="221"/>
    </row>
    <row r="4" spans="1:8" s="159" customFormat="1" ht="18" customHeight="1">
      <c r="A4" s="294" t="s">
        <v>466</v>
      </c>
      <c r="B4" s="294"/>
      <c r="C4" s="294"/>
      <c r="D4" s="294"/>
      <c r="E4" s="315"/>
      <c r="F4" s="315"/>
      <c r="G4" s="221"/>
    </row>
    <row r="5" spans="1:8" s="159" customFormat="1" ht="18" customHeight="1">
      <c r="A5" s="294" t="s">
        <v>467</v>
      </c>
      <c r="B5" s="294"/>
      <c r="C5" s="294"/>
      <c r="D5" s="294"/>
      <c r="E5" s="315"/>
      <c r="F5" s="315"/>
      <c r="G5" s="221"/>
    </row>
    <row r="6" spans="1:8" s="159" customFormat="1" ht="18" customHeight="1">
      <c r="A6" s="294" t="s">
        <v>135</v>
      </c>
      <c r="B6" s="294"/>
      <c r="C6" s="294"/>
      <c r="D6" s="294"/>
      <c r="E6" s="315"/>
      <c r="F6" s="315"/>
      <c r="G6" s="221"/>
    </row>
    <row r="7" spans="1:8" s="159" customFormat="1" ht="18" customHeight="1">
      <c r="A7" s="231"/>
      <c r="B7" s="231"/>
      <c r="F7" s="221"/>
      <c r="G7" s="221"/>
    </row>
    <row r="8" spans="1:8" ht="29.25" customHeight="1">
      <c r="A8" s="316" t="s">
        <v>468</v>
      </c>
      <c r="B8" s="316"/>
      <c r="C8" s="316"/>
      <c r="D8" s="222" t="s">
        <v>469</v>
      </c>
      <c r="E8" s="222" t="s">
        <v>470</v>
      </c>
      <c r="F8" s="222" t="s">
        <v>471</v>
      </c>
      <c r="G8" s="222" t="s">
        <v>472</v>
      </c>
      <c r="H8" s="222" t="s">
        <v>473</v>
      </c>
    </row>
    <row r="9" spans="1:8" ht="114" customHeight="1">
      <c r="A9" s="223" t="s">
        <v>474</v>
      </c>
      <c r="B9" s="109">
        <v>1010</v>
      </c>
      <c r="C9" s="224">
        <v>1</v>
      </c>
      <c r="D9" s="109" t="s">
        <v>475</v>
      </c>
      <c r="E9" s="109" t="s">
        <v>475</v>
      </c>
      <c r="F9" s="109" t="s">
        <v>476</v>
      </c>
      <c r="G9" s="109" t="s">
        <v>477</v>
      </c>
      <c r="H9" s="103"/>
    </row>
    <row r="10" spans="1:8" ht="47.25" customHeight="1">
      <c r="A10" s="117" t="s">
        <v>474</v>
      </c>
      <c r="B10" s="74">
        <v>1010</v>
      </c>
      <c r="C10" s="225">
        <v>2</v>
      </c>
      <c r="D10" s="74" t="s">
        <v>475</v>
      </c>
      <c r="E10" s="74" t="s">
        <v>475</v>
      </c>
      <c r="F10" s="74" t="s">
        <v>478</v>
      </c>
      <c r="G10" s="74" t="s">
        <v>479</v>
      </c>
      <c r="H10" s="115"/>
    </row>
    <row r="11" spans="1:8" ht="195" customHeight="1">
      <c r="A11" s="117" t="s">
        <v>474</v>
      </c>
      <c r="B11" s="74">
        <v>1010</v>
      </c>
      <c r="C11" s="225">
        <v>3</v>
      </c>
      <c r="D11" s="74" t="s">
        <v>475</v>
      </c>
      <c r="E11" s="74" t="s">
        <v>475</v>
      </c>
      <c r="F11" s="74" t="s">
        <v>480</v>
      </c>
      <c r="G11" s="74" t="s">
        <v>481</v>
      </c>
      <c r="H11" s="115"/>
    </row>
    <row r="12" spans="1:8" ht="49.5" customHeight="1">
      <c r="A12" s="117" t="s">
        <v>474</v>
      </c>
      <c r="B12" s="74">
        <v>1010</v>
      </c>
      <c r="C12" s="225">
        <v>4</v>
      </c>
      <c r="D12" s="74" t="s">
        <v>475</v>
      </c>
      <c r="E12" s="74" t="s">
        <v>475</v>
      </c>
      <c r="F12" s="74" t="s">
        <v>482</v>
      </c>
      <c r="G12" s="74" t="s">
        <v>483</v>
      </c>
      <c r="H12" s="115"/>
    </row>
    <row r="13" spans="1:8" ht="145.5" customHeight="1">
      <c r="A13" s="117" t="s">
        <v>474</v>
      </c>
      <c r="B13" s="74">
        <v>1010</v>
      </c>
      <c r="C13" s="225">
        <v>5</v>
      </c>
      <c r="D13" s="74" t="s">
        <v>475</v>
      </c>
      <c r="E13" s="74" t="s">
        <v>475</v>
      </c>
      <c r="F13" s="74" t="s">
        <v>484</v>
      </c>
      <c r="G13" s="74" t="s">
        <v>485</v>
      </c>
      <c r="H13" s="115"/>
    </row>
    <row r="14" spans="1:8" ht="81.75" customHeight="1">
      <c r="A14" s="117" t="s">
        <v>474</v>
      </c>
      <c r="B14" s="74">
        <v>1020</v>
      </c>
      <c r="C14" s="225">
        <v>1</v>
      </c>
      <c r="D14" s="74" t="s">
        <v>475</v>
      </c>
      <c r="E14" s="74" t="s">
        <v>486</v>
      </c>
      <c r="F14" s="74" t="s">
        <v>487</v>
      </c>
      <c r="G14" s="74" t="s">
        <v>488</v>
      </c>
      <c r="H14" s="115"/>
    </row>
    <row r="15" spans="1:8" ht="46.5" customHeight="1">
      <c r="A15" s="117" t="s">
        <v>474</v>
      </c>
      <c r="B15" s="74">
        <v>1020</v>
      </c>
      <c r="C15" s="225">
        <v>2</v>
      </c>
      <c r="D15" s="74" t="s">
        <v>475</v>
      </c>
      <c r="E15" s="74" t="s">
        <v>486</v>
      </c>
      <c r="F15" s="74" t="s">
        <v>489</v>
      </c>
      <c r="G15" s="74" t="s">
        <v>490</v>
      </c>
      <c r="H15" s="115"/>
    </row>
    <row r="16" spans="1:8" ht="29.25" customHeight="1">
      <c r="A16" s="117" t="s">
        <v>474</v>
      </c>
      <c r="B16" s="74">
        <v>1020</v>
      </c>
      <c r="C16" s="225">
        <v>3</v>
      </c>
      <c r="D16" s="74" t="s">
        <v>475</v>
      </c>
      <c r="E16" s="74" t="s">
        <v>486</v>
      </c>
      <c r="F16" s="74" t="s">
        <v>491</v>
      </c>
      <c r="G16" s="74" t="s">
        <v>492</v>
      </c>
      <c r="H16" s="115"/>
    </row>
    <row r="17" spans="1:8" ht="96.75" customHeight="1">
      <c r="A17" s="117" t="s">
        <v>474</v>
      </c>
      <c r="B17" s="74">
        <v>1030</v>
      </c>
      <c r="C17" s="225">
        <v>1</v>
      </c>
      <c r="D17" s="74" t="s">
        <v>475</v>
      </c>
      <c r="E17" s="74" t="s">
        <v>493</v>
      </c>
      <c r="F17" s="74" t="s">
        <v>494</v>
      </c>
      <c r="G17" s="74" t="s">
        <v>495</v>
      </c>
      <c r="H17" s="115"/>
    </row>
    <row r="18" spans="1:8" ht="147" customHeight="1">
      <c r="A18" s="117" t="s">
        <v>474</v>
      </c>
      <c r="B18" s="74">
        <v>1030</v>
      </c>
      <c r="C18" s="225">
        <v>2</v>
      </c>
      <c r="D18" s="74" t="s">
        <v>475</v>
      </c>
      <c r="E18" s="74" t="s">
        <v>493</v>
      </c>
      <c r="F18" s="74" t="s">
        <v>496</v>
      </c>
      <c r="G18" s="74" t="s">
        <v>497</v>
      </c>
      <c r="H18" s="115"/>
    </row>
    <row r="19" spans="1:8" ht="134.25" customHeight="1">
      <c r="A19" s="117" t="s">
        <v>474</v>
      </c>
      <c r="B19" s="74">
        <v>1030</v>
      </c>
      <c r="C19" s="225">
        <v>3</v>
      </c>
      <c r="D19" s="74" t="s">
        <v>475</v>
      </c>
      <c r="E19" s="74" t="s">
        <v>493</v>
      </c>
      <c r="F19" s="74" t="s">
        <v>498</v>
      </c>
      <c r="G19" s="74" t="s">
        <v>499</v>
      </c>
      <c r="H19" s="115"/>
    </row>
    <row r="20" spans="1:8" ht="50.25" customHeight="1">
      <c r="A20" s="117" t="s">
        <v>474</v>
      </c>
      <c r="B20" s="74">
        <v>1030</v>
      </c>
      <c r="C20" s="225">
        <v>4</v>
      </c>
      <c r="D20" s="74" t="s">
        <v>475</v>
      </c>
      <c r="E20" s="74" t="s">
        <v>493</v>
      </c>
      <c r="F20" s="74" t="s">
        <v>500</v>
      </c>
      <c r="G20" s="74" t="s">
        <v>501</v>
      </c>
      <c r="H20" s="115"/>
    </row>
    <row r="21" spans="1:8" ht="46.5" customHeight="1">
      <c r="A21" s="117" t="s">
        <v>474</v>
      </c>
      <c r="B21" s="74">
        <v>1030</v>
      </c>
      <c r="C21" s="225">
        <v>5</v>
      </c>
      <c r="D21" s="74" t="s">
        <v>475</v>
      </c>
      <c r="E21" s="74" t="s">
        <v>493</v>
      </c>
      <c r="F21" s="74" t="s">
        <v>502</v>
      </c>
      <c r="G21" s="74" t="s">
        <v>503</v>
      </c>
      <c r="H21" s="115"/>
    </row>
    <row r="22" spans="1:8" ht="81" customHeight="1">
      <c r="A22" s="117" t="s">
        <v>474</v>
      </c>
      <c r="B22" s="74">
        <v>1030</v>
      </c>
      <c r="C22" s="225">
        <v>6</v>
      </c>
      <c r="D22" s="74" t="s">
        <v>475</v>
      </c>
      <c r="E22" s="74" t="s">
        <v>493</v>
      </c>
      <c r="F22" s="74" t="s">
        <v>504</v>
      </c>
      <c r="G22" s="74" t="s">
        <v>505</v>
      </c>
      <c r="H22" s="115"/>
    </row>
    <row r="23" spans="1:8" ht="32.25" customHeight="1">
      <c r="A23" s="117" t="s">
        <v>474</v>
      </c>
      <c r="B23" s="74">
        <v>1030</v>
      </c>
      <c r="C23" s="225">
        <v>7</v>
      </c>
      <c r="D23" s="74" t="s">
        <v>475</v>
      </c>
      <c r="E23" s="74" t="s">
        <v>493</v>
      </c>
      <c r="F23" s="74" t="s">
        <v>506</v>
      </c>
      <c r="G23" s="74" t="s">
        <v>507</v>
      </c>
      <c r="H23" s="115"/>
    </row>
    <row r="24" spans="1:8" ht="112.5" customHeight="1">
      <c r="A24" s="117" t="s">
        <v>474</v>
      </c>
      <c r="B24" s="74">
        <v>1030</v>
      </c>
      <c r="C24" s="225">
        <v>8</v>
      </c>
      <c r="D24" s="74" t="s">
        <v>475</v>
      </c>
      <c r="E24" s="74" t="s">
        <v>493</v>
      </c>
      <c r="F24" s="74" t="s">
        <v>508</v>
      </c>
      <c r="G24" s="74" t="s">
        <v>509</v>
      </c>
      <c r="H24" s="115"/>
    </row>
    <row r="25" spans="1:8" ht="31.5" customHeight="1">
      <c r="A25" s="117" t="s">
        <v>474</v>
      </c>
      <c r="B25" s="74">
        <v>1030</v>
      </c>
      <c r="C25" s="225">
        <v>9</v>
      </c>
      <c r="D25" s="74" t="s">
        <v>475</v>
      </c>
      <c r="E25" s="74" t="s">
        <v>493</v>
      </c>
      <c r="F25" s="74" t="s">
        <v>510</v>
      </c>
      <c r="G25" s="74" t="s">
        <v>511</v>
      </c>
      <c r="H25" s="115"/>
    </row>
    <row r="26" spans="1:8" ht="32.25" customHeight="1">
      <c r="A26" s="117" t="s">
        <v>474</v>
      </c>
      <c r="B26" s="74">
        <v>1030</v>
      </c>
      <c r="C26" s="225">
        <v>10</v>
      </c>
      <c r="D26" s="74" t="s">
        <v>475</v>
      </c>
      <c r="E26" s="74" t="s">
        <v>493</v>
      </c>
      <c r="F26" s="74" t="s">
        <v>512</v>
      </c>
      <c r="G26" s="74" t="s">
        <v>513</v>
      </c>
      <c r="H26" s="115"/>
    </row>
    <row r="27" spans="1:8" ht="48" customHeight="1">
      <c r="A27" s="117" t="s">
        <v>474</v>
      </c>
      <c r="B27" s="74">
        <v>1030</v>
      </c>
      <c r="C27" s="225">
        <v>11</v>
      </c>
      <c r="D27" s="74" t="s">
        <v>475</v>
      </c>
      <c r="E27" s="74" t="s">
        <v>493</v>
      </c>
      <c r="F27" s="74" t="s">
        <v>514</v>
      </c>
      <c r="G27" s="74" t="s">
        <v>515</v>
      </c>
      <c r="H27" s="115"/>
    </row>
    <row r="28" spans="1:8" ht="46.5" customHeight="1">
      <c r="A28" s="117" t="s">
        <v>474</v>
      </c>
      <c r="B28" s="74">
        <v>1030</v>
      </c>
      <c r="C28" s="225">
        <v>12</v>
      </c>
      <c r="D28" s="74" t="s">
        <v>475</v>
      </c>
      <c r="E28" s="74" t="s">
        <v>493</v>
      </c>
      <c r="F28" s="74" t="s">
        <v>516</v>
      </c>
      <c r="G28" s="74" t="s">
        <v>517</v>
      </c>
      <c r="H28" s="115"/>
    </row>
    <row r="29" spans="1:8" ht="30" customHeight="1">
      <c r="A29" s="117" t="s">
        <v>474</v>
      </c>
      <c r="B29" s="74">
        <v>1040</v>
      </c>
      <c r="C29" s="225">
        <v>1</v>
      </c>
      <c r="D29" s="74" t="s">
        <v>475</v>
      </c>
      <c r="E29" s="74" t="s">
        <v>518</v>
      </c>
      <c r="F29" s="74" t="s">
        <v>519</v>
      </c>
      <c r="G29" s="74" t="s">
        <v>520</v>
      </c>
      <c r="H29" s="115"/>
    </row>
    <row r="30" spans="1:8" ht="82.5" customHeight="1">
      <c r="A30" s="117" t="s">
        <v>474</v>
      </c>
      <c r="B30" s="74">
        <v>1040</v>
      </c>
      <c r="C30" s="225">
        <v>2</v>
      </c>
      <c r="D30" s="74" t="s">
        <v>475</v>
      </c>
      <c r="E30" s="74" t="s">
        <v>518</v>
      </c>
      <c r="F30" s="74" t="s">
        <v>521</v>
      </c>
      <c r="G30" s="74" t="s">
        <v>522</v>
      </c>
      <c r="H30" s="115"/>
    </row>
    <row r="31" spans="1:8" ht="99.75" customHeight="1">
      <c r="A31" s="117" t="s">
        <v>474</v>
      </c>
      <c r="B31" s="74">
        <v>1040</v>
      </c>
      <c r="C31" s="225">
        <v>3</v>
      </c>
      <c r="D31" s="74" t="s">
        <v>475</v>
      </c>
      <c r="E31" s="74" t="s">
        <v>518</v>
      </c>
      <c r="F31" s="74" t="s">
        <v>523</v>
      </c>
      <c r="G31" s="74" t="s">
        <v>524</v>
      </c>
      <c r="H31" s="115"/>
    </row>
    <row r="32" spans="1:8" ht="52.5" customHeight="1">
      <c r="A32" s="117" t="s">
        <v>474</v>
      </c>
      <c r="B32" s="74">
        <v>1040</v>
      </c>
      <c r="C32" s="225">
        <v>4</v>
      </c>
      <c r="D32" s="74" t="s">
        <v>475</v>
      </c>
      <c r="E32" s="74" t="s">
        <v>518</v>
      </c>
      <c r="F32" s="74" t="s">
        <v>525</v>
      </c>
      <c r="G32" s="74" t="s">
        <v>526</v>
      </c>
      <c r="H32" s="115"/>
    </row>
    <row r="33" spans="1:8" ht="78.75" customHeight="1">
      <c r="A33" s="117" t="s">
        <v>474</v>
      </c>
      <c r="B33" s="74">
        <v>1040</v>
      </c>
      <c r="C33" s="225">
        <v>5</v>
      </c>
      <c r="D33" s="74" t="s">
        <v>475</v>
      </c>
      <c r="E33" s="74" t="s">
        <v>518</v>
      </c>
      <c r="F33" s="74" t="s">
        <v>527</v>
      </c>
      <c r="G33" s="74" t="s">
        <v>528</v>
      </c>
      <c r="H33" s="115"/>
    </row>
    <row r="34" spans="1:8" ht="81" customHeight="1">
      <c r="A34" s="117" t="s">
        <v>474</v>
      </c>
      <c r="B34" s="74">
        <v>1040</v>
      </c>
      <c r="C34" s="225">
        <v>6</v>
      </c>
      <c r="D34" s="74" t="s">
        <v>475</v>
      </c>
      <c r="E34" s="74" t="s">
        <v>518</v>
      </c>
      <c r="F34" s="74" t="s">
        <v>529</v>
      </c>
      <c r="G34" s="74" t="s">
        <v>530</v>
      </c>
      <c r="H34" s="115"/>
    </row>
    <row r="35" spans="1:8" ht="32.1">
      <c r="A35" s="117" t="s">
        <v>474</v>
      </c>
      <c r="B35" s="74">
        <v>1040</v>
      </c>
      <c r="C35" s="225">
        <v>7</v>
      </c>
      <c r="D35" s="74" t="s">
        <v>475</v>
      </c>
      <c r="E35" s="74" t="s">
        <v>518</v>
      </c>
      <c r="F35" s="74" t="s">
        <v>531</v>
      </c>
      <c r="G35" s="74" t="s">
        <v>532</v>
      </c>
      <c r="H35" s="115"/>
    </row>
    <row r="36" spans="1:8" ht="128.25" customHeight="1">
      <c r="A36" s="117" t="s">
        <v>474</v>
      </c>
      <c r="B36" s="74">
        <v>1040</v>
      </c>
      <c r="C36" s="225">
        <v>8</v>
      </c>
      <c r="D36" s="74" t="s">
        <v>475</v>
      </c>
      <c r="E36" s="74" t="s">
        <v>518</v>
      </c>
      <c r="F36" s="74" t="s">
        <v>533</v>
      </c>
      <c r="G36" s="74" t="s">
        <v>534</v>
      </c>
      <c r="H36" s="115"/>
    </row>
    <row r="37" spans="1:8" ht="31.5" customHeight="1">
      <c r="A37" s="117" t="s">
        <v>474</v>
      </c>
      <c r="B37" s="74">
        <v>1040</v>
      </c>
      <c r="C37" s="225">
        <v>9</v>
      </c>
      <c r="D37" s="74" t="s">
        <v>475</v>
      </c>
      <c r="E37" s="74" t="s">
        <v>518</v>
      </c>
      <c r="F37" s="74" t="s">
        <v>535</v>
      </c>
      <c r="G37" s="74" t="s">
        <v>536</v>
      </c>
      <c r="H37" s="115"/>
    </row>
    <row r="38" spans="1:8" ht="44.25" customHeight="1">
      <c r="A38" s="117" t="s">
        <v>474</v>
      </c>
      <c r="B38" s="74">
        <v>1040</v>
      </c>
      <c r="C38" s="225">
        <v>10</v>
      </c>
      <c r="D38" s="74" t="s">
        <v>475</v>
      </c>
      <c r="E38" s="74" t="s">
        <v>518</v>
      </c>
      <c r="F38" s="74" t="s">
        <v>537</v>
      </c>
      <c r="G38" s="74" t="s">
        <v>538</v>
      </c>
      <c r="H38" s="115"/>
    </row>
    <row r="39" spans="1:8" ht="31.5" customHeight="1">
      <c r="A39" s="117" t="s">
        <v>474</v>
      </c>
      <c r="B39" s="74">
        <v>1040</v>
      </c>
      <c r="C39" s="225">
        <v>11</v>
      </c>
      <c r="D39" s="74" t="s">
        <v>475</v>
      </c>
      <c r="E39" s="74" t="s">
        <v>518</v>
      </c>
      <c r="F39" s="74" t="s">
        <v>539</v>
      </c>
      <c r="G39" s="74" t="s">
        <v>540</v>
      </c>
      <c r="H39" s="115"/>
    </row>
    <row r="40" spans="1:8" ht="46.5" customHeight="1">
      <c r="A40" s="117" t="s">
        <v>474</v>
      </c>
      <c r="B40" s="74">
        <v>1040</v>
      </c>
      <c r="C40" s="225">
        <v>12</v>
      </c>
      <c r="D40" s="74" t="s">
        <v>475</v>
      </c>
      <c r="E40" s="74" t="s">
        <v>518</v>
      </c>
      <c r="F40" s="74" t="s">
        <v>541</v>
      </c>
      <c r="G40" s="74" t="s">
        <v>542</v>
      </c>
      <c r="H40" s="115"/>
    </row>
    <row r="41" spans="1:8" ht="34.5" customHeight="1">
      <c r="A41" s="117" t="s">
        <v>474</v>
      </c>
      <c r="B41" s="74">
        <v>1040</v>
      </c>
      <c r="C41" s="225">
        <v>13</v>
      </c>
      <c r="D41" s="74" t="s">
        <v>475</v>
      </c>
      <c r="E41" s="74" t="s">
        <v>518</v>
      </c>
      <c r="F41" s="74" t="s">
        <v>543</v>
      </c>
      <c r="G41" s="74" t="s">
        <v>544</v>
      </c>
      <c r="H41" s="115"/>
    </row>
    <row r="42" spans="1:8" ht="51.75" customHeight="1">
      <c r="A42" s="117" t="s">
        <v>474</v>
      </c>
      <c r="B42" s="74">
        <v>1040</v>
      </c>
      <c r="C42" s="225">
        <v>14</v>
      </c>
      <c r="D42" s="74" t="s">
        <v>475</v>
      </c>
      <c r="E42" s="74" t="s">
        <v>518</v>
      </c>
      <c r="F42" s="74" t="s">
        <v>545</v>
      </c>
      <c r="G42" s="74" t="s">
        <v>546</v>
      </c>
      <c r="H42" s="115"/>
    </row>
    <row r="43" spans="1:8" ht="147.75" customHeight="1">
      <c r="A43" s="117" t="s">
        <v>474</v>
      </c>
      <c r="B43" s="74">
        <v>1050</v>
      </c>
      <c r="C43" s="225">
        <v>1</v>
      </c>
      <c r="D43" s="74" t="s">
        <v>475</v>
      </c>
      <c r="E43" s="74" t="s">
        <v>547</v>
      </c>
      <c r="F43" s="74" t="s">
        <v>548</v>
      </c>
      <c r="G43" s="74" t="s">
        <v>549</v>
      </c>
      <c r="H43" s="115"/>
    </row>
    <row r="44" spans="1:8" ht="84" customHeight="1">
      <c r="A44" s="117" t="s">
        <v>474</v>
      </c>
      <c r="B44" s="74">
        <v>1050</v>
      </c>
      <c r="C44" s="225">
        <v>2</v>
      </c>
      <c r="D44" s="74" t="s">
        <v>475</v>
      </c>
      <c r="E44" s="74" t="s">
        <v>547</v>
      </c>
      <c r="F44" s="74" t="s">
        <v>550</v>
      </c>
      <c r="G44" s="74" t="s">
        <v>551</v>
      </c>
      <c r="H44" s="115"/>
    </row>
    <row r="45" spans="1:8" ht="48" customHeight="1">
      <c r="A45" s="117" t="s">
        <v>474</v>
      </c>
      <c r="B45" s="74">
        <v>1050</v>
      </c>
      <c r="C45" s="225">
        <v>3</v>
      </c>
      <c r="D45" s="74" t="s">
        <v>475</v>
      </c>
      <c r="E45" s="74" t="s">
        <v>547</v>
      </c>
      <c r="F45" s="74" t="s">
        <v>552</v>
      </c>
      <c r="G45" s="74" t="s">
        <v>553</v>
      </c>
      <c r="H45" s="115"/>
    </row>
    <row r="46" spans="1:8" ht="32.1">
      <c r="A46" s="117" t="s">
        <v>474</v>
      </c>
      <c r="B46" s="74">
        <v>1050</v>
      </c>
      <c r="C46" s="225">
        <v>4</v>
      </c>
      <c r="D46" s="74" t="s">
        <v>475</v>
      </c>
      <c r="E46" s="74" t="s">
        <v>547</v>
      </c>
      <c r="F46" s="74" t="s">
        <v>554</v>
      </c>
      <c r="G46" s="74" t="s">
        <v>555</v>
      </c>
      <c r="H46" s="115"/>
    </row>
    <row r="47" spans="1:8" ht="48" customHeight="1">
      <c r="A47" s="117" t="s">
        <v>474</v>
      </c>
      <c r="B47" s="74">
        <v>1050</v>
      </c>
      <c r="C47" s="225">
        <v>5</v>
      </c>
      <c r="D47" s="74" t="s">
        <v>475</v>
      </c>
      <c r="E47" s="74" t="s">
        <v>547</v>
      </c>
      <c r="F47" s="74" t="s">
        <v>556</v>
      </c>
      <c r="G47" s="74" t="s">
        <v>557</v>
      </c>
      <c r="H47" s="115"/>
    </row>
    <row r="48" spans="1:8" ht="30.75" customHeight="1">
      <c r="A48" s="117" t="s">
        <v>474</v>
      </c>
      <c r="B48" s="74">
        <v>1050</v>
      </c>
      <c r="C48" s="225">
        <v>6</v>
      </c>
      <c r="D48" s="74" t="s">
        <v>475</v>
      </c>
      <c r="E48" s="74" t="s">
        <v>547</v>
      </c>
      <c r="F48" s="74" t="s">
        <v>558</v>
      </c>
      <c r="G48" s="74" t="s">
        <v>559</v>
      </c>
      <c r="H48" s="115"/>
    </row>
    <row r="49" spans="1:8" ht="30" customHeight="1">
      <c r="A49" s="117" t="s">
        <v>474</v>
      </c>
      <c r="B49" s="74">
        <v>1050</v>
      </c>
      <c r="C49" s="225">
        <v>7</v>
      </c>
      <c r="D49" s="74" t="s">
        <v>475</v>
      </c>
      <c r="E49" s="74" t="s">
        <v>547</v>
      </c>
      <c r="F49" s="74" t="s">
        <v>560</v>
      </c>
      <c r="G49" s="74" t="s">
        <v>561</v>
      </c>
      <c r="H49" s="115"/>
    </row>
    <row r="50" spans="1:8" ht="31.5" customHeight="1">
      <c r="A50" s="117" t="s">
        <v>474</v>
      </c>
      <c r="B50" s="74">
        <v>1050</v>
      </c>
      <c r="C50" s="225">
        <v>8</v>
      </c>
      <c r="D50" s="74" t="s">
        <v>475</v>
      </c>
      <c r="E50" s="74" t="s">
        <v>547</v>
      </c>
      <c r="F50" s="74" t="s">
        <v>562</v>
      </c>
      <c r="G50" s="74" t="s">
        <v>563</v>
      </c>
      <c r="H50" s="115"/>
    </row>
    <row r="51" spans="1:8" ht="80.25" customHeight="1">
      <c r="A51" s="117" t="s">
        <v>474</v>
      </c>
      <c r="B51" s="74">
        <v>1060</v>
      </c>
      <c r="C51" s="225">
        <v>1</v>
      </c>
      <c r="D51" s="74" t="s">
        <v>475</v>
      </c>
      <c r="E51" s="74" t="s">
        <v>564</v>
      </c>
      <c r="F51" s="74" t="s">
        <v>565</v>
      </c>
      <c r="G51" s="74" t="s">
        <v>566</v>
      </c>
      <c r="H51" s="115"/>
    </row>
    <row r="52" spans="1:8" ht="32.1">
      <c r="A52" s="117" t="s">
        <v>474</v>
      </c>
      <c r="B52" s="74">
        <v>1060</v>
      </c>
      <c r="C52" s="225">
        <v>2</v>
      </c>
      <c r="D52" s="74" t="s">
        <v>475</v>
      </c>
      <c r="E52" s="74" t="s">
        <v>564</v>
      </c>
      <c r="F52" s="74" t="s">
        <v>567</v>
      </c>
      <c r="G52" s="74" t="s">
        <v>568</v>
      </c>
      <c r="H52" s="115"/>
    </row>
    <row r="53" spans="1:8" ht="49.5" customHeight="1">
      <c r="A53" s="117" t="s">
        <v>474</v>
      </c>
      <c r="B53" s="74">
        <v>1060</v>
      </c>
      <c r="C53" s="225">
        <v>3</v>
      </c>
      <c r="D53" s="74" t="s">
        <v>475</v>
      </c>
      <c r="E53" s="74" t="s">
        <v>564</v>
      </c>
      <c r="F53" s="74" t="s">
        <v>569</v>
      </c>
      <c r="G53" s="74" t="s">
        <v>570</v>
      </c>
      <c r="H53" s="115"/>
    </row>
    <row r="54" spans="1:8" ht="32.25" customHeight="1">
      <c r="A54" s="117" t="s">
        <v>474</v>
      </c>
      <c r="B54" s="74">
        <v>1070</v>
      </c>
      <c r="C54" s="225">
        <v>1</v>
      </c>
      <c r="D54" s="74" t="s">
        <v>475</v>
      </c>
      <c r="E54" s="74" t="s">
        <v>571</v>
      </c>
      <c r="F54" s="74" t="s">
        <v>572</v>
      </c>
      <c r="G54" s="74" t="s">
        <v>573</v>
      </c>
      <c r="H54" s="115"/>
    </row>
    <row r="55" spans="1:8" ht="48.75" customHeight="1">
      <c r="A55" s="117" t="s">
        <v>474</v>
      </c>
      <c r="B55" s="74">
        <v>1070</v>
      </c>
      <c r="C55" s="225">
        <v>2</v>
      </c>
      <c r="D55" s="74" t="s">
        <v>475</v>
      </c>
      <c r="E55" s="74" t="s">
        <v>571</v>
      </c>
      <c r="F55" s="74" t="s">
        <v>574</v>
      </c>
      <c r="G55" s="74" t="s">
        <v>575</v>
      </c>
      <c r="H55" s="115"/>
    </row>
    <row r="56" spans="1:8" ht="81" customHeight="1">
      <c r="A56" s="117" t="s">
        <v>474</v>
      </c>
      <c r="B56" s="74">
        <v>1070</v>
      </c>
      <c r="C56" s="225">
        <v>3</v>
      </c>
      <c r="D56" s="74" t="s">
        <v>475</v>
      </c>
      <c r="E56" s="74" t="s">
        <v>571</v>
      </c>
      <c r="F56" s="74" t="s">
        <v>576</v>
      </c>
      <c r="G56" s="74" t="s">
        <v>577</v>
      </c>
      <c r="H56" s="115"/>
    </row>
    <row r="57" spans="1:8" ht="31.5" customHeight="1">
      <c r="A57" s="117" t="s">
        <v>474</v>
      </c>
      <c r="B57" s="74">
        <v>1070</v>
      </c>
      <c r="C57" s="225">
        <v>4</v>
      </c>
      <c r="D57" s="74" t="s">
        <v>475</v>
      </c>
      <c r="E57" s="74" t="s">
        <v>571</v>
      </c>
      <c r="F57" s="74" t="s">
        <v>578</v>
      </c>
      <c r="G57" s="74" t="s">
        <v>579</v>
      </c>
      <c r="H57" s="115"/>
    </row>
    <row r="58" spans="1:8" ht="83.25" customHeight="1">
      <c r="A58" s="117" t="s">
        <v>474</v>
      </c>
      <c r="B58" s="74">
        <v>1070</v>
      </c>
      <c r="C58" s="225">
        <v>5</v>
      </c>
      <c r="D58" s="74" t="s">
        <v>475</v>
      </c>
      <c r="E58" s="74" t="s">
        <v>571</v>
      </c>
      <c r="F58" s="74" t="s">
        <v>580</v>
      </c>
      <c r="G58" s="74" t="s">
        <v>581</v>
      </c>
      <c r="H58" s="115"/>
    </row>
    <row r="59" spans="1:8" ht="34.5" customHeight="1">
      <c r="A59" s="117" t="s">
        <v>474</v>
      </c>
      <c r="B59" s="74">
        <v>1070</v>
      </c>
      <c r="C59" s="225">
        <v>6</v>
      </c>
      <c r="D59" s="74" t="s">
        <v>475</v>
      </c>
      <c r="E59" s="74" t="s">
        <v>571</v>
      </c>
      <c r="F59" s="74" t="s">
        <v>582</v>
      </c>
      <c r="G59" s="74" t="s">
        <v>583</v>
      </c>
      <c r="H59" s="115"/>
    </row>
    <row r="60" spans="1:8" ht="50.25" customHeight="1">
      <c r="A60" s="117" t="s">
        <v>474</v>
      </c>
      <c r="B60" s="74">
        <v>1070</v>
      </c>
      <c r="C60" s="225">
        <v>7</v>
      </c>
      <c r="D60" s="74" t="s">
        <v>475</v>
      </c>
      <c r="E60" s="74" t="s">
        <v>571</v>
      </c>
      <c r="F60" s="74" t="s">
        <v>584</v>
      </c>
      <c r="G60" s="74" t="s">
        <v>585</v>
      </c>
      <c r="H60" s="115"/>
    </row>
    <row r="61" spans="1:8" ht="29.25" customHeight="1">
      <c r="A61" s="117" t="s">
        <v>474</v>
      </c>
      <c r="B61" s="74">
        <v>1070</v>
      </c>
      <c r="C61" s="225">
        <v>8</v>
      </c>
      <c r="D61" s="74" t="s">
        <v>475</v>
      </c>
      <c r="E61" s="74" t="s">
        <v>571</v>
      </c>
      <c r="F61" s="74" t="s">
        <v>586</v>
      </c>
      <c r="G61" s="74" t="s">
        <v>587</v>
      </c>
      <c r="H61" s="115"/>
    </row>
    <row r="62" spans="1:8" ht="49.5" customHeight="1">
      <c r="A62" s="117" t="s">
        <v>474</v>
      </c>
      <c r="B62" s="74">
        <v>1070</v>
      </c>
      <c r="C62" s="225">
        <v>9</v>
      </c>
      <c r="D62" s="74" t="s">
        <v>475</v>
      </c>
      <c r="E62" s="74" t="s">
        <v>571</v>
      </c>
      <c r="F62" s="74" t="s">
        <v>588</v>
      </c>
      <c r="G62" s="74" t="s">
        <v>589</v>
      </c>
      <c r="H62" s="115"/>
    </row>
    <row r="63" spans="1:8" ht="32.1">
      <c r="A63" s="117" t="s">
        <v>474</v>
      </c>
      <c r="B63" s="74">
        <v>1070</v>
      </c>
      <c r="C63" s="225">
        <v>10</v>
      </c>
      <c r="D63" s="74" t="s">
        <v>475</v>
      </c>
      <c r="E63" s="74" t="s">
        <v>571</v>
      </c>
      <c r="F63" s="74" t="s">
        <v>590</v>
      </c>
      <c r="G63" s="74" t="s">
        <v>591</v>
      </c>
      <c r="H63" s="115"/>
    </row>
    <row r="64" spans="1:8" ht="31.5" customHeight="1">
      <c r="A64" s="117" t="s">
        <v>474</v>
      </c>
      <c r="B64" s="74">
        <v>1070</v>
      </c>
      <c r="C64" s="225">
        <v>11</v>
      </c>
      <c r="D64" s="74" t="s">
        <v>475</v>
      </c>
      <c r="E64" s="74" t="s">
        <v>571</v>
      </c>
      <c r="F64" s="74" t="s">
        <v>592</v>
      </c>
      <c r="G64" s="74" t="s">
        <v>593</v>
      </c>
      <c r="H64" s="115"/>
    </row>
    <row r="65" spans="1:8" ht="30.75" customHeight="1">
      <c r="A65" s="117" t="s">
        <v>474</v>
      </c>
      <c r="B65" s="74">
        <v>1070</v>
      </c>
      <c r="C65" s="225">
        <v>12</v>
      </c>
      <c r="D65" s="74" t="s">
        <v>475</v>
      </c>
      <c r="E65" s="74" t="s">
        <v>571</v>
      </c>
      <c r="F65" s="74" t="s">
        <v>594</v>
      </c>
      <c r="G65" s="74" t="s">
        <v>595</v>
      </c>
      <c r="H65" s="115"/>
    </row>
    <row r="66" spans="1:8" ht="32.25" customHeight="1">
      <c r="A66" s="117" t="s">
        <v>474</v>
      </c>
      <c r="B66" s="74">
        <v>1070</v>
      </c>
      <c r="C66" s="225">
        <v>13</v>
      </c>
      <c r="D66" s="74" t="s">
        <v>475</v>
      </c>
      <c r="E66" s="74" t="s">
        <v>571</v>
      </c>
      <c r="F66" s="74" t="s">
        <v>596</v>
      </c>
      <c r="G66" s="74" t="s">
        <v>597</v>
      </c>
      <c r="H66" s="115"/>
    </row>
    <row r="67" spans="1:8" ht="35.25" customHeight="1">
      <c r="A67" s="117" t="s">
        <v>474</v>
      </c>
      <c r="B67" s="74">
        <v>1070</v>
      </c>
      <c r="C67" s="225">
        <v>14</v>
      </c>
      <c r="D67" s="74" t="s">
        <v>475</v>
      </c>
      <c r="E67" s="74" t="s">
        <v>571</v>
      </c>
      <c r="F67" s="74" t="s">
        <v>598</v>
      </c>
      <c r="G67" s="74" t="s">
        <v>599</v>
      </c>
      <c r="H67" s="115"/>
    </row>
    <row r="68" spans="1:8" ht="63.75" customHeight="1">
      <c r="A68" s="117" t="s">
        <v>474</v>
      </c>
      <c r="B68" s="74">
        <v>2010</v>
      </c>
      <c r="C68" s="225">
        <v>1</v>
      </c>
      <c r="D68" s="74" t="s">
        <v>600</v>
      </c>
      <c r="E68" s="74" t="s">
        <v>601</v>
      </c>
      <c r="F68" s="74" t="s">
        <v>602</v>
      </c>
      <c r="G68" s="74" t="s">
        <v>603</v>
      </c>
      <c r="H68" s="115"/>
    </row>
    <row r="69" spans="1:8" ht="28.5" customHeight="1">
      <c r="A69" s="117" t="s">
        <v>474</v>
      </c>
      <c r="B69" s="74">
        <v>2010</v>
      </c>
      <c r="C69" s="225">
        <v>2</v>
      </c>
      <c r="D69" s="74" t="s">
        <v>600</v>
      </c>
      <c r="E69" s="74" t="s">
        <v>601</v>
      </c>
      <c r="F69" s="74" t="s">
        <v>604</v>
      </c>
      <c r="G69" s="74" t="s">
        <v>605</v>
      </c>
      <c r="H69" s="115"/>
    </row>
    <row r="70" spans="1:8" ht="48" customHeight="1">
      <c r="A70" s="117" t="s">
        <v>474</v>
      </c>
      <c r="B70" s="74">
        <v>2010</v>
      </c>
      <c r="C70" s="225">
        <v>3</v>
      </c>
      <c r="D70" s="74" t="s">
        <v>600</v>
      </c>
      <c r="E70" s="74" t="s">
        <v>601</v>
      </c>
      <c r="F70" s="74" t="s">
        <v>606</v>
      </c>
      <c r="G70" s="74" t="s">
        <v>607</v>
      </c>
      <c r="H70" s="115"/>
    </row>
    <row r="71" spans="1:8" ht="47.25" customHeight="1">
      <c r="A71" s="117" t="s">
        <v>474</v>
      </c>
      <c r="B71" s="74">
        <v>2010</v>
      </c>
      <c r="C71" s="225">
        <v>4</v>
      </c>
      <c r="D71" s="74" t="s">
        <v>600</v>
      </c>
      <c r="E71" s="74" t="s">
        <v>601</v>
      </c>
      <c r="F71" s="74" t="s">
        <v>608</v>
      </c>
      <c r="G71" s="74" t="s">
        <v>609</v>
      </c>
      <c r="H71" s="115"/>
    </row>
    <row r="72" spans="1:8" ht="28.5" customHeight="1">
      <c r="A72" s="117" t="s">
        <v>474</v>
      </c>
      <c r="B72" s="74">
        <v>2010</v>
      </c>
      <c r="C72" s="225">
        <v>5</v>
      </c>
      <c r="D72" s="74" t="s">
        <v>600</v>
      </c>
      <c r="E72" s="74" t="s">
        <v>601</v>
      </c>
      <c r="F72" s="74" t="s">
        <v>610</v>
      </c>
      <c r="G72" s="74" t="s">
        <v>611</v>
      </c>
      <c r="H72" s="115"/>
    </row>
    <row r="73" spans="1:8" ht="30.75" customHeight="1">
      <c r="A73" s="117" t="s">
        <v>474</v>
      </c>
      <c r="B73" s="74">
        <v>2010</v>
      </c>
      <c r="C73" s="225">
        <v>6</v>
      </c>
      <c r="D73" s="74" t="s">
        <v>600</v>
      </c>
      <c r="E73" s="74" t="s">
        <v>601</v>
      </c>
      <c r="F73" s="74" t="s">
        <v>612</v>
      </c>
      <c r="G73" s="74" t="s">
        <v>613</v>
      </c>
      <c r="H73" s="115"/>
    </row>
    <row r="74" spans="1:8" ht="30.75" customHeight="1">
      <c r="A74" s="117" t="s">
        <v>474</v>
      </c>
      <c r="B74" s="74">
        <v>2010</v>
      </c>
      <c r="C74" s="225">
        <v>7</v>
      </c>
      <c r="D74" s="74" t="s">
        <v>600</v>
      </c>
      <c r="E74" s="74" t="s">
        <v>601</v>
      </c>
      <c r="F74" s="74" t="s">
        <v>614</v>
      </c>
      <c r="G74" s="74" t="s">
        <v>615</v>
      </c>
      <c r="H74" s="115"/>
    </row>
    <row r="75" spans="1:8" ht="46.5" customHeight="1">
      <c r="A75" s="117" t="s">
        <v>474</v>
      </c>
      <c r="B75" s="74">
        <v>2010</v>
      </c>
      <c r="C75" s="225">
        <v>8</v>
      </c>
      <c r="D75" s="74" t="s">
        <v>600</v>
      </c>
      <c r="E75" s="74" t="s">
        <v>601</v>
      </c>
      <c r="F75" s="74" t="s">
        <v>616</v>
      </c>
      <c r="G75" s="74" t="s">
        <v>617</v>
      </c>
      <c r="H75" s="115"/>
    </row>
    <row r="76" spans="1:8" ht="35.25" customHeight="1">
      <c r="A76" s="117" t="s">
        <v>474</v>
      </c>
      <c r="B76" s="74">
        <v>2010</v>
      </c>
      <c r="C76" s="225">
        <v>9</v>
      </c>
      <c r="D76" s="74" t="s">
        <v>600</v>
      </c>
      <c r="E76" s="74" t="s">
        <v>601</v>
      </c>
      <c r="F76" s="74" t="s">
        <v>618</v>
      </c>
      <c r="G76" s="74" t="s">
        <v>619</v>
      </c>
      <c r="H76" s="115"/>
    </row>
    <row r="77" spans="1:8" ht="30.75" customHeight="1">
      <c r="A77" s="117" t="s">
        <v>474</v>
      </c>
      <c r="B77" s="74">
        <v>2010</v>
      </c>
      <c r="C77" s="225">
        <v>10</v>
      </c>
      <c r="D77" s="74" t="s">
        <v>600</v>
      </c>
      <c r="E77" s="74" t="s">
        <v>601</v>
      </c>
      <c r="F77" s="74" t="s">
        <v>620</v>
      </c>
      <c r="G77" s="74" t="s">
        <v>621</v>
      </c>
      <c r="H77" s="115"/>
    </row>
    <row r="78" spans="1:8" ht="30.75" customHeight="1">
      <c r="A78" s="117" t="s">
        <v>474</v>
      </c>
      <c r="B78" s="74">
        <v>2010</v>
      </c>
      <c r="C78" s="225">
        <v>11</v>
      </c>
      <c r="D78" s="74" t="s">
        <v>600</v>
      </c>
      <c r="E78" s="74" t="s">
        <v>601</v>
      </c>
      <c r="F78" s="74" t="s">
        <v>622</v>
      </c>
      <c r="G78" s="74" t="s">
        <v>623</v>
      </c>
      <c r="H78" s="115"/>
    </row>
    <row r="79" spans="1:8" ht="30.75" customHeight="1">
      <c r="A79" s="117" t="s">
        <v>474</v>
      </c>
      <c r="B79" s="74">
        <v>2010</v>
      </c>
      <c r="C79" s="225">
        <v>12</v>
      </c>
      <c r="D79" s="74" t="s">
        <v>600</v>
      </c>
      <c r="E79" s="74" t="s">
        <v>601</v>
      </c>
      <c r="F79" s="74" t="s">
        <v>624</v>
      </c>
      <c r="G79" s="74" t="s">
        <v>625</v>
      </c>
      <c r="H79" s="115"/>
    </row>
    <row r="80" spans="1:8" ht="64.5" customHeight="1">
      <c r="A80" s="117" t="s">
        <v>474</v>
      </c>
      <c r="B80" s="74">
        <v>2010</v>
      </c>
      <c r="C80" s="225">
        <v>13</v>
      </c>
      <c r="D80" s="74" t="s">
        <v>600</v>
      </c>
      <c r="E80" s="74" t="s">
        <v>601</v>
      </c>
      <c r="F80" s="74" t="s">
        <v>626</v>
      </c>
      <c r="G80" s="74" t="s">
        <v>627</v>
      </c>
      <c r="H80" s="115"/>
    </row>
    <row r="81" spans="1:8" ht="31.5" customHeight="1">
      <c r="A81" s="117" t="s">
        <v>474</v>
      </c>
      <c r="B81" s="74">
        <v>2010</v>
      </c>
      <c r="C81" s="225">
        <v>14</v>
      </c>
      <c r="D81" s="74" t="s">
        <v>600</v>
      </c>
      <c r="E81" s="74" t="s">
        <v>601</v>
      </c>
      <c r="F81" s="74" t="s">
        <v>628</v>
      </c>
      <c r="G81" s="74" t="s">
        <v>629</v>
      </c>
      <c r="H81" s="115"/>
    </row>
    <row r="82" spans="1:8" ht="29.25" customHeight="1">
      <c r="A82" s="117" t="s">
        <v>474</v>
      </c>
      <c r="B82" s="74">
        <v>2010</v>
      </c>
      <c r="C82" s="225">
        <v>15</v>
      </c>
      <c r="D82" s="74" t="s">
        <v>600</v>
      </c>
      <c r="E82" s="74" t="s">
        <v>601</v>
      </c>
      <c r="F82" s="74" t="s">
        <v>630</v>
      </c>
      <c r="G82" s="74" t="s">
        <v>631</v>
      </c>
      <c r="H82" s="115"/>
    </row>
    <row r="83" spans="1:8" ht="30.75" customHeight="1">
      <c r="A83" s="117" t="s">
        <v>474</v>
      </c>
      <c r="B83" s="74">
        <v>2010</v>
      </c>
      <c r="C83" s="225">
        <v>16</v>
      </c>
      <c r="D83" s="74" t="s">
        <v>600</v>
      </c>
      <c r="E83" s="74" t="s">
        <v>601</v>
      </c>
      <c r="F83" s="74" t="s">
        <v>632</v>
      </c>
      <c r="G83" s="74" t="s">
        <v>633</v>
      </c>
      <c r="H83" s="115"/>
    </row>
    <row r="84" spans="1:8" ht="47.25" customHeight="1">
      <c r="A84" s="117" t="s">
        <v>474</v>
      </c>
      <c r="B84" s="74">
        <v>2010</v>
      </c>
      <c r="C84" s="225">
        <v>17</v>
      </c>
      <c r="D84" s="74" t="s">
        <v>600</v>
      </c>
      <c r="E84" s="74" t="s">
        <v>601</v>
      </c>
      <c r="F84" s="74" t="s">
        <v>634</v>
      </c>
      <c r="G84" s="74" t="s">
        <v>635</v>
      </c>
      <c r="H84" s="115"/>
    </row>
    <row r="85" spans="1:8" ht="32.25" customHeight="1">
      <c r="A85" s="117" t="s">
        <v>474</v>
      </c>
      <c r="B85" s="74">
        <v>2010</v>
      </c>
      <c r="C85" s="225">
        <v>18</v>
      </c>
      <c r="D85" s="74" t="s">
        <v>600</v>
      </c>
      <c r="E85" s="74" t="s">
        <v>601</v>
      </c>
      <c r="F85" s="74" t="s">
        <v>636</v>
      </c>
      <c r="G85" s="74" t="s">
        <v>637</v>
      </c>
      <c r="H85" s="115"/>
    </row>
    <row r="86" spans="1:8" ht="84" customHeight="1">
      <c r="A86" s="117" t="s">
        <v>474</v>
      </c>
      <c r="B86" s="74">
        <v>2010</v>
      </c>
      <c r="C86" s="225">
        <v>19</v>
      </c>
      <c r="D86" s="74" t="s">
        <v>600</v>
      </c>
      <c r="E86" s="74" t="s">
        <v>601</v>
      </c>
      <c r="F86" s="74" t="s">
        <v>638</v>
      </c>
      <c r="G86" s="74" t="s">
        <v>639</v>
      </c>
      <c r="H86" s="115"/>
    </row>
    <row r="87" spans="1:8" ht="99" customHeight="1">
      <c r="A87" s="117" t="s">
        <v>474</v>
      </c>
      <c r="B87" s="74">
        <v>2020</v>
      </c>
      <c r="C87" s="225">
        <v>1</v>
      </c>
      <c r="D87" s="74" t="s">
        <v>600</v>
      </c>
      <c r="E87" s="74" t="s">
        <v>640</v>
      </c>
      <c r="F87" s="74" t="s">
        <v>641</v>
      </c>
      <c r="G87" s="74" t="s">
        <v>642</v>
      </c>
      <c r="H87" s="115"/>
    </row>
    <row r="88" spans="1:8" ht="80.25" customHeight="1">
      <c r="A88" s="117" t="s">
        <v>474</v>
      </c>
      <c r="B88" s="74">
        <v>3010</v>
      </c>
      <c r="C88" s="225">
        <v>1</v>
      </c>
      <c r="D88" s="74" t="s">
        <v>643</v>
      </c>
      <c r="E88" s="74" t="s">
        <v>644</v>
      </c>
      <c r="F88" s="74" t="s">
        <v>645</v>
      </c>
      <c r="G88" s="74" t="s">
        <v>646</v>
      </c>
      <c r="H88" s="115"/>
    </row>
    <row r="89" spans="1:8" ht="51.75" customHeight="1">
      <c r="A89" s="117" t="s">
        <v>474</v>
      </c>
      <c r="B89" s="74">
        <v>3010</v>
      </c>
      <c r="C89" s="225">
        <v>2</v>
      </c>
      <c r="D89" s="74" t="s">
        <v>643</v>
      </c>
      <c r="E89" s="74" t="s">
        <v>644</v>
      </c>
      <c r="F89" s="74" t="s">
        <v>647</v>
      </c>
      <c r="G89" s="74" t="s">
        <v>648</v>
      </c>
      <c r="H89" s="115"/>
    </row>
    <row r="90" spans="1:8" ht="86.25" customHeight="1">
      <c r="A90" s="117" t="s">
        <v>474</v>
      </c>
      <c r="B90" s="74">
        <v>3010</v>
      </c>
      <c r="C90" s="225">
        <v>3</v>
      </c>
      <c r="D90" s="74" t="s">
        <v>643</v>
      </c>
      <c r="E90" s="74" t="s">
        <v>644</v>
      </c>
      <c r="F90" s="74" t="s">
        <v>649</v>
      </c>
      <c r="G90" s="74" t="s">
        <v>650</v>
      </c>
      <c r="H90" s="115"/>
    </row>
    <row r="91" spans="1:8" ht="48">
      <c r="A91" s="117" t="s">
        <v>474</v>
      </c>
      <c r="B91" s="74">
        <v>3010</v>
      </c>
      <c r="C91" s="225">
        <v>4</v>
      </c>
      <c r="D91" s="74" t="s">
        <v>643</v>
      </c>
      <c r="E91" s="74" t="s">
        <v>644</v>
      </c>
      <c r="F91" s="74" t="s">
        <v>651</v>
      </c>
      <c r="G91" s="74" t="s">
        <v>652</v>
      </c>
      <c r="H91" s="115"/>
    </row>
    <row r="92" spans="1:8" ht="30.75" customHeight="1">
      <c r="A92" s="117" t="s">
        <v>474</v>
      </c>
      <c r="B92" s="74">
        <v>3010</v>
      </c>
      <c r="C92" s="225">
        <v>5</v>
      </c>
      <c r="D92" s="74" t="s">
        <v>643</v>
      </c>
      <c r="E92" s="74" t="s">
        <v>644</v>
      </c>
      <c r="F92" s="74" t="s">
        <v>653</v>
      </c>
      <c r="G92" s="74" t="s">
        <v>654</v>
      </c>
      <c r="H92" s="115"/>
    </row>
    <row r="93" spans="1:8" ht="36" customHeight="1">
      <c r="A93" s="117" t="s">
        <v>474</v>
      </c>
      <c r="B93" s="74">
        <v>3020</v>
      </c>
      <c r="C93" s="225">
        <v>1</v>
      </c>
      <c r="D93" s="74" t="s">
        <v>643</v>
      </c>
      <c r="E93" s="232" t="s">
        <v>655</v>
      </c>
      <c r="F93" s="74" t="s">
        <v>656</v>
      </c>
      <c r="G93" s="74" t="s">
        <v>657</v>
      </c>
      <c r="H93" s="115"/>
    </row>
    <row r="94" spans="1:8" ht="165" customHeight="1">
      <c r="A94" s="117" t="s">
        <v>474</v>
      </c>
      <c r="B94" s="74">
        <v>3020</v>
      </c>
      <c r="C94" s="225">
        <v>2</v>
      </c>
      <c r="D94" s="74" t="s">
        <v>643</v>
      </c>
      <c r="E94" s="232" t="s">
        <v>655</v>
      </c>
      <c r="F94" s="74" t="s">
        <v>658</v>
      </c>
      <c r="G94" s="74" t="s">
        <v>659</v>
      </c>
      <c r="H94" s="115"/>
    </row>
    <row r="95" spans="1:8" ht="31.5" customHeight="1">
      <c r="A95" s="117" t="s">
        <v>474</v>
      </c>
      <c r="B95" s="74">
        <v>3020</v>
      </c>
      <c r="C95" s="225">
        <v>3</v>
      </c>
      <c r="D95" s="74" t="s">
        <v>643</v>
      </c>
      <c r="E95" s="232" t="s">
        <v>655</v>
      </c>
      <c r="F95" s="74" t="s">
        <v>660</v>
      </c>
      <c r="G95" s="74" t="s">
        <v>661</v>
      </c>
      <c r="H95" s="115"/>
    </row>
    <row r="96" spans="1:8" ht="30" customHeight="1">
      <c r="A96" s="117" t="s">
        <v>474</v>
      </c>
      <c r="B96" s="74">
        <v>3030</v>
      </c>
      <c r="C96" s="225">
        <v>1</v>
      </c>
      <c r="D96" s="74" t="s">
        <v>643</v>
      </c>
      <c r="E96" s="74" t="s">
        <v>662</v>
      </c>
      <c r="F96" s="74" t="s">
        <v>663</v>
      </c>
      <c r="G96" s="74" t="s">
        <v>664</v>
      </c>
      <c r="H96" s="115"/>
    </row>
    <row r="97" spans="1:8" ht="28.5" customHeight="1">
      <c r="A97" s="117" t="s">
        <v>474</v>
      </c>
      <c r="B97" s="74">
        <v>3030</v>
      </c>
      <c r="C97" s="225">
        <v>2</v>
      </c>
      <c r="D97" s="74" t="s">
        <v>643</v>
      </c>
      <c r="E97" s="74" t="s">
        <v>662</v>
      </c>
      <c r="F97" s="74" t="s">
        <v>665</v>
      </c>
      <c r="G97" s="74" t="s">
        <v>666</v>
      </c>
      <c r="H97" s="115"/>
    </row>
    <row r="98" spans="1:8" ht="29.25" customHeight="1">
      <c r="A98" s="117" t="s">
        <v>474</v>
      </c>
      <c r="B98" s="74">
        <v>3030</v>
      </c>
      <c r="C98" s="225">
        <v>2</v>
      </c>
      <c r="D98" s="74" t="s">
        <v>643</v>
      </c>
      <c r="E98" s="74" t="s">
        <v>662</v>
      </c>
      <c r="F98" s="74" t="s">
        <v>667</v>
      </c>
      <c r="G98" s="74" t="s">
        <v>668</v>
      </c>
      <c r="H98" s="115"/>
    </row>
    <row r="99" spans="1:8" ht="28.5" customHeight="1">
      <c r="A99" s="117" t="s">
        <v>474</v>
      </c>
      <c r="B99" s="74">
        <v>3040</v>
      </c>
      <c r="C99" s="225">
        <v>1</v>
      </c>
      <c r="D99" s="74" t="s">
        <v>643</v>
      </c>
      <c r="E99" s="74" t="s">
        <v>669</v>
      </c>
      <c r="F99" s="74" t="s">
        <v>670</v>
      </c>
      <c r="G99" s="74" t="s">
        <v>671</v>
      </c>
      <c r="H99" s="115"/>
    </row>
    <row r="100" spans="1:8" ht="29.25" customHeight="1">
      <c r="A100" s="117" t="s">
        <v>474</v>
      </c>
      <c r="B100" s="74">
        <v>3040</v>
      </c>
      <c r="C100" s="225">
        <v>2</v>
      </c>
      <c r="D100" s="74" t="s">
        <v>643</v>
      </c>
      <c r="E100" s="74" t="s">
        <v>669</v>
      </c>
      <c r="F100" s="74" t="s">
        <v>672</v>
      </c>
      <c r="G100" s="74" t="s">
        <v>673</v>
      </c>
      <c r="H100" s="115"/>
    </row>
    <row r="101" spans="1:8" ht="36" customHeight="1">
      <c r="A101" s="117" t="s">
        <v>474</v>
      </c>
      <c r="B101" s="74">
        <v>3040</v>
      </c>
      <c r="C101" s="225">
        <v>3</v>
      </c>
      <c r="D101" s="74" t="s">
        <v>643</v>
      </c>
      <c r="E101" s="74" t="s">
        <v>669</v>
      </c>
      <c r="F101" s="74" t="s">
        <v>674</v>
      </c>
      <c r="G101" s="74" t="s">
        <v>675</v>
      </c>
      <c r="H101" s="115"/>
    </row>
    <row r="102" spans="1:8" ht="49.5" customHeight="1">
      <c r="A102" s="117" t="s">
        <v>474</v>
      </c>
      <c r="B102" s="74">
        <v>3040</v>
      </c>
      <c r="C102" s="225">
        <v>3</v>
      </c>
      <c r="D102" s="74" t="s">
        <v>643</v>
      </c>
      <c r="E102" s="74" t="s">
        <v>669</v>
      </c>
      <c r="F102" s="74" t="s">
        <v>676</v>
      </c>
      <c r="G102" s="74" t="s">
        <v>677</v>
      </c>
      <c r="H102" s="115"/>
    </row>
    <row r="103" spans="1:8" ht="30" customHeight="1">
      <c r="A103" s="117" t="s">
        <v>474</v>
      </c>
      <c r="B103" s="74">
        <v>3040</v>
      </c>
      <c r="C103" s="225">
        <v>4</v>
      </c>
      <c r="D103" s="74" t="s">
        <v>643</v>
      </c>
      <c r="E103" s="74" t="s">
        <v>669</v>
      </c>
      <c r="F103" s="74" t="s">
        <v>678</v>
      </c>
      <c r="G103" s="74" t="s">
        <v>679</v>
      </c>
      <c r="H103" s="115"/>
    </row>
    <row r="104" spans="1:8" ht="30.75" customHeight="1">
      <c r="A104" s="117" t="s">
        <v>474</v>
      </c>
      <c r="B104" s="74">
        <v>3040</v>
      </c>
      <c r="C104" s="225">
        <v>5</v>
      </c>
      <c r="D104" s="74" t="s">
        <v>643</v>
      </c>
      <c r="E104" s="74" t="s">
        <v>669</v>
      </c>
      <c r="F104" s="74" t="s">
        <v>680</v>
      </c>
      <c r="G104" s="74" t="s">
        <v>681</v>
      </c>
      <c r="H104" s="115"/>
    </row>
    <row r="105" spans="1:8" ht="28.5" customHeight="1">
      <c r="A105" s="117" t="s">
        <v>474</v>
      </c>
      <c r="B105" s="74">
        <v>3040</v>
      </c>
      <c r="C105" s="225">
        <v>6</v>
      </c>
      <c r="D105" s="74" t="s">
        <v>643</v>
      </c>
      <c r="E105" s="74" t="s">
        <v>669</v>
      </c>
      <c r="F105" s="74" t="s">
        <v>682</v>
      </c>
      <c r="G105" s="74" t="s">
        <v>683</v>
      </c>
      <c r="H105" s="115"/>
    </row>
    <row r="106" spans="1:8" ht="31.5" customHeight="1">
      <c r="A106" s="117" t="s">
        <v>474</v>
      </c>
      <c r="B106" s="74">
        <v>3040</v>
      </c>
      <c r="C106" s="225">
        <v>7</v>
      </c>
      <c r="D106" s="74" t="s">
        <v>643</v>
      </c>
      <c r="E106" s="74" t="s">
        <v>669</v>
      </c>
      <c r="F106" s="74" t="s">
        <v>684</v>
      </c>
      <c r="G106" s="74" t="s">
        <v>611</v>
      </c>
      <c r="H106" s="115"/>
    </row>
    <row r="107" spans="1:8" ht="29.25" customHeight="1">
      <c r="A107" s="117" t="s">
        <v>474</v>
      </c>
      <c r="B107" s="74">
        <v>3040</v>
      </c>
      <c r="C107" s="225">
        <v>8</v>
      </c>
      <c r="D107" s="74" t="s">
        <v>643</v>
      </c>
      <c r="E107" s="74" t="s">
        <v>669</v>
      </c>
      <c r="F107" s="74" t="s">
        <v>685</v>
      </c>
      <c r="G107" s="74" t="s">
        <v>686</v>
      </c>
      <c r="H107" s="115"/>
    </row>
    <row r="108" spans="1:8" ht="32.25" customHeight="1">
      <c r="A108" s="117" t="s">
        <v>474</v>
      </c>
      <c r="B108" s="74">
        <v>3040</v>
      </c>
      <c r="C108" s="225">
        <v>9</v>
      </c>
      <c r="D108" s="74" t="s">
        <v>643</v>
      </c>
      <c r="E108" s="74" t="s">
        <v>669</v>
      </c>
      <c r="F108" s="74" t="s">
        <v>687</v>
      </c>
      <c r="G108" s="74" t="s">
        <v>688</v>
      </c>
      <c r="H108" s="115"/>
    </row>
    <row r="109" spans="1:8" ht="99" customHeight="1">
      <c r="A109" s="117" t="s">
        <v>474</v>
      </c>
      <c r="B109" s="74">
        <v>3040</v>
      </c>
      <c r="C109" s="225">
        <v>10</v>
      </c>
      <c r="D109" s="74" t="s">
        <v>643</v>
      </c>
      <c r="E109" s="74" t="s">
        <v>669</v>
      </c>
      <c r="F109" s="74" t="s">
        <v>689</v>
      </c>
      <c r="G109" s="74" t="s">
        <v>690</v>
      </c>
      <c r="H109" s="115"/>
    </row>
    <row r="110" spans="1:8" ht="30.75" customHeight="1">
      <c r="A110" s="117" t="s">
        <v>474</v>
      </c>
      <c r="B110" s="74">
        <v>4020</v>
      </c>
      <c r="C110" s="225">
        <v>1</v>
      </c>
      <c r="D110" s="74" t="s">
        <v>691</v>
      </c>
      <c r="E110" s="74" t="s">
        <v>692</v>
      </c>
      <c r="F110" s="74" t="s">
        <v>693</v>
      </c>
      <c r="G110" s="74" t="s">
        <v>694</v>
      </c>
      <c r="H110" s="115"/>
    </row>
    <row r="111" spans="1:8" ht="33" customHeight="1">
      <c r="A111" s="117" t="s">
        <v>474</v>
      </c>
      <c r="B111" s="74">
        <v>4020</v>
      </c>
      <c r="C111" s="225">
        <v>2</v>
      </c>
      <c r="D111" s="74" t="s">
        <v>691</v>
      </c>
      <c r="E111" s="74" t="s">
        <v>692</v>
      </c>
      <c r="F111" s="74" t="s">
        <v>695</v>
      </c>
      <c r="G111" s="74" t="s">
        <v>696</v>
      </c>
      <c r="H111" s="115"/>
    </row>
    <row r="112" spans="1:8" ht="66.75" customHeight="1">
      <c r="A112" s="117" t="s">
        <v>474</v>
      </c>
      <c r="B112" s="74">
        <v>4020</v>
      </c>
      <c r="C112" s="225">
        <v>3</v>
      </c>
      <c r="D112" s="74" t="s">
        <v>691</v>
      </c>
      <c r="E112" s="74" t="s">
        <v>692</v>
      </c>
      <c r="F112" s="74" t="s">
        <v>697</v>
      </c>
      <c r="G112" s="74" t="s">
        <v>698</v>
      </c>
      <c r="H112" s="115"/>
    </row>
    <row r="113" spans="1:8" ht="66" customHeight="1">
      <c r="A113" s="117" t="s">
        <v>474</v>
      </c>
      <c r="B113" s="74">
        <v>4020</v>
      </c>
      <c r="C113" s="225">
        <v>4</v>
      </c>
      <c r="D113" s="74" t="s">
        <v>691</v>
      </c>
      <c r="E113" s="74" t="s">
        <v>692</v>
      </c>
      <c r="F113" s="74" t="s">
        <v>699</v>
      </c>
      <c r="G113" s="74" t="s">
        <v>700</v>
      </c>
      <c r="H113" s="115"/>
    </row>
    <row r="114" spans="1:8" ht="50.25" customHeight="1">
      <c r="A114" s="117" t="s">
        <v>474</v>
      </c>
      <c r="B114" s="74">
        <v>4020</v>
      </c>
      <c r="C114" s="225">
        <v>5</v>
      </c>
      <c r="D114" s="74" t="s">
        <v>691</v>
      </c>
      <c r="E114" s="74" t="s">
        <v>692</v>
      </c>
      <c r="F114" s="74" t="s">
        <v>701</v>
      </c>
      <c r="G114" s="74" t="s">
        <v>702</v>
      </c>
      <c r="H114" s="115"/>
    </row>
    <row r="115" spans="1:8" ht="47.25" customHeight="1">
      <c r="A115" s="117" t="s">
        <v>474</v>
      </c>
      <c r="B115" s="74">
        <v>4020</v>
      </c>
      <c r="C115" s="225">
        <v>6</v>
      </c>
      <c r="D115" s="74" t="s">
        <v>691</v>
      </c>
      <c r="E115" s="74" t="s">
        <v>692</v>
      </c>
      <c r="F115" s="74" t="s">
        <v>703</v>
      </c>
      <c r="G115" s="74" t="s">
        <v>704</v>
      </c>
      <c r="H115" s="115"/>
    </row>
    <row r="116" spans="1:8" ht="28.5" customHeight="1">
      <c r="A116" s="117" t="s">
        <v>474</v>
      </c>
      <c r="B116" s="74">
        <v>5010</v>
      </c>
      <c r="C116" s="225">
        <v>1</v>
      </c>
      <c r="D116" s="74" t="s">
        <v>705</v>
      </c>
      <c r="E116" s="74" t="s">
        <v>705</v>
      </c>
      <c r="F116" s="74" t="s">
        <v>706</v>
      </c>
      <c r="G116" s="74" t="s">
        <v>707</v>
      </c>
      <c r="H116" s="115"/>
    </row>
    <row r="117" spans="1:8" ht="30" customHeight="1">
      <c r="A117" s="117" t="s">
        <v>474</v>
      </c>
      <c r="B117" s="74">
        <v>5010</v>
      </c>
      <c r="C117" s="225">
        <v>2</v>
      </c>
      <c r="D117" s="74" t="s">
        <v>705</v>
      </c>
      <c r="E117" s="74" t="s">
        <v>705</v>
      </c>
      <c r="F117" s="74" t="s">
        <v>708</v>
      </c>
      <c r="G117" s="74" t="s">
        <v>709</v>
      </c>
      <c r="H117" s="115"/>
    </row>
    <row r="118" spans="1:8" ht="29.25" customHeight="1">
      <c r="A118" s="117" t="s">
        <v>474</v>
      </c>
      <c r="B118" s="74">
        <v>5010</v>
      </c>
      <c r="C118" s="225">
        <v>3</v>
      </c>
      <c r="D118" s="74" t="s">
        <v>705</v>
      </c>
      <c r="E118" s="74" t="s">
        <v>705</v>
      </c>
      <c r="F118" s="74" t="s">
        <v>710</v>
      </c>
      <c r="G118" s="74" t="s">
        <v>711</v>
      </c>
      <c r="H118" s="115"/>
    </row>
    <row r="119" spans="1:8">
      <c r="A119" s="226"/>
      <c r="B119" s="227"/>
      <c r="C119" s="228"/>
      <c r="D119" s="227"/>
      <c r="E119" s="227"/>
      <c r="F119" s="227"/>
      <c r="G119" s="227"/>
      <c r="H119" s="229"/>
    </row>
  </sheetData>
  <mergeCells count="9">
    <mergeCell ref="E3:F3"/>
    <mergeCell ref="E4:F4"/>
    <mergeCell ref="E5:F5"/>
    <mergeCell ref="E6:F6"/>
    <mergeCell ref="A8:C8"/>
    <mergeCell ref="A3:D3"/>
    <mergeCell ref="A4:D4"/>
    <mergeCell ref="A5:D5"/>
    <mergeCell ref="A6:D6"/>
  </mergeCells>
  <phoneticPr fontId="1"/>
  <pageMargins left="0.74803149606299213" right="0.74803149606299213" top="0.98425196850393704" bottom="0.98425196850393704" header="0.51181102362204722" footer="0.51181102362204722"/>
  <pageSetup paperSize="9" scale="60" fitToHeight="0" orientation="portrait" r:id="rId1"/>
  <headerFooter alignWithMargins="0">
    <oddFooter>&amp;L伊藤忠テクノソリューションズ株式会社&amp;C&amp;P/&amp;N&amp;RCQMS-S-102T5 Ver.09.50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96DF-DC0F-4089-85FD-EB04E451870C}">
  <sheetPr>
    <pageSetUpPr fitToPage="1"/>
  </sheetPr>
  <dimension ref="A1:A29"/>
  <sheetViews>
    <sheetView zoomScaleNormal="100" workbookViewId="0"/>
  </sheetViews>
  <sheetFormatPr defaultRowHeight="12"/>
  <cols>
    <col min="1" max="1" width="40" bestFit="1" customWidth="1"/>
  </cols>
  <sheetData>
    <row r="1" spans="1:1" ht="15.95">
      <c r="A1" s="240" t="s">
        <v>712</v>
      </c>
    </row>
    <row r="2" spans="1:1" ht="15">
      <c r="A2" s="241" t="s">
        <v>713</v>
      </c>
    </row>
    <row r="3" spans="1:1" ht="15">
      <c r="A3" s="241" t="s">
        <v>714</v>
      </c>
    </row>
    <row r="4" spans="1:1" ht="14.45">
      <c r="A4" s="242" t="s">
        <v>715</v>
      </c>
    </row>
    <row r="5" spans="1:1" ht="14.45">
      <c r="A5" s="242" t="s">
        <v>716</v>
      </c>
    </row>
    <row r="6" spans="1:1" ht="14.45">
      <c r="A6" s="242" t="s">
        <v>717</v>
      </c>
    </row>
    <row r="7" spans="1:1" ht="14.45">
      <c r="A7" s="242" t="s">
        <v>718</v>
      </c>
    </row>
    <row r="8" spans="1:1" ht="14.45">
      <c r="A8" s="242" t="s">
        <v>719</v>
      </c>
    </row>
    <row r="9" spans="1:1" ht="15">
      <c r="A9" s="241" t="s">
        <v>720</v>
      </c>
    </row>
    <row r="10" spans="1:1" ht="15">
      <c r="A10" s="241" t="s">
        <v>721</v>
      </c>
    </row>
    <row r="11" spans="1:1" ht="15">
      <c r="A11" s="241" t="s">
        <v>722</v>
      </c>
    </row>
    <row r="12" spans="1:1" ht="15">
      <c r="A12" s="241" t="s">
        <v>723</v>
      </c>
    </row>
    <row r="13" spans="1:1" ht="15">
      <c r="A13" s="241" t="s">
        <v>724</v>
      </c>
    </row>
    <row r="14" spans="1:1" ht="15">
      <c r="A14" s="241" t="s">
        <v>725</v>
      </c>
    </row>
    <row r="15" spans="1:1" ht="15">
      <c r="A15" s="241" t="s">
        <v>726</v>
      </c>
    </row>
    <row r="16" spans="1:1" ht="15">
      <c r="A16" s="241" t="s">
        <v>727</v>
      </c>
    </row>
    <row r="17" spans="1:1" ht="15">
      <c r="A17" s="241" t="s">
        <v>728</v>
      </c>
    </row>
    <row r="18" spans="1:1" ht="15">
      <c r="A18" s="241" t="s">
        <v>729</v>
      </c>
    </row>
    <row r="19" spans="1:1" ht="15">
      <c r="A19" s="241" t="s">
        <v>730</v>
      </c>
    </row>
    <row r="20" spans="1:1" ht="15">
      <c r="A20" s="241" t="s">
        <v>731</v>
      </c>
    </row>
    <row r="21" spans="1:1" ht="15">
      <c r="A21" s="241" t="s">
        <v>732</v>
      </c>
    </row>
    <row r="22" spans="1:1" ht="15">
      <c r="A22" s="241" t="s">
        <v>733</v>
      </c>
    </row>
    <row r="23" spans="1:1" ht="15">
      <c r="A23" s="241" t="s">
        <v>734</v>
      </c>
    </row>
    <row r="24" spans="1:1" ht="15">
      <c r="A24" s="241" t="s">
        <v>735</v>
      </c>
    </row>
    <row r="25" spans="1:1" ht="15">
      <c r="A25" s="241" t="s">
        <v>736</v>
      </c>
    </row>
    <row r="26" spans="1:1" ht="15">
      <c r="A26" s="241" t="s">
        <v>737</v>
      </c>
    </row>
    <row r="27" spans="1:1" ht="15">
      <c r="A27" s="241" t="s">
        <v>738</v>
      </c>
    </row>
    <row r="28" spans="1:1" ht="15">
      <c r="A28" s="241" t="s">
        <v>739</v>
      </c>
    </row>
    <row r="29" spans="1:1" ht="15">
      <c r="A29" s="241" t="s">
        <v>740</v>
      </c>
    </row>
  </sheetData>
  <phoneticPr fontId="1"/>
  <pageMargins left="0.74803149606299213" right="0.74803149606299213" top="0.98425196850393704" bottom="0.98425196850393704" header="0.51181102362204722" footer="0.51181102362204722"/>
  <pageSetup paperSize="9" fitToHeight="0" orientation="portrait" r:id="rId1"/>
  <headerFooter alignWithMargins="0">
    <oddFooter>&amp;L伊藤忠テクノソリューションズ株式会社&amp;C&amp;P/&amp;N&amp;RCQMS-S-102T5 Ver.09.50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pageSetUpPr fitToPage="1"/>
  </sheetPr>
  <dimension ref="A1:E10"/>
  <sheetViews>
    <sheetView zoomScaleNormal="100" workbookViewId="0">
      <selection sqref="A1:E1"/>
    </sheetView>
  </sheetViews>
  <sheetFormatPr defaultRowHeight="12"/>
  <cols>
    <col min="1" max="1" width="7" style="11" customWidth="1"/>
    <col min="2" max="2" width="12.28515625" style="11" bestFit="1" customWidth="1"/>
    <col min="3" max="3" width="50.7109375" style="9" customWidth="1"/>
    <col min="4" max="5" width="16.7109375" customWidth="1"/>
  </cols>
  <sheetData>
    <row r="1" spans="1:5" ht="28.5" customHeight="1">
      <c r="A1" s="317" t="s">
        <v>741</v>
      </c>
      <c r="B1" s="317"/>
      <c r="C1" s="317"/>
      <c r="D1" s="317"/>
      <c r="E1" s="317"/>
    </row>
    <row r="2" spans="1:5" ht="12" customHeight="1">
      <c r="A2" s="243"/>
      <c r="B2" s="243"/>
      <c r="C2" s="243"/>
      <c r="D2" s="243"/>
      <c r="E2" s="243"/>
    </row>
    <row r="3" spans="1:5" s="8" customFormat="1" ht="18" customHeight="1">
      <c r="A3" s="6" t="s">
        <v>742</v>
      </c>
      <c r="B3" s="7" t="s">
        <v>743</v>
      </c>
      <c r="C3" s="10" t="s">
        <v>744</v>
      </c>
      <c r="D3" s="7" t="s">
        <v>745</v>
      </c>
      <c r="E3" s="7" t="s">
        <v>746</v>
      </c>
    </row>
    <row r="4" spans="1:5" ht="240" customHeight="1">
      <c r="A4" s="4" t="s">
        <v>747</v>
      </c>
      <c r="B4" s="12">
        <v>42887</v>
      </c>
      <c r="C4" s="3" t="s">
        <v>748</v>
      </c>
      <c r="D4" s="5" t="s">
        <v>749</v>
      </c>
      <c r="E4" s="5" t="s">
        <v>370</v>
      </c>
    </row>
    <row r="5" spans="1:5" ht="24" customHeight="1">
      <c r="A5" s="4" t="s">
        <v>750</v>
      </c>
      <c r="B5" s="12">
        <v>43192</v>
      </c>
      <c r="C5" s="3" t="s">
        <v>751</v>
      </c>
      <c r="D5" s="5" t="s">
        <v>749</v>
      </c>
      <c r="E5" s="5" t="s">
        <v>370</v>
      </c>
    </row>
    <row r="6" spans="1:5" ht="220.5" customHeight="1">
      <c r="A6" s="4" t="s">
        <v>752</v>
      </c>
      <c r="B6" s="12">
        <v>43958</v>
      </c>
      <c r="C6" s="3" t="s">
        <v>753</v>
      </c>
      <c r="D6" s="5" t="s">
        <v>749</v>
      </c>
      <c r="E6" s="13" t="s">
        <v>754</v>
      </c>
    </row>
    <row r="7" spans="1:5" ht="84">
      <c r="A7" s="4" t="s">
        <v>755</v>
      </c>
      <c r="B7" s="12">
        <v>44323</v>
      </c>
      <c r="C7" s="3" t="s">
        <v>756</v>
      </c>
      <c r="D7" s="5" t="s">
        <v>749</v>
      </c>
      <c r="E7" s="13" t="s">
        <v>757</v>
      </c>
    </row>
    <row r="8" spans="1:5" ht="233.45" customHeight="1">
      <c r="A8" s="4" t="s">
        <v>758</v>
      </c>
      <c r="B8" s="12">
        <v>45055</v>
      </c>
      <c r="C8" s="3" t="s">
        <v>759</v>
      </c>
      <c r="D8" s="5" t="s">
        <v>760</v>
      </c>
      <c r="E8" s="13" t="s">
        <v>761</v>
      </c>
    </row>
    <row r="9" spans="1:5" ht="57" customHeight="1">
      <c r="A9" s="4" t="s">
        <v>762</v>
      </c>
      <c r="B9" s="12">
        <v>45313</v>
      </c>
      <c r="C9" s="3" t="s">
        <v>763</v>
      </c>
      <c r="D9" s="5" t="s">
        <v>760</v>
      </c>
      <c r="E9" s="5" t="s">
        <v>764</v>
      </c>
    </row>
    <row r="10" spans="1:5" ht="69" customHeight="1">
      <c r="A10" s="4" t="s">
        <v>765</v>
      </c>
      <c r="B10" s="12">
        <v>45800</v>
      </c>
      <c r="C10" s="3" t="s">
        <v>766</v>
      </c>
      <c r="D10" s="5" t="s">
        <v>760</v>
      </c>
      <c r="E10" s="5" t="s">
        <v>767</v>
      </c>
    </row>
  </sheetData>
  <mergeCells count="1">
    <mergeCell ref="A1:E1"/>
  </mergeCells>
  <phoneticPr fontId="1"/>
  <pageMargins left="0.74803149606299213" right="0.74803149606299213" top="0.98425196850393704" bottom="0.98425196850393704" header="0.51181102362204722" footer="0.51181102362204722"/>
  <pageSetup paperSize="9" scale="93" fitToHeight="0" orientation="portrait" r:id="rId1"/>
  <headerFooter alignWithMargins="0">
    <oddFooter>&amp;L伊藤忠テクノソリューションズ株式会社&amp;C&amp;P/&amp;N&amp;RCQMS-S-102T5 Ver.09.50</oddFooter>
  </headerFooter>
  <colBreaks count="1" manualBreakCount="1">
    <brk id="5"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J8"/>
  <sheetViews>
    <sheetView workbookViewId="0"/>
  </sheetViews>
  <sheetFormatPr defaultRowHeight="12"/>
  <cols>
    <col min="1" max="1" width="19.5703125" bestFit="1" customWidth="1"/>
    <col min="2" max="2" width="14.85546875" bestFit="1" customWidth="1"/>
    <col min="3" max="3" width="16.5703125" bestFit="1" customWidth="1"/>
    <col min="4" max="4" width="11.140625" bestFit="1" customWidth="1"/>
    <col min="5" max="6" width="11.5703125" bestFit="1" customWidth="1"/>
    <col min="7" max="7" width="13.5703125" bestFit="1" customWidth="1"/>
    <col min="8" max="8" width="22.7109375" bestFit="1" customWidth="1"/>
    <col min="9" max="9" width="21.28515625" bestFit="1" customWidth="1"/>
  </cols>
  <sheetData>
    <row r="1" spans="1:10">
      <c r="A1" s="1" t="s">
        <v>768</v>
      </c>
      <c r="B1" s="2" t="s">
        <v>769</v>
      </c>
      <c r="C1" s="2" t="s">
        <v>770</v>
      </c>
      <c r="D1" s="2" t="s">
        <v>771</v>
      </c>
      <c r="E1" s="2" t="s">
        <v>772</v>
      </c>
      <c r="F1" s="2" t="s">
        <v>773</v>
      </c>
      <c r="G1" s="2" t="s">
        <v>774</v>
      </c>
      <c r="J1" t="str">
        <f>CONCATENATE("|",B1,"|",C1,"|",D1,"|",E1,"|",F1,"|",G1,"|",)</f>
        <v>|1.顧客|2.顧客・体制|3.顧客・契約|4.顧客・予算|5.社内・体制|6.工期・納期|</v>
      </c>
    </row>
    <row r="2" spans="1:10">
      <c r="A2" s="1" t="s">
        <v>775</v>
      </c>
      <c r="B2" s="1" t="s">
        <v>776</v>
      </c>
      <c r="C2" s="1" t="s">
        <v>777</v>
      </c>
      <c r="D2" s="1" t="s">
        <v>778</v>
      </c>
      <c r="E2" s="1" t="s">
        <v>779</v>
      </c>
      <c r="F2" s="1" t="s">
        <v>780</v>
      </c>
      <c r="G2" s="1" t="s">
        <v>781</v>
      </c>
      <c r="H2" t="s">
        <v>782</v>
      </c>
      <c r="I2" t="s">
        <v>783</v>
      </c>
      <c r="J2" t="str">
        <f>CONCATENATE("|",B2,"|",C2,"|",D2,"|",E2,"|",F2,"|",G2,"|",H2,"|",I2,"|")</f>
        <v>|7.役割・責任|8.コミュニケーション|9.要求・要件|10.要求・要件|11.要求・要件|12.要件・難易度|13.要件・コンプライアンス|14.パッケージ・スコープ|</v>
      </c>
    </row>
    <row r="3" spans="1:10">
      <c r="A3" s="1" t="s">
        <v>784</v>
      </c>
      <c r="B3" s="1" t="s">
        <v>785</v>
      </c>
      <c r="C3" s="1" t="s">
        <v>786</v>
      </c>
      <c r="D3" s="1" t="s">
        <v>787</v>
      </c>
      <c r="E3" s="1"/>
      <c r="F3" s="1"/>
      <c r="G3" s="1"/>
      <c r="J3" t="str">
        <f t="shared" ref="J3:J8" si="0">CONCATENATE("|",B3,"|",C3,"|",D3,"|",E3,"|",F3,"|",G3,"|",)</f>
        <v>|15.成果物、タスク|16.パッケージ|17.オフショア||||</v>
      </c>
    </row>
    <row r="4" spans="1:10">
      <c r="A4" s="1" t="s">
        <v>788</v>
      </c>
      <c r="B4" s="1" t="s">
        <v>370</v>
      </c>
      <c r="C4" s="1"/>
      <c r="D4" s="1"/>
      <c r="E4" s="1"/>
      <c r="F4" s="1"/>
      <c r="G4" s="1"/>
      <c r="J4" t="str">
        <f t="shared" si="0"/>
        <v>|-||||||</v>
      </c>
    </row>
    <row r="5" spans="1:10">
      <c r="A5" s="1" t="s">
        <v>789</v>
      </c>
      <c r="B5" s="1" t="s">
        <v>790</v>
      </c>
      <c r="C5" s="1" t="s">
        <v>791</v>
      </c>
      <c r="D5" s="1" t="s">
        <v>792</v>
      </c>
      <c r="E5" s="1" t="s">
        <v>793</v>
      </c>
      <c r="F5" s="1" t="s">
        <v>794</v>
      </c>
      <c r="G5" s="1" t="s">
        <v>795</v>
      </c>
      <c r="J5" t="str">
        <f t="shared" si="0"/>
        <v>|18.社内・体制|19.社内・組織支援|20.委託先・見積|21.委託先・動員力|22.委託先・経営状況|23.パッケージ|</v>
      </c>
    </row>
    <row r="6" spans="1:10">
      <c r="A6" s="1" t="s">
        <v>796</v>
      </c>
      <c r="B6" s="1" t="s">
        <v>797</v>
      </c>
      <c r="C6" s="1"/>
      <c r="D6" s="1"/>
      <c r="E6" s="1"/>
      <c r="F6" s="1"/>
      <c r="G6" s="1"/>
      <c r="J6" t="str">
        <f t="shared" si="0"/>
        <v>|24.成果物、タスク||||||</v>
      </c>
    </row>
    <row r="7" spans="1:10">
      <c r="A7" s="1" t="s">
        <v>798</v>
      </c>
      <c r="B7" s="1" t="s">
        <v>799</v>
      </c>
      <c r="C7" s="1"/>
      <c r="D7" s="1"/>
      <c r="E7" s="1"/>
      <c r="F7" s="1"/>
      <c r="G7" s="1"/>
      <c r="J7" t="str">
        <f t="shared" si="0"/>
        <v>|25.その他費用||||||</v>
      </c>
    </row>
    <row r="8" spans="1:10">
      <c r="A8" s="1" t="s">
        <v>800</v>
      </c>
      <c r="B8" s="1" t="s">
        <v>370</v>
      </c>
      <c r="J8" t="str">
        <f t="shared" si="0"/>
        <v>|-||||||</v>
      </c>
    </row>
  </sheetData>
  <phoneticPr fontId="1"/>
  <pageMargins left="0.75" right="0.75" top="1" bottom="1" header="0.51200000000000001" footer="0.51200000000000001"/>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QMS_x6d3b__x52d5__x5206__x985e_ xmlns="ede5af82-44e3-4183-9a5f-1f127c4d075b">プロジェクト</CQMS_x6d3b__x52d5__x5206__x985e_>
    <_x6587__x66f8__x5206__x985e_ xmlns="ede5af82-44e3-4183-9a5f-1f127c4d075b">テンプレート</_x6587__x66f8__x5206__x985e_>
    <CQMS_x516c__x958b__x65e5_ xmlns="ede5af82-44e3-4183-9a5f-1f127c4d075b">2025-05-22T15:00:00+00:00</CQMS_x516c__x958b__x65e5_>
    <_x30c0__x30a6__x30f3__x30ed__x30fc__x30c9_ xmlns="ede5af82-44e3-4183-9a5f-1f127c4d075b">
      <Url>https://ctcg.sharepoint.com/sites/biz_01327/CQMS/テンプレート/S-102T5.xlsx</Url>
      <Description>リスク管理計画シート/案件チェックリスト</Description>
    </_x30c0__x30a6__x30f3__x30ed__x30fc__x30c9_>
    <_x30ac__x30a4__x30c9_ xmlns="ede5af82-44e3-4183-9a5f-1f127c4d075b">
      <Url xsi:nil="true"/>
      <Description xsi:nil="true"/>
    </_x30ac__x30a4__x30c9_>
    <_x898b__x51fa__x3057_ xmlns="ede5af82-44e3-4183-9a5f-1f127c4d075b">10. プロジェクト</_x898b__x51fa__x3057_>
    <_x30d5__x30a9__x30fc__x30de__x30c3__x30c8__x6307__x5b9a_ xmlns="ede5af82-44e3-4183-9a5f-1f127c4d075b" xsi:nil="true"/>
    <_x8868__x793a__x9806_ xmlns="ede5af82-44e3-4183-9a5f-1f127c4d075b">T180010</_x8868__x793a__x9806_>
    <CQMS_x968e__x5c64__x5206__x985e_ xmlns="ede5af82-44e3-4183-9a5f-1f127c4d075b">テンプレート</CQMS_x968e__x5c64__x5206__x985e_>
    <CQMS_x30ab__x30c6__x30b4__x30ea_ xmlns="ede5af82-44e3-4183-9a5f-1f127c4d075b">18. リスク管理</CQMS_x30ab__x30c6__x30b4__x30ea_>
    <_x6982__x8981_ xmlns="ede5af82-44e3-4183-9a5f-1f127c4d075b">リスクの洗い出し、管理に用いるテンプレートです。</_x6982__x8981_>
    <_x30b5__x30f3__x30d7__x30eb_ xmlns="ede5af82-44e3-4183-9a5f-1f127c4d075b">
      <Url xsi:nil="true"/>
      <Description xsi:nil="true"/>
    </_x30b5__x30f3__x30d7__x30eb_>
    <_x7ba1__x7406_ xmlns="ede5af82-44e3-4183-9a5f-1f127c4d075b">リスク管理</_x7ba1__x7406_>
    <CQMS_x30d0__x30fc__x30b8__x30e7__x30f3_ xmlns="ede5af82-44e3-4183-9a5f-1f127c4d075b">09.50</CQMS_x30d0__x30fc__x30b8__x30e7__x30f3_>
    <_x95a2__x9023__x30ac__x30a4__x30c9_ xmlns="ede5af82-44e3-4183-9a5f-1f127c4d075b">
      <Url xsi:nil="true"/>
      <Description xsi:nil="true"/>
    </_x95a2__x9023__x30ac__x30a4__x30c9_>
    <_x6d3b__x52d5__x7bc4__x56f2_ xmlns="ede5af82-44e3-4183-9a5f-1f127c4d075b" xsi:nil="true"/>
    <_x54c1__x8cea__x30c7__x30fc__x30bf__x57fa__x76e4__x306e__x53c2__x8003__x8cc7__x6599_ xmlns="ede5af82-44e3-4183-9a5f-1f127c4d075b"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4DAB75779B34514FACEF4D38C570694F" ma:contentTypeVersion="21" ma:contentTypeDescription="新しいドキュメントを作成します。" ma:contentTypeScope="" ma:versionID="ad0875570a82d5ade5f739cd3f146654">
  <xsd:schema xmlns:xsd="http://www.w3.org/2001/XMLSchema" xmlns:xs="http://www.w3.org/2001/XMLSchema" xmlns:p="http://schemas.microsoft.com/office/2006/metadata/properties" xmlns:ns2="ede5af82-44e3-4183-9a5f-1f127c4d075b" targetNamespace="http://schemas.microsoft.com/office/2006/metadata/properties" ma:root="true" ma:fieldsID="ca4980efbb07c026356eb9464f3c2c1f" ns2:_="">
    <xsd:import namespace="ede5af82-44e3-4183-9a5f-1f127c4d075b"/>
    <xsd:element name="properties">
      <xsd:complexType>
        <xsd:sequence>
          <xsd:element name="documentManagement">
            <xsd:complexType>
              <xsd:all>
                <xsd:element ref="ns2:_x7ba1__x7406_" minOccurs="0"/>
                <xsd:element ref="ns2:CQMS_x6d3b__x52d5__x5206__x985e_" minOccurs="0"/>
                <xsd:element ref="ns2:CQMS_x30d0__x30fc__x30b8__x30e7__x30f3_" minOccurs="0"/>
                <xsd:element ref="ns2:CQMS_x516c__x958b__x65e5_" minOccurs="0"/>
                <xsd:element ref="ns2:CQMS_x30ab__x30c6__x30b4__x30ea_" minOccurs="0"/>
                <xsd:element ref="ns2:_x95a2__x9023__x30ac__x30a4__x30c9_" minOccurs="0"/>
                <xsd:element ref="ns2:_x6982__x8981_" minOccurs="0"/>
                <xsd:element ref="ns2:_x30c0__x30a6__x30f3__x30ed__x30fc__x30c9_" minOccurs="0"/>
                <xsd:element ref="ns2:CQMS_x968e__x5c64__x5206__x985e_" minOccurs="0"/>
                <xsd:element ref="ns2:_x6587__x66f8__x5206__x985e_" minOccurs="0"/>
                <xsd:element ref="ns2:_x30b5__x30f3__x30d7__x30eb_" minOccurs="0"/>
                <xsd:element ref="ns2:_x30ac__x30a4__x30c9_" minOccurs="0"/>
                <xsd:element ref="ns2:_x30d5__x30a9__x30fc__x30de__x30c3__x30c8__x6307__x5b9a_" minOccurs="0"/>
                <xsd:element ref="ns2:_x6d3b__x52d5__x7bc4__x56f2_" minOccurs="0"/>
                <xsd:element ref="ns2:_x898b__x51fa__x3057_" minOccurs="0"/>
                <xsd:element ref="ns2:_x8868__x793a__x9806_" minOccurs="0"/>
                <xsd:element ref="ns2:MediaServiceMetadata" minOccurs="0"/>
                <xsd:element ref="ns2:MediaServiceFastMetadata" minOccurs="0"/>
                <xsd:element ref="ns2:MediaServiceSearchProperties" minOccurs="0"/>
                <xsd:element ref="ns2:MediaServiceObjectDetectorVersions" minOccurs="0"/>
                <xsd:element ref="ns2:_x54c1__x8cea__x30c7__x30fc__x30bf__x57fa__x76e4__x306e__x53c2__x8003__x8cc7__x659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e5af82-44e3-4183-9a5f-1f127c4d075b" elementFormDefault="qualified">
    <xsd:import namespace="http://schemas.microsoft.com/office/2006/documentManagement/types"/>
    <xsd:import namespace="http://schemas.microsoft.com/office/infopath/2007/PartnerControls"/>
    <xsd:element name="_x7ba1__x7406_" ma:index="2" nillable="true" ma:displayName="管理" ma:format="Dropdown" ma:internalName="_x7ba1__x7406_">
      <xsd:simpleType>
        <xsd:restriction base="dms:Choice">
          <xsd:enumeration value="スコープ管理"/>
          <xsd:enumeration value="スケジュール管理"/>
          <xsd:enumeration value="コスト管理"/>
          <xsd:enumeration value="品質管理"/>
          <xsd:enumeration value="資源管理"/>
          <xsd:enumeration value="コミュニケーション管理"/>
          <xsd:enumeration value="リスク管理"/>
          <xsd:enumeration value="調達管理"/>
          <xsd:enumeration value="ステークホルダー管理"/>
          <xsd:enumeration value="統合管理"/>
          <xsd:enumeration value="プロジェクト立ち上げ"/>
          <xsd:enumeration value="プロジェクト情報収集・分析"/>
          <xsd:enumeration value="プロジェクト監視"/>
          <xsd:enumeration value="プロジェクト支援"/>
          <xsd:enumeration value="統制活動"/>
          <xsd:enumeration value="標準化活動"/>
          <xsd:enumeration value="PM支援活動"/>
        </xsd:restriction>
      </xsd:simpleType>
    </xsd:element>
    <xsd:element name="CQMS_x6d3b__x52d5__x5206__x985e_" ma:index="3" nillable="true" ma:displayName="活動分類" ma:format="Dropdown" ma:internalName="CQMS_x6d3b__x52d5__x5206__x985e_">
      <xsd:simpleType>
        <xsd:restriction base="dms:Choice">
          <xsd:enumeration value="プロジェクト"/>
          <xsd:enumeration value="運用サービス"/>
          <xsd:enumeration value="共通"/>
          <xsd:enumeration value="QMS活動"/>
          <xsd:enumeration value="AI"/>
        </xsd:restriction>
      </xsd:simpleType>
    </xsd:element>
    <xsd:element name="CQMS_x30d0__x30fc__x30b8__x30e7__x30f3_" ma:index="4" nillable="true" ma:displayName="Ver." ma:internalName="CQMS_x30d0__x30fc__x30b8__x30e7__x30f3_">
      <xsd:simpleType>
        <xsd:restriction base="dms:Text">
          <xsd:maxLength value="255"/>
        </xsd:restriction>
      </xsd:simpleType>
    </xsd:element>
    <xsd:element name="CQMS_x516c__x958b__x65e5_" ma:index="5" nillable="true" ma:displayName="更新日" ma:format="DateOnly" ma:internalName="CQMS_x516c__x958b__x65e5_">
      <xsd:simpleType>
        <xsd:restriction base="dms:DateTime"/>
      </xsd:simpleType>
    </xsd:element>
    <xsd:element name="CQMS_x30ab__x30c6__x30b4__x30ea_" ma:index="6" nillable="true" ma:displayName="カテゴリ" ma:format="Dropdown" ma:internalName="CQMS_x30ab__x30c6__x30b4__x30ea_">
      <xsd:simpleType>
        <xsd:restriction base="dms:Choice">
          <xsd:enumeration value="01. QMS活動"/>
          <xsd:enumeration value="11. 提案・見積"/>
          <xsd:enumeration value="12. 計画"/>
          <xsd:enumeration value="13. 設計"/>
          <xsd:enumeration value="14. 製造・設定・構築"/>
          <xsd:enumeration value="15. テスト・検証"/>
          <xsd:enumeration value="16. 引渡し"/>
          <xsd:enumeration value="17. プロジェクト管理・品質管理"/>
          <xsd:enumeration value="18. リスク管理"/>
          <xsd:enumeration value="21. 運用サービス"/>
          <xsd:enumeration value="31. レビュー"/>
          <xsd:enumeration value="32. リリース管理"/>
          <xsd:enumeration value="33. インシデント管理"/>
          <xsd:enumeration value="34. 変更管理"/>
          <xsd:enumeration value="35. 障害・問題管理"/>
          <xsd:enumeration value="36. 文書・品質記録管理"/>
          <xsd:enumeration value="37. 委託先管理"/>
          <xsd:enumeration value="41. AIシステム開発・提供"/>
        </xsd:restriction>
      </xsd:simpleType>
    </xsd:element>
    <xsd:element name="_x95a2__x9023__x30ac__x30a4__x30c9_" ma:index="7" nillable="true" ma:displayName="参照先リンク" ma:format="Hyperlink" ma:internalName="_x95a2__x9023__x30ac__x30a4__x30c9_">
      <xsd:complexType>
        <xsd:complexContent>
          <xsd:extension base="dms:URL">
            <xsd:sequence>
              <xsd:element name="Url" type="dms:ValidUrl" minOccurs="0" nillable="true"/>
              <xsd:element name="Description" type="xsd:string" nillable="true"/>
            </xsd:sequence>
          </xsd:extension>
        </xsd:complexContent>
      </xsd:complexType>
    </xsd:element>
    <xsd:element name="_x6982__x8981_" ma:index="8" nillable="true" ma:displayName="説明" ma:format="Dropdown" ma:internalName="_x6982__x8981_">
      <xsd:simpleType>
        <xsd:restriction base="dms:Note">
          <xsd:maxLength value="255"/>
        </xsd:restriction>
      </xsd:simpleType>
    </xsd:element>
    <xsd:element name="_x30c0__x30a6__x30f3__x30ed__x30fc__x30c9_" ma:index="9" nillable="true" ma:displayName="文書名" ma:description="「名前」の直接リンクとなるURL" ma:format="Hyperlink" ma:internalName="_x30c0__x30a6__x30f3__x30ed__x30fc__x30c9_">
      <xsd:complexType>
        <xsd:complexContent>
          <xsd:extension base="dms:URL">
            <xsd:sequence>
              <xsd:element name="Url" type="dms:ValidUrl" minOccurs="0" nillable="true"/>
              <xsd:element name="Description" type="xsd:string" nillable="true"/>
            </xsd:sequence>
          </xsd:extension>
        </xsd:complexContent>
      </xsd:complexType>
    </xsd:element>
    <xsd:element name="CQMS_x968e__x5c64__x5206__x985e_" ma:index="10" nillable="true" ma:displayName="階層分類" ma:format="Dropdown" ma:internalName="CQMS_x968e__x5c64__x5206__x985e_">
      <xsd:simpleType>
        <xsd:restriction base="dms:Choice">
          <xsd:enumeration value="CQM"/>
          <xsd:enumeration value="CQS"/>
          <xsd:enumeration value="CQG"/>
          <xsd:enumeration value="テンプレート"/>
          <xsd:enumeration value="テンプレート一覧"/>
          <xsd:enumeration value="その他"/>
        </xsd:restriction>
      </xsd:simpleType>
    </xsd:element>
    <xsd:element name="_x6587__x66f8__x5206__x985e_" ma:index="11" nillable="true" ma:displayName="文書分類" ma:format="Dropdown" ma:internalName="_x6587__x66f8__x5206__x985e_">
      <xsd:simpleType>
        <xsd:restriction base="dms:Choice">
          <xsd:enumeration value="全体"/>
          <xsd:enumeration value="基準"/>
          <xsd:enumeration value="ガイドライン"/>
          <xsd:enumeration value="チェックリスト"/>
          <xsd:enumeration value="ツール"/>
          <xsd:enumeration value="テンプレート"/>
          <xsd:enumeration value="サンプル"/>
        </xsd:restriction>
      </xsd:simpleType>
    </xsd:element>
    <xsd:element name="_x30b5__x30f3__x30d7__x30eb_" ma:index="12" nillable="true" ma:displayName="サンプル" ma:format="Hyperlink" ma:internalName="_x30b5__x30f3__x30d7__x30eb_">
      <xsd:complexType>
        <xsd:complexContent>
          <xsd:extension base="dms:URL">
            <xsd:sequence>
              <xsd:element name="Url" type="dms:ValidUrl" minOccurs="0" nillable="true"/>
              <xsd:element name="Description" type="xsd:string" nillable="true"/>
            </xsd:sequence>
          </xsd:extension>
        </xsd:complexContent>
      </xsd:complexType>
    </xsd:element>
    <xsd:element name="_x30ac__x30a4__x30c9_" ma:index="13" nillable="true" ma:displayName="ガイド" ma:format="Hyperlink" ma:internalName="_x30ac__x30a4__x30c9_">
      <xsd:complexType>
        <xsd:complexContent>
          <xsd:extension base="dms:URL">
            <xsd:sequence>
              <xsd:element name="Url" type="dms:ValidUrl" minOccurs="0" nillable="true"/>
              <xsd:element name="Description" type="xsd:string" nillable="true"/>
            </xsd:sequence>
          </xsd:extension>
        </xsd:complexContent>
      </xsd:complexType>
    </xsd:element>
    <xsd:element name="_x30d5__x30a9__x30fc__x30de__x30c3__x30c8__x6307__x5b9a_" ma:index="14" nillable="true" ma:displayName="フォーマット指定" ma:format="Dropdown" ma:internalName="_x30d5__x30a9__x30fc__x30de__x30c3__x30c8__x6307__x5b9a_">
      <xsd:simpleType>
        <xsd:restriction base="dms:Choice">
          <xsd:enumeration value="指定文書"/>
        </xsd:restriction>
      </xsd:simpleType>
    </xsd:element>
    <xsd:element name="_x6d3b__x52d5__x7bc4__x56f2_" ma:index="15" nillable="true" ma:displayName="活動範囲" ma:internalName="_x6d3b__x52d5__x7bc4__x56f2_">
      <xsd:complexType>
        <xsd:complexContent>
          <xsd:extension base="dms:MultiChoice">
            <xsd:sequence>
              <xsd:element name="Value" maxOccurs="unbounded" minOccurs="0" nillable="true">
                <xsd:simpleType>
                  <xsd:restriction base="dms:Choice">
                    <xsd:enumeration value="組織"/>
                    <xsd:enumeration value="プロジェクト"/>
                    <xsd:enumeration value="運用サービス"/>
                  </xsd:restriction>
                </xsd:simpleType>
              </xsd:element>
            </xsd:sequence>
          </xsd:extension>
        </xsd:complexContent>
      </xsd:complexType>
    </xsd:element>
    <xsd:element name="_x898b__x51fa__x3057_" ma:index="16" nillable="true" ma:displayName="見出し" ma:format="Dropdown" ma:internalName="_x898b__x51fa__x3057_">
      <xsd:simpleType>
        <xsd:restriction base="dms:Choice">
          <xsd:enumeration value="00. QMS活動"/>
          <xsd:enumeration value="10. プロジェクト"/>
          <xsd:enumeration value="20. 運用サービス"/>
          <xsd:enumeration value="30. プロジェクト・運用サービス共通"/>
          <xsd:enumeration value="40. AI関連"/>
          <xsd:enumeration value="1. 活動の流れとプロセスのインプット、アウトプット"/>
          <xsd:enumeration value="2. 基準の関連図"/>
          <xsd:enumeration value="3. 基準"/>
        </xsd:restriction>
      </xsd:simpleType>
    </xsd:element>
    <xsd:element name="_x8868__x793a__x9806_" ma:index="17" nillable="true" ma:displayName="表示順" ma:internalName="_x8868__x793a__x9806_">
      <xsd:simpleType>
        <xsd:restriction base="dms:Text">
          <xsd:maxLength value="10"/>
        </xsd:restriction>
      </xsd:simpleType>
    </xsd:element>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x54c1__x8cea__x30c7__x30fc__x30bf__x57fa__x76e4__x306e__x53c2__x8003__x8cc7__x6599_" ma:index="28" nillable="true" ma:displayName="品質データ基盤の参考資料" ma:format="Dropdown" ma:internalName="_x54c1__x8cea__x30c7__x30fc__x30bf__x57fa__x76e4__x306e__x53c2__x8003__x8cc7__x6599_">
      <xsd:simpleType>
        <xsd:restriction base="dms:Choice">
          <xsd:enumeration valu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4" ma:displayName="コンテンツ タイプ"/>
        <xsd:element ref="dc:title" minOccurs="0" maxOccurs="1" ma:index="1"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45882B-F1E7-4CF0-8FC8-A5A153719C6A}"/>
</file>

<file path=customXml/itemProps2.xml><?xml version="1.0" encoding="utf-8"?>
<ds:datastoreItem xmlns:ds="http://schemas.openxmlformats.org/officeDocument/2006/customXml" ds:itemID="{2A26FB87-989B-400E-9BEC-371CE9AFB79C}"/>
</file>

<file path=customXml/itemProps3.xml><?xml version="1.0" encoding="utf-8"?>
<ds:datastoreItem xmlns:ds="http://schemas.openxmlformats.org/officeDocument/2006/customXml" ds:itemID="{5AB90C61-BD3E-4656-9C21-D8D0F0A3C9AC}"/>
</file>

<file path=customXml/itemProps4.xml><?xml version="1.0" encoding="utf-8"?>
<ds:datastoreItem xmlns:ds="http://schemas.openxmlformats.org/officeDocument/2006/customXml" ds:itemID="{E92C2451-407A-4D46-9ADA-8DC6BBE67A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2024-01-22T02:42:54Z</dcterms:created>
  <dcterms:modified xsi:type="dcterms:W3CDTF">2026-04-27T06:07:02Z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0x0101004DAB75779B34514FACEF4D38C570694F</vt:lpwstr>
  </property>
</Properties>
</file>